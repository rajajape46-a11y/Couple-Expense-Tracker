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pense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'Expense Log'!$A$4:$O$3000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;\(\$#,##0\);&quot;-&quot;"/>
    <numFmt numFmtId="165" formatCode="dd/mm/yyyy"/>
    <numFmt numFmtId="166" formatCode="\$#,##0.00;\(\$#,##0.00\);&quot;-&quot;"/>
    <numFmt numFmtId="167" formatCode="mmm yyyy"/>
    <numFmt numFmtId="168" formatCode="+0%;-0%;0%"/>
    <numFmt numFmtId="169" formatCode="\$#,##0;[Red]\(\$#,##0\);&quot;-&quot;"/>
    <numFmt numFmtId="170" formatCode="\$#,##0.00;[Red]\(\$#,##0.00\);&quot;-&quot;"/>
    <numFmt numFmtId="171" formatCode="d mmm"/>
  </numFmts>
  <fonts count="22">
    <font>
      <name val="Calibri"/>
      <family val="2"/>
      <color theme="1"/>
      <sz val="11"/>
      <scheme val="minor"/>
    </font>
    <font>
      <name val="Calibri"/>
      <b val="1"/>
      <color rgb="001F3A52"/>
      <sz val="16"/>
    </font>
    <font>
      <name val="Calibri"/>
      <i val="1"/>
      <color rgb="005B6B7B"/>
      <sz val="10"/>
    </font>
    <font>
      <name val="Calibri"/>
      <b val="1"/>
      <color rgb="00FFFFFF"/>
    </font>
    <font>
      <name val="Calibri"/>
      <b val="1"/>
      <color rgb="001F3A52"/>
    </font>
    <font>
      <name val="Calibri"/>
    </font>
    <font>
      <name val="Calibri"/>
      <i val="1"/>
      <color rgb="005B6B7B"/>
      <sz val="9"/>
    </font>
    <font>
      <name val="Calibri"/>
      <b val="1"/>
      <color rgb="005B6B7B"/>
      <sz val="10"/>
    </font>
    <font>
      <name val="Calibri"/>
      <color rgb="000000FF"/>
    </font>
    <font>
      <name val="Calibri"/>
      <color rgb="005B6B7B"/>
      <sz val="9"/>
    </font>
    <font>
      <name val="Calibri"/>
      <color rgb="00000000"/>
    </font>
    <font>
      <name val="Calibri"/>
      <color rgb="005B6B7B"/>
    </font>
    <font>
      <name val="Calibri"/>
      <b val="1"/>
      <color rgb="001F3A52"/>
      <sz val="20"/>
    </font>
    <font>
      <name val="Calibri"/>
      <color rgb="005B6B7B"/>
      <sz val="10"/>
    </font>
    <font>
      <name val="Calibri"/>
      <b val="1"/>
      <color rgb="000000FF"/>
      <sz val="12"/>
    </font>
    <font>
      <name val="Calibri"/>
      <b val="1"/>
      <color rgb="005B6B7B"/>
      <sz val="9"/>
    </font>
    <font>
      <name val="Calibri"/>
      <b val="1"/>
      <color rgb="001F3A52"/>
      <sz val="13"/>
    </font>
    <font>
      <name val="Calibri"/>
      <b val="1"/>
      <color rgb="001F3A52"/>
      <sz val="12"/>
    </font>
    <font>
      <name val="Calibri"/>
      <b val="1"/>
      <color rgb="00FFFFFF"/>
      <sz val="9"/>
    </font>
    <font>
      <name val="Calibri"/>
      <b val="1"/>
      <color rgb="00C0504D"/>
      <sz val="9"/>
    </font>
    <font>
      <name val="Calibri"/>
      <b val="1"/>
      <color rgb="00FFFFFF"/>
      <sz val="12"/>
    </font>
    <font>
      <name val="Calibri"/>
      <b val="1"/>
      <color rgb="000000FF"/>
    </font>
  </fonts>
  <fills count="7">
    <fill>
      <patternFill/>
    </fill>
    <fill>
      <patternFill patternType="gray125"/>
    </fill>
    <fill>
      <patternFill patternType="solid">
        <fgColor rgb="001F3A52"/>
      </patternFill>
    </fill>
    <fill>
      <patternFill patternType="solid">
        <fgColor rgb="00FFF8E1"/>
      </patternFill>
    </fill>
    <fill>
      <patternFill patternType="solid">
        <fgColor rgb="005B6B7B"/>
      </patternFill>
    </fill>
    <fill>
      <patternFill patternType="solid">
        <fgColor rgb="00F3F5F7"/>
      </patternFill>
    </fill>
    <fill>
      <patternFill patternType="solid">
        <fgColor rgb="002A9D8F"/>
      </patternFill>
    </fill>
  </fills>
  <borders count="6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  <border>
      <bottom style="hair">
        <color rgb="00D9DEE3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2A9D8F"/>
      </top>
    </border>
    <border>
      <bottom style="medium">
        <color rgb="001F3A52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0" fillId="0" borderId="0" pivotButton="0" quotePrefix="0" xfId="0"/>
    <xf numFmtId="0" fontId="4" fillId="0" borderId="0" applyAlignment="1" pivotButton="0" quotePrefix="0" xfId="0">
      <alignment vertical="center"/>
    </xf>
    <xf numFmtId="167" fontId="14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15" fillId="5" borderId="4" applyAlignment="1" pivotButton="0" quotePrefix="0" xfId="0">
      <alignment horizontal="center" vertical="center"/>
    </xf>
    <xf numFmtId="0" fontId="0" fillId="5" borderId="0" pivotButton="0" quotePrefix="0" xfId="0"/>
    <xf numFmtId="0" fontId="15" fillId="5" borderId="4" applyAlignment="1" pivotButton="0" quotePrefix="0" xfId="0">
      <alignment horizontal="center" vertical="center" wrapText="1"/>
    </xf>
    <xf numFmtId="164" fontId="12" fillId="5" borderId="3" applyAlignment="1" pivotButton="0" quotePrefix="0" xfId="0">
      <alignment horizontal="center" vertical="center"/>
    </xf>
    <xf numFmtId="166" fontId="12" fillId="5" borderId="3" applyAlignment="1" pivotButton="0" quotePrefix="0" xfId="0">
      <alignment horizontal="center" vertical="center"/>
    </xf>
    <xf numFmtId="168" fontId="12" fillId="5" borderId="3" applyAlignment="1" pivotButton="0" quotePrefix="0" xfId="0">
      <alignment horizontal="center" vertical="center"/>
    </xf>
    <xf numFmtId="0" fontId="16" fillId="5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7" fillId="0" borderId="5" pivotButton="0" quotePrefix="0" xfId="0"/>
    <xf numFmtId="0" fontId="0" fillId="0" borderId="5" pivotButton="0" quotePrefix="0" xfId="0"/>
    <xf numFmtId="0" fontId="18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0" borderId="2" pivotButton="0" quotePrefix="0" xfId="0"/>
    <xf numFmtId="164" fontId="5" fillId="0" borderId="2" pivotButton="0" quotePrefix="0" xfId="0"/>
    <xf numFmtId="9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9" fontId="5" fillId="0" borderId="2" applyAlignment="1" pivotButton="0" quotePrefix="0" xfId="0">
      <alignment horizontal="right"/>
    </xf>
    <xf numFmtId="0" fontId="4" fillId="5" borderId="0" pivotButton="0" quotePrefix="0" xfId="0"/>
    <xf numFmtId="164" fontId="4" fillId="5" borderId="0" pivotButton="0" quotePrefix="0" xfId="0"/>
    <xf numFmtId="9" fontId="4" fillId="5" borderId="0" pivotButton="0" quotePrefix="0" xfId="0"/>
    <xf numFmtId="164" fontId="4" fillId="5" borderId="0" applyAlignment="1" pivotButton="0" quotePrefix="0" xfId="0">
      <alignment horizontal="right"/>
    </xf>
    <xf numFmtId="0" fontId="19" fillId="0" borderId="0" pivotButton="0" quotePrefix="0" xfId="0"/>
    <xf numFmtId="170" fontId="5" fillId="0" borderId="2" pivotButton="0" quotePrefix="0" xfId="0"/>
    <xf numFmtId="171" fontId="5" fillId="0" borderId="2" pivotButton="0" quotePrefix="0" xfId="0"/>
    <xf numFmtId="166" fontId="5" fillId="0" borderId="2" pivotButton="0" quotePrefix="0" xfId="0"/>
    <xf numFmtId="0" fontId="20" fillId="6" borderId="0" applyAlignment="1" pivotButton="0" quotePrefix="0" xfId="0">
      <alignment horizontal="center" vertical="center"/>
    </xf>
    <xf numFmtId="0" fontId="0" fillId="6" borderId="0" pivotButton="0" quotePrefix="0" xfId="0"/>
    <xf numFmtId="9" fontId="5" fillId="0" borderId="2" pivotButton="0" quotePrefix="0" xfId="0"/>
    <xf numFmtId="0" fontId="4" fillId="0" borderId="0" pivotButton="0" quotePrefix="0" xfId="0"/>
    <xf numFmtId="0" fontId="21" fillId="3" borderId="1" applyAlignment="1" pivotButton="0" quotePrefix="0" xfId="0">
      <alignment horizontal="center"/>
    </xf>
    <xf numFmtId="0" fontId="0" fillId="3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10" fillId="0" borderId="2" applyAlignment="1" pivotButton="0" quotePrefix="0" xfId="0">
      <alignment horizontal="left"/>
    </xf>
    <xf numFmtId="0" fontId="10" fillId="0" borderId="2" pivotButton="0" quotePrefix="0" xfId="0"/>
    <xf numFmtId="166" fontId="10" fillId="0" borderId="2" pivotButton="0" quotePrefix="0" xfId="0"/>
    <xf numFmtId="0" fontId="10" fillId="0" borderId="2" applyAlignment="1" pivotButton="0" quotePrefix="0" xfId="0">
      <alignment horizontal="center"/>
    </xf>
    <xf numFmtId="167" fontId="11" fillId="0" borderId="2" pivotButton="0" quotePrefix="0" xfId="0"/>
    <xf numFmtId="166" fontId="11" fillId="0" borderId="2" pivotButton="0" quotePrefix="0" xfId="0"/>
    <xf numFmtId="0" fontId="11" fillId="0" borderId="2" pivotButton="0" quotePrefix="0" xfId="0"/>
    <xf numFmtId="0" fontId="2" fillId="0" borderId="0" pivotButton="0" quotePrefix="0" xfId="0"/>
    <xf numFmtId="167" fontId="3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left"/>
    </xf>
    <xf numFmtId="0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167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right"/>
    </xf>
    <xf numFmtId="0" fontId="5" fillId="3" borderId="1" pivotButton="0" quotePrefix="0" xfId="0"/>
    <xf numFmtId="0" fontId="5" fillId="0" borderId="1" pivotButton="0" quotePrefix="0" xfId="0"/>
    <xf numFmtId="164" fontId="8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5">
    <dxf>
      <font>
        <name val="Calibri"/>
        <b val="1"/>
        <color rgb="00C0504D"/>
        <sz val="20"/>
      </font>
    </dxf>
    <dxf>
      <font>
        <name val="Calibri"/>
        <b val="1"/>
        <color rgb="002E7D32"/>
        <sz val="20"/>
      </font>
    </dxf>
    <dxf>
      <fill>
        <patternFill patternType="solid">
          <fgColor rgb="00FDE9E7"/>
        </patternFill>
      </fill>
    </dxf>
    <dxf>
      <font>
        <name val="Calibri"/>
        <color rgb="002E7D32"/>
      </font>
    </dxf>
    <dxf>
      <fill>
        <patternFill patternType="solid">
          <f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F3A52"/>
            </a:solidFill>
            <a:ln xmlns:a="http://schemas.openxmlformats.org/drawingml/2006/main">
              <a:solidFill>
                <a:srgbClr val="1F3A52"/>
              </a:solidFill>
              <a:prstDash val="solid"/>
            </a:ln>
          </spPr>
          <cat>
            <numRef>
              <f>'Dashboard'!$B$12:$B$19</f>
            </numRef>
          </cat>
          <val>
            <numRef>
              <f>'Dashboard'!$D$12:$D$19</f>
            </numRef>
          </val>
        </ser>
        <dLbls>
          <numFmt formatCode="$#,##0;;"/>
          <showLegendKey val="0"/>
          <showVal val="1"/>
          <showCatName val="0"/>
          <showSerName val="0"/>
        </dLbls>
        <gapWidth val="4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'Monthly Summary'!B32</f>
            </strRef>
          </tx>
          <spPr>
            <a:solidFill xmlns:a="http://schemas.openxmlformats.org/drawingml/2006/main">
              <a:srgbClr val="1F3A52"/>
            </a:solidFill>
            <a:ln xmlns:a="http://schemas.openxmlformats.org/drawingml/2006/main">
              <a:prstDash val="solid"/>
            </a:ln>
          </spPr>
          <cat>
            <numRef>
              <f>'Monthly Summary'!$D$33:$D$44</f>
            </numRef>
          </cat>
          <val>
            <numRef>
              <f>'Monthly Summary'!$B$33:$B$44</f>
            </numRef>
          </val>
        </ser>
        <ser>
          <idx val="1"/>
          <order val="1"/>
          <tx>
            <strRef>
              <f>'Monthly Summary'!C32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'Monthly Summary'!$D$33:$D$44</f>
            </numRef>
          </cat>
          <val>
            <numRef>
              <f>'Monthly Summary'!$C$33:$C$44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10</row>
      <rowOff>0</rowOff>
    </from>
    <ext cx="4896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4824000" cy="345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B1:W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0" customHeight="1">
      <c r="B1" s="1" t="inlineStr">
        <is>
          <t>Household Expense Dashboard</t>
        </is>
      </c>
    </row>
    <row r="2">
      <c r="B2" s="2">
        <f>"Period: "&amp;TEXT(MAX($Q$3,$Q$7),"d mmm yyyy")&amp;" to "&amp;TEXT(MIN($Q$4,$Q$8),"d mmm yyyy")&amp;"   |   "&amp;IF($G$4="Yes","including","excluding")&amp;" one-off costs"</f>
        <v/>
      </c>
      <c r="P2" t="inlineStr">
        <is>
          <t>Calculation helpers (hidden) - do not edit</t>
        </is>
      </c>
    </row>
    <row r="3">
      <c r="P3" t="inlineStr">
        <is>
          <t>Start date</t>
        </is>
      </c>
      <c r="Q3" s="3">
        <f>IF($C$4="All time",DATE(2000,1,1),IF(ISNUMBER($C$4),DATE(YEAR($C$4),MONTH($C$4),1),DATEVALUE("1 "&amp;$C$4)))</f>
        <v/>
      </c>
      <c r="R3" t="inlineStr">
        <is>
          <t>n</t>
        </is>
      </c>
      <c r="S3" t="inlineStr">
        <is>
          <t>category</t>
        </is>
      </c>
      <c r="T3" t="inlineStr">
        <is>
          <t>sort key</t>
        </is>
      </c>
      <c r="U3" t="inlineStr">
        <is>
          <t>spent</t>
        </is>
      </c>
    </row>
    <row r="4" ht="24" customHeight="1">
      <c r="B4" s="4" t="inlineStr">
        <is>
          <t>Month</t>
        </is>
      </c>
      <c r="C4" s="5" t="inlineStr">
        <is>
          <t>All time</t>
        </is>
      </c>
      <c r="D4" s="6" t="n"/>
      <c r="E4" s="7" t="inlineStr">
        <is>
          <t>Include one-off costs?</t>
        </is>
      </c>
      <c r="G4" s="6" t="inlineStr">
        <is>
          <t>Yes</t>
        </is>
      </c>
      <c r="I4" s="8" t="inlineStr">
        <is>
          <t>Pick a month (or All time) and Yes/No for one-offs - every number below updates.</t>
        </is>
      </c>
      <c r="P4" t="inlineStr">
        <is>
          <t>End date</t>
        </is>
      </c>
      <c r="Q4" s="3">
        <f>IF($C$4="All time",DATE(2100,12,31),EDATE(Q3,1)-1)</f>
        <v/>
      </c>
      <c r="R4" t="n">
        <v>1</v>
      </c>
      <c r="S4">
        <f>IF(INDEX(Lists!$H$4:$AA$4,1,R4)="","",INDEX(Lists!$H$4:$AA$4,1,R4))</f>
        <v/>
      </c>
      <c r="T4">
        <f>IF(S4="",-1,U4)-R4/1000000000</f>
        <v/>
      </c>
      <c r="U4">
        <f>IF(S4="",0,SUMIFS('Expense Log'!$I$5:$I$3000,'Expense Log'!$A$5:$A$3000,"&gt;="&amp;$Q$3,'Expense Log'!$A$5:$A$3000,"&lt;="&amp;$Q$4,'Expense Log'!$C$5:$C$3000,S4,'Expense Log'!$J$5:$J$3000,$Q$5))</f>
        <v/>
      </c>
    </row>
    <row r="5">
      <c r="P5" t="inlineStr">
        <is>
          <t>One-off criterion</t>
        </is>
      </c>
      <c r="Q5">
        <f>IF($G$4="Yes","&lt;&gt;zzzz","&lt;&gt;Yes")</f>
        <v/>
      </c>
      <c r="R5" t="n">
        <v>2</v>
      </c>
      <c r="S5">
        <f>IF(INDEX(Lists!$H$4:$AA$4,1,R5)="","",INDEX(Lists!$H$4:$AA$4,1,R5))</f>
        <v/>
      </c>
      <c r="T5">
        <f>IF(S5="",-1,U5)-R5/1000000000</f>
        <v/>
      </c>
      <c r="U5">
        <f>IF(S5="",0,SUMIFS('Expense Log'!$I$5:$I$3000,'Expense Log'!$A$5:$A$3000,"&gt;="&amp;$Q$3,'Expense Log'!$A$5:$A$3000,"&lt;="&amp;$Q$4,'Expense Log'!$C$5:$C$3000,S5,'Expense Log'!$J$5:$J$3000,$Q$5))</f>
        <v/>
      </c>
    </row>
    <row r="6" ht="18" customHeight="1">
      <c r="B6" s="9" t="inlineStr">
        <is>
          <t>TOTAL SPENT</t>
        </is>
      </c>
      <c r="C6" s="10" t="n"/>
      <c r="D6" s="9" t="inlineStr">
        <is>
          <t>FIXED NEEDS</t>
        </is>
      </c>
      <c r="E6" s="10" t="n"/>
      <c r="F6" s="9" t="inlineStr">
        <is>
          <t>VARIABLE WANTS</t>
        </is>
      </c>
      <c r="G6" s="10" t="n"/>
      <c r="H6" s="9" t="inlineStr">
        <is>
          <t>DAILY AVERAGE</t>
        </is>
      </c>
      <c r="I6" s="10" t="n"/>
      <c r="J6" s="9" t="inlineStr">
        <is>
          <t>VS PREVIOUS MONTH</t>
        </is>
      </c>
      <c r="K6" s="10" t="n"/>
      <c r="L6" s="11" t="inlineStr">
        <is>
          <t>TOP CATEGORY</t>
        </is>
      </c>
      <c r="M6" s="10" t="n"/>
      <c r="P6" t="inlineStr">
        <is>
          <t>Months in period</t>
        </is>
      </c>
      <c r="Q6">
        <f>IF($C$4="All time",MAX(1,COUNT('Monthly Summary'!$B$3:$Y$3)),1)</f>
        <v/>
      </c>
      <c r="R6" t="n">
        <v>3</v>
      </c>
      <c r="S6">
        <f>IF(INDEX(Lists!$H$4:$AA$4,1,R6)="","",INDEX(Lists!$H$4:$AA$4,1,R6))</f>
        <v/>
      </c>
      <c r="T6">
        <f>IF(S6="",-1,U6)-R6/1000000000</f>
        <v/>
      </c>
      <c r="U6">
        <f>IF(S6="",0,SUMIFS('Expense Log'!$I$5:$I$3000,'Expense Log'!$A$5:$A$3000,"&gt;="&amp;$Q$3,'Expense Log'!$A$5:$A$3000,"&lt;="&amp;$Q$4,'Expense Log'!$C$5:$C$3000,S6,'Expense Log'!$J$5:$J$3000,$Q$5))</f>
        <v/>
      </c>
    </row>
    <row r="7" ht="34" customHeight="1">
      <c r="B7" s="12">
        <f>$Q$12</f>
        <v/>
      </c>
      <c r="C7" s="10" t="n"/>
      <c r="D7" s="12">
        <f>SUMIFS('Expense Log'!$I$5:$I$3000,'Expense Log'!$A$5:$A$3000,"&gt;="&amp;$Q$3,'Expense Log'!$A$5:$A$3000,"&lt;="&amp;$Q$4,'Expense Log'!$E$5:$E$3000,Lists!$C$5,'Expense Log'!$J$5:$J$3000,$Q$5)</f>
        <v/>
      </c>
      <c r="E7" s="10" t="n"/>
      <c r="F7" s="12">
        <f>SUMIFS('Expense Log'!$I$5:$I$3000,'Expense Log'!$A$5:$A$3000,"&gt;="&amp;$Q$3,'Expense Log'!$A$5:$A$3000,"&lt;="&amp;$Q$4,'Expense Log'!$E$5:$E$3000,Lists!$C$6,'Expense Log'!$J$5:$J$3000,$Q$5)</f>
        <v/>
      </c>
      <c r="G7" s="10" t="n"/>
      <c r="H7" s="13">
        <f>$Q$12/$Q$9</f>
        <v/>
      </c>
      <c r="I7" s="10" t="n"/>
      <c r="J7" s="14">
        <f>IF($Q$13="","-",IF($Q$13=0,"n/a",$Q$12/$Q$13-1))</f>
        <v/>
      </c>
      <c r="K7" s="10" t="n"/>
      <c r="L7" s="15">
        <f>IF($Q$12=0,"-",B12)</f>
        <v/>
      </c>
      <c r="M7" s="10" t="n"/>
      <c r="P7" t="inlineStr">
        <is>
          <t>First date in log</t>
        </is>
      </c>
      <c r="Q7" s="3">
        <f>IF(COUNT('Expense Log'!$A$5:$A$3000)=0,0,MIN('Expense Log'!$A$5:$A$3000))</f>
        <v/>
      </c>
      <c r="R7" t="n">
        <v>4</v>
      </c>
      <c r="S7">
        <f>IF(INDEX(Lists!$H$4:$AA$4,1,R7)="","",INDEX(Lists!$H$4:$AA$4,1,R7))</f>
        <v/>
      </c>
      <c r="T7">
        <f>IF(S7="",-1,U7)-R7/1000000000</f>
        <v/>
      </c>
      <c r="U7">
        <f>IF(S7="",0,SUMIFS('Expense Log'!$I$5:$I$3000,'Expense Log'!$A$5:$A$3000,"&gt;="&amp;$Q$3,'Expense Log'!$A$5:$A$3000,"&lt;="&amp;$Q$4,'Expense Log'!$C$5:$C$3000,S7,'Expense Log'!$J$5:$J$3000,$Q$5))</f>
        <v/>
      </c>
    </row>
    <row r="8" ht="18" customHeight="1">
      <c r="B8" s="16">
        <f>$Q$14&amp;" transactions"</f>
        <v/>
      </c>
      <c r="C8" s="10" t="n"/>
      <c r="D8" s="16">
        <f>IF($Q$12=0,"",TEXT(D7/$Q$12,"0%")&amp;" of spend")</f>
        <v/>
      </c>
      <c r="E8" s="10" t="n"/>
      <c r="F8" s="16">
        <f>IF($Q$12=0,"",TEXT(F7/$Q$12,"0%")&amp;" of spend")</f>
        <v/>
      </c>
      <c r="G8" s="10" t="n"/>
      <c r="H8" s="16">
        <f>"over "&amp;$Q$9&amp;" days"</f>
        <v/>
      </c>
      <c r="I8" s="10" t="n"/>
      <c r="J8" s="16">
        <f>IF($Q$13="","All-time view","Prev. month: "&amp;TEXT($Q$13,"$#,##0"))</f>
        <v/>
      </c>
      <c r="K8" s="10" t="n"/>
      <c r="L8" s="17">
        <f>IF($Q$12=0,"",TEXT(D12,"$#,##0")&amp;" ("&amp;TEXT(E12,"0%")&amp;")")</f>
        <v/>
      </c>
      <c r="M8" s="10" t="n"/>
      <c r="P8" t="inlineStr">
        <is>
          <t>Last date in log</t>
        </is>
      </c>
      <c r="Q8" s="3">
        <f>IF(COUNT('Expense Log'!$A$5:$A$3000)=0,0,MAX('Expense Log'!$A$5:$A$3000))</f>
        <v/>
      </c>
      <c r="R8" t="n">
        <v>5</v>
      </c>
      <c r="S8">
        <f>IF(INDEX(Lists!$H$4:$AA$4,1,R8)="","",INDEX(Lists!$H$4:$AA$4,1,R8))</f>
        <v/>
      </c>
      <c r="T8">
        <f>IF(S8="",-1,U8)-R8/1000000000</f>
        <v/>
      </c>
      <c r="U8">
        <f>IF(S8="",0,SUMIFS('Expense Log'!$I$5:$I$3000,'Expense Log'!$A$5:$A$3000,"&gt;="&amp;$Q$3,'Expense Log'!$A$5:$A$3000,"&lt;="&amp;$Q$4,'Expense Log'!$C$5:$C$3000,S8,'Expense Log'!$J$5:$J$3000,$Q$5))</f>
        <v/>
      </c>
    </row>
    <row r="9">
      <c r="P9" t="inlineStr">
        <is>
          <t>Days in period (with data)</t>
        </is>
      </c>
      <c r="Q9">
        <f>MAX(1,MIN(Q4,Q8)-MAX(Q3,Q7)+1)</f>
        <v/>
      </c>
      <c r="R9" t="n">
        <v>6</v>
      </c>
      <c r="S9">
        <f>IF(INDEX(Lists!$H$4:$AA$4,1,R9)="","",INDEX(Lists!$H$4:$AA$4,1,R9))</f>
        <v/>
      </c>
      <c r="T9">
        <f>IF(S9="",-1,U9)-R9/1000000000</f>
        <v/>
      </c>
      <c r="U9">
        <f>IF(S9="",0,SUMIFS('Expense Log'!$I$5:$I$3000,'Expense Log'!$A$5:$A$3000,"&gt;="&amp;$Q$3,'Expense Log'!$A$5:$A$3000,"&lt;="&amp;$Q$4,'Expense Log'!$C$5:$C$3000,S9,'Expense Log'!$J$5:$J$3000,$Q$5))</f>
        <v/>
      </c>
    </row>
    <row r="10" ht="22" customHeight="1">
      <c r="B10" s="18" t="inlineStr">
        <is>
          <t>Where the money went</t>
        </is>
      </c>
      <c r="C10" s="19" t="n"/>
      <c r="D10" s="19" t="n"/>
      <c r="E10" s="19" t="n"/>
      <c r="F10" s="19" t="n"/>
      <c r="G10" s="19" t="n"/>
      <c r="H10" s="18" t="inlineStr">
        <is>
          <t>Top categories</t>
        </is>
      </c>
      <c r="I10" s="19" t="n"/>
      <c r="J10" s="19" t="n"/>
      <c r="K10" s="19" t="n"/>
      <c r="L10" s="19" t="n"/>
      <c r="M10" s="19" t="n"/>
      <c r="P10" t="inlineStr">
        <is>
          <t>Prev month start</t>
        </is>
      </c>
      <c r="Q10" s="3">
        <f>IF($C$4="All time","",EDATE(Q3,-1))</f>
        <v/>
      </c>
      <c r="R10" t="n">
        <v>7</v>
      </c>
      <c r="S10">
        <f>IF(INDEX(Lists!$H$4:$AA$4,1,R10)="","",INDEX(Lists!$H$4:$AA$4,1,R10))</f>
        <v/>
      </c>
      <c r="T10">
        <f>IF(S10="",-1,U10)-R10/1000000000</f>
        <v/>
      </c>
      <c r="U10">
        <f>IF(S10="",0,SUMIFS('Expense Log'!$I$5:$I$3000,'Expense Log'!$A$5:$A$3000,"&gt;="&amp;$Q$3,'Expense Log'!$A$5:$A$3000,"&lt;="&amp;$Q$4,'Expense Log'!$C$5:$C$3000,S10,'Expense Log'!$J$5:$J$3000,$Q$5))</f>
        <v/>
      </c>
    </row>
    <row r="11">
      <c r="B11" s="20" t="inlineStr">
        <is>
          <t>Category</t>
        </is>
      </c>
      <c r="C11" s="21" t="n"/>
      <c r="D11" s="20" t="inlineStr">
        <is>
          <t>Spent</t>
        </is>
      </c>
      <c r="E11" s="20" t="inlineStr">
        <is>
          <t>% of total</t>
        </is>
      </c>
      <c r="F11" s="20" t="inlineStr">
        <is>
          <t>Budget</t>
        </is>
      </c>
      <c r="G11" s="20" t="inlineStr">
        <is>
          <t>Left / (over)</t>
        </is>
      </c>
      <c r="P11" t="inlineStr">
        <is>
          <t>Prev month end</t>
        </is>
      </c>
      <c r="Q11" s="3">
        <f>IF($C$4="All time","",Q3-1)</f>
        <v/>
      </c>
      <c r="R11" t="n">
        <v>8</v>
      </c>
      <c r="S11">
        <f>IF(INDEX(Lists!$H$4:$AA$4,1,R11)="","",INDEX(Lists!$H$4:$AA$4,1,R11))</f>
        <v/>
      </c>
      <c r="T11">
        <f>IF(S11="",-1,U11)-R11/1000000000</f>
        <v/>
      </c>
      <c r="U11">
        <f>IF(S11="",0,SUMIFS('Expense Log'!$I$5:$I$3000,'Expense Log'!$A$5:$A$3000,"&gt;="&amp;$Q$3,'Expense Log'!$A$5:$A$3000,"&lt;="&amp;$Q$4,'Expense Log'!$C$5:$C$3000,S11,'Expense Log'!$J$5:$J$3000,$Q$5))</f>
        <v/>
      </c>
    </row>
    <row r="12">
      <c r="B12" s="22">
        <f>INDEX($S$4:$S$23,V12)</f>
        <v/>
      </c>
      <c r="C12" s="22" t="n"/>
      <c r="D12" s="23">
        <f>IF(B12="","",INDEX($U$4:$U$23,V12))</f>
        <v/>
      </c>
      <c r="E12" s="24">
        <f>IF(OR(B12="",$Q$12=0),"",D12/$Q$12)</f>
        <v/>
      </c>
      <c r="F12" s="25">
        <f>IF(B12="","",IF(INDEX(Lists!$H$5:$AA$5,1,V12)&gt;0,INDEX(Lists!$H$5:$AA$5,1,V12)*$Q$6,"-"))</f>
        <v/>
      </c>
      <c r="G12" s="26">
        <f>IF(OR(B12="",F12="-"),"",F12-D12)</f>
        <v/>
      </c>
      <c r="P12" t="inlineStr">
        <is>
          <t>Total spent</t>
        </is>
      </c>
      <c r="Q12">
        <f>SUMIFS('Expense Log'!$I$5:$I$3000,'Expense Log'!$A$5:$A$3000,"&gt;="&amp;Q3,'Expense Log'!$A$5:$A$3000,"&lt;="&amp;Q4,'Expense Log'!$J$5:$J$3000,Q5)</f>
        <v/>
      </c>
      <c r="R12" t="n">
        <v>9</v>
      </c>
      <c r="S12">
        <f>IF(INDEX(Lists!$H$4:$AA$4,1,R12)="","",INDEX(Lists!$H$4:$AA$4,1,R12))</f>
        <v/>
      </c>
      <c r="T12">
        <f>IF(S12="",-1,U12)-R12/1000000000</f>
        <v/>
      </c>
      <c r="U12">
        <f>IF(S12="",0,SUMIFS('Expense Log'!$I$5:$I$3000,'Expense Log'!$A$5:$A$3000,"&gt;="&amp;$Q$3,'Expense Log'!$A$5:$A$3000,"&lt;="&amp;$Q$4,'Expense Log'!$C$5:$C$3000,S12,'Expense Log'!$J$5:$J$3000,$Q$5))</f>
        <v/>
      </c>
      <c r="V12">
        <f>MATCH(LARGE($T$4:$T$23,ROWS($V$12:V12)),$T$4:$T$23,0)</f>
        <v/>
      </c>
    </row>
    <row r="13">
      <c r="B13" s="22">
        <f>INDEX($S$4:$S$23,V13)</f>
        <v/>
      </c>
      <c r="C13" s="22" t="n"/>
      <c r="D13" s="23">
        <f>IF(B13="","",INDEX($U$4:$U$23,V13))</f>
        <v/>
      </c>
      <c r="E13" s="24">
        <f>IF(OR(B13="",$Q$12=0),"",D13/$Q$12)</f>
        <v/>
      </c>
      <c r="F13" s="25">
        <f>IF(B13="","",IF(INDEX(Lists!$H$5:$AA$5,1,V13)&gt;0,INDEX(Lists!$H$5:$AA$5,1,V13)*$Q$6,"-"))</f>
        <v/>
      </c>
      <c r="G13" s="26">
        <f>IF(OR(B13="",F13="-"),"",F13-D13)</f>
        <v/>
      </c>
      <c r="P13" t="inlineStr">
        <is>
          <t>Prev month total</t>
        </is>
      </c>
      <c r="Q13">
        <f>IF(Q10="","",SUMIFS('Expense Log'!$I$5:$I$3000,'Expense Log'!$A$5:$A$3000,"&gt;="&amp;Q10,'Expense Log'!$A$5:$A$3000,"&lt;="&amp;Q11,'Expense Log'!$J$5:$J$3000,Q5))</f>
        <v/>
      </c>
      <c r="R13" t="n">
        <v>10</v>
      </c>
      <c r="S13">
        <f>IF(INDEX(Lists!$H$4:$AA$4,1,R13)="","",INDEX(Lists!$H$4:$AA$4,1,R13))</f>
        <v/>
      </c>
      <c r="T13">
        <f>IF(S13="",-1,U13)-R13/1000000000</f>
        <v/>
      </c>
      <c r="U13">
        <f>IF(S13="",0,SUMIFS('Expense Log'!$I$5:$I$3000,'Expense Log'!$A$5:$A$3000,"&gt;="&amp;$Q$3,'Expense Log'!$A$5:$A$3000,"&lt;="&amp;$Q$4,'Expense Log'!$C$5:$C$3000,S13,'Expense Log'!$J$5:$J$3000,$Q$5))</f>
        <v/>
      </c>
      <c r="V13">
        <f>MATCH(LARGE($T$4:$T$23,ROWS($V$12:V13)),$T$4:$T$23,0)</f>
        <v/>
      </c>
    </row>
    <row r="14">
      <c r="B14" s="22">
        <f>INDEX($S$4:$S$23,V14)</f>
        <v/>
      </c>
      <c r="C14" s="22" t="n"/>
      <c r="D14" s="23">
        <f>IF(B14="","",INDEX($U$4:$U$23,V14))</f>
        <v/>
      </c>
      <c r="E14" s="24">
        <f>IF(OR(B14="",$Q$12=0),"",D14/$Q$12)</f>
        <v/>
      </c>
      <c r="F14" s="25">
        <f>IF(B14="","",IF(INDEX(Lists!$H$5:$AA$5,1,V14)&gt;0,INDEX(Lists!$H$5:$AA$5,1,V14)*$Q$6,"-"))</f>
        <v/>
      </c>
      <c r="G14" s="26">
        <f>IF(OR(B14="",F14="-"),"",F14-D14)</f>
        <v/>
      </c>
      <c r="P14" t="inlineStr">
        <is>
          <t>Transactions</t>
        </is>
      </c>
      <c r="Q14">
        <f>COUNTIFS('Expense Log'!$A$5:$A$3000,"&gt;="&amp;Q3,'Expense Log'!$A$5:$A$3000,"&lt;="&amp;Q4,'Expense Log'!$J$5:$J$3000,Q5)</f>
        <v/>
      </c>
      <c r="R14" t="n">
        <v>11</v>
      </c>
      <c r="S14">
        <f>IF(INDEX(Lists!$H$4:$AA$4,1,R14)="","",INDEX(Lists!$H$4:$AA$4,1,R14))</f>
        <v/>
      </c>
      <c r="T14">
        <f>IF(S14="",-1,U14)-R14/1000000000</f>
        <v/>
      </c>
      <c r="U14">
        <f>IF(S14="",0,SUMIFS('Expense Log'!$I$5:$I$3000,'Expense Log'!$A$5:$A$3000,"&gt;="&amp;$Q$3,'Expense Log'!$A$5:$A$3000,"&lt;="&amp;$Q$4,'Expense Log'!$C$5:$C$3000,S14,'Expense Log'!$J$5:$J$3000,$Q$5))</f>
        <v/>
      </c>
      <c r="V14">
        <f>MATCH(LARGE($T$4:$T$23,ROWS($V$12:V14)),$T$4:$T$23,0)</f>
        <v/>
      </c>
    </row>
    <row r="15">
      <c r="B15" s="22">
        <f>INDEX($S$4:$S$23,V15)</f>
        <v/>
      </c>
      <c r="C15" s="22" t="n"/>
      <c r="D15" s="23">
        <f>IF(B15="","",INDEX($U$4:$U$23,V15))</f>
        <v/>
      </c>
      <c r="E15" s="24">
        <f>IF(OR(B15="",$Q$12=0),"",D15/$Q$12)</f>
        <v/>
      </c>
      <c r="F15" s="25">
        <f>IF(B15="","",IF(INDEX(Lists!$H$5:$AA$5,1,V15)&gt;0,INDEX(Lists!$H$5:$AA$5,1,V15)*$Q$6,"-"))</f>
        <v/>
      </c>
      <c r="G15" s="26">
        <f>IF(OR(B15="",F15="-"),"",F15-D15)</f>
        <v/>
      </c>
      <c r="P15" t="inlineStr">
        <is>
          <t>Include one-off flag</t>
        </is>
      </c>
      <c r="Q15">
        <f>$G$4</f>
        <v/>
      </c>
      <c r="R15" t="n">
        <v>12</v>
      </c>
      <c r="S15">
        <f>IF(INDEX(Lists!$H$4:$AA$4,1,R15)="","",INDEX(Lists!$H$4:$AA$4,1,R15))</f>
        <v/>
      </c>
      <c r="T15">
        <f>IF(S15="",-1,U15)-R15/1000000000</f>
        <v/>
      </c>
      <c r="U15">
        <f>IF(S15="",0,SUMIFS('Expense Log'!$I$5:$I$3000,'Expense Log'!$A$5:$A$3000,"&gt;="&amp;$Q$3,'Expense Log'!$A$5:$A$3000,"&lt;="&amp;$Q$4,'Expense Log'!$C$5:$C$3000,S15,'Expense Log'!$J$5:$J$3000,$Q$5))</f>
        <v/>
      </c>
      <c r="V15">
        <f>MATCH(LARGE($T$4:$T$23,ROWS($V$12:V15)),$T$4:$T$23,0)</f>
        <v/>
      </c>
    </row>
    <row r="16">
      <c r="B16" s="22">
        <f>INDEX($S$4:$S$23,V16)</f>
        <v/>
      </c>
      <c r="C16" s="22" t="n"/>
      <c r="D16" s="23">
        <f>IF(B16="","",INDEX($U$4:$U$23,V16))</f>
        <v/>
      </c>
      <c r="E16" s="24">
        <f>IF(OR(B16="",$Q$12=0),"",D16/$Q$12)</f>
        <v/>
      </c>
      <c r="F16" s="25">
        <f>IF(B16="","",IF(INDEX(Lists!$H$5:$AA$5,1,V16)&gt;0,INDEX(Lists!$H$5:$AA$5,1,V16)*$Q$6,"-"))</f>
        <v/>
      </c>
      <c r="G16" s="26">
        <f>IF(OR(B16="",F16="-"),"",F16-D16)</f>
        <v/>
      </c>
      <c r="P16" t="inlineStr">
        <is>
          <t>Drill-down category column</t>
        </is>
      </c>
      <c r="Q16">
        <f>IFERROR(MATCH($I$42,Lists!$H$4:$AA$4,0),0)</f>
        <v/>
      </c>
      <c r="R16" t="n">
        <v>13</v>
      </c>
      <c r="S16">
        <f>IF(INDEX(Lists!$H$4:$AA$4,1,R16)="","",INDEX(Lists!$H$4:$AA$4,1,R16))</f>
        <v/>
      </c>
      <c r="T16">
        <f>IF(S16="",-1,U16)-R16/1000000000</f>
        <v/>
      </c>
      <c r="U16">
        <f>IF(S16="",0,SUMIFS('Expense Log'!$I$5:$I$3000,'Expense Log'!$A$5:$A$3000,"&gt;="&amp;$Q$3,'Expense Log'!$A$5:$A$3000,"&lt;="&amp;$Q$4,'Expense Log'!$C$5:$C$3000,S16,'Expense Log'!$J$5:$J$3000,$Q$5))</f>
        <v/>
      </c>
      <c r="V16">
        <f>MATCH(LARGE($T$4:$T$23,ROWS($V$12:V16)),$T$4:$T$23,0)</f>
        <v/>
      </c>
    </row>
    <row r="17">
      <c r="B17" s="22">
        <f>INDEX($S$4:$S$23,V17)</f>
        <v/>
      </c>
      <c r="C17" s="22" t="n"/>
      <c r="D17" s="23">
        <f>IF(B17="","",INDEX($U$4:$U$23,V17))</f>
        <v/>
      </c>
      <c r="E17" s="24">
        <f>IF(OR(B17="",$Q$12=0),"",D17/$Q$12)</f>
        <v/>
      </c>
      <c r="F17" s="25">
        <f>IF(B17="","",IF(INDEX(Lists!$H$5:$AA$5,1,V17)&gt;0,INDEX(Lists!$H$5:$AA$5,1,V17)*$Q$6,"-"))</f>
        <v/>
      </c>
      <c r="G17" s="26">
        <f>IF(OR(B17="",F17="-"),"",F17-D17)</f>
        <v/>
      </c>
      <c r="P17" t="inlineStr">
        <is>
          <t>Drill-down category total</t>
        </is>
      </c>
      <c r="Q17">
        <f>SUMIFS('Expense Log'!$I$5:$I$3000,'Expense Log'!$C$5:$C$3000,$I$42,'Expense Log'!$A$5:$A$3000,"&gt;="&amp;Q3,'Expense Log'!$A$5:$A$3000,"&lt;="&amp;Q4,'Expense Log'!$J$5:$J$3000,Q5)</f>
        <v/>
      </c>
      <c r="R17" t="n">
        <v>14</v>
      </c>
      <c r="S17">
        <f>IF(INDEX(Lists!$H$4:$AA$4,1,R17)="","",INDEX(Lists!$H$4:$AA$4,1,R17))</f>
        <v/>
      </c>
      <c r="T17">
        <f>IF(S17="",-1,U17)-R17/1000000000</f>
        <v/>
      </c>
      <c r="U17">
        <f>IF(S17="",0,SUMIFS('Expense Log'!$I$5:$I$3000,'Expense Log'!$A$5:$A$3000,"&gt;="&amp;$Q$3,'Expense Log'!$A$5:$A$3000,"&lt;="&amp;$Q$4,'Expense Log'!$C$5:$C$3000,S17,'Expense Log'!$J$5:$J$3000,$Q$5))</f>
        <v/>
      </c>
      <c r="V17">
        <f>MATCH(LARGE($T$4:$T$23,ROWS($V$12:V17)),$T$4:$T$23,0)</f>
        <v/>
      </c>
    </row>
    <row r="18">
      <c r="B18" s="22">
        <f>INDEX($S$4:$S$23,V18)</f>
        <v/>
      </c>
      <c r="C18" s="22" t="n"/>
      <c r="D18" s="23">
        <f>IF(B18="","",INDEX($U$4:$U$23,V18))</f>
        <v/>
      </c>
      <c r="E18" s="24">
        <f>IF(OR(B18="",$Q$12=0),"",D18/$Q$12)</f>
        <v/>
      </c>
      <c r="F18" s="25">
        <f>IF(B18="","",IF(INDEX(Lists!$H$5:$AA$5,1,V18)&gt;0,INDEX(Lists!$H$5:$AA$5,1,V18)*$Q$6,"-"))</f>
        <v/>
      </c>
      <c r="G18" s="26">
        <f>IF(OR(B18="",F18="-"),"",F18-D18)</f>
        <v/>
      </c>
      <c r="R18" t="n">
        <v>15</v>
      </c>
      <c r="S18">
        <f>IF(INDEX(Lists!$H$4:$AA$4,1,R18)="","",INDEX(Lists!$H$4:$AA$4,1,R18))</f>
        <v/>
      </c>
      <c r="T18">
        <f>IF(S18="",-1,U18)-R18/1000000000</f>
        <v/>
      </c>
      <c r="U18">
        <f>IF(S18="",0,SUMIFS('Expense Log'!$I$5:$I$3000,'Expense Log'!$A$5:$A$3000,"&gt;="&amp;$Q$3,'Expense Log'!$A$5:$A$3000,"&lt;="&amp;$Q$4,'Expense Log'!$C$5:$C$3000,S18,'Expense Log'!$J$5:$J$3000,$Q$5))</f>
        <v/>
      </c>
      <c r="V18">
        <f>MATCH(LARGE($T$4:$T$23,ROWS($V$12:V18)),$T$4:$T$23,0)</f>
        <v/>
      </c>
    </row>
    <row r="19">
      <c r="B19" s="22">
        <f>INDEX($S$4:$S$23,V19)</f>
        <v/>
      </c>
      <c r="C19" s="22" t="n"/>
      <c r="D19" s="23">
        <f>IF(B19="","",INDEX($U$4:$U$23,V19))</f>
        <v/>
      </c>
      <c r="E19" s="24">
        <f>IF(OR(B19="",$Q$12=0),"",D19/$Q$12)</f>
        <v/>
      </c>
      <c r="F19" s="25">
        <f>IF(B19="","",IF(INDEX(Lists!$H$5:$AA$5,1,V19)&gt;0,INDEX(Lists!$H$5:$AA$5,1,V19)*$Q$6,"-"))</f>
        <v/>
      </c>
      <c r="G19" s="26">
        <f>IF(OR(B19="",F19="-"),"",F19-D19)</f>
        <v/>
      </c>
      <c r="R19" t="n">
        <v>16</v>
      </c>
      <c r="S19">
        <f>IF(INDEX(Lists!$H$4:$AA$4,1,R19)="","",INDEX(Lists!$H$4:$AA$4,1,R19))</f>
        <v/>
      </c>
      <c r="T19">
        <f>IF(S19="",-1,U19)-R19/1000000000</f>
        <v/>
      </c>
      <c r="U19">
        <f>IF(S19="",0,SUMIFS('Expense Log'!$I$5:$I$3000,'Expense Log'!$A$5:$A$3000,"&gt;="&amp;$Q$3,'Expense Log'!$A$5:$A$3000,"&lt;="&amp;$Q$4,'Expense Log'!$C$5:$C$3000,S19,'Expense Log'!$J$5:$J$3000,$Q$5))</f>
        <v/>
      </c>
      <c r="V19">
        <f>MATCH(LARGE($T$4:$T$23,ROWS($V$12:V19)),$T$4:$T$23,0)</f>
        <v/>
      </c>
    </row>
    <row r="20">
      <c r="B20" s="22">
        <f>INDEX($S$4:$S$23,V20)</f>
        <v/>
      </c>
      <c r="C20" s="22" t="n"/>
      <c r="D20" s="23">
        <f>IF(B20="","",INDEX($U$4:$U$23,V20))</f>
        <v/>
      </c>
      <c r="E20" s="24">
        <f>IF(OR(B20="",$Q$12=0),"",D20/$Q$12)</f>
        <v/>
      </c>
      <c r="F20" s="25">
        <f>IF(B20="","",IF(INDEX(Lists!$H$5:$AA$5,1,V20)&gt;0,INDEX(Lists!$H$5:$AA$5,1,V20)*$Q$6,"-"))</f>
        <v/>
      </c>
      <c r="G20" s="26">
        <f>IF(OR(B20="",F20="-"),"",F20-D20)</f>
        <v/>
      </c>
      <c r="R20" t="n">
        <v>17</v>
      </c>
      <c r="S20">
        <f>IF(INDEX(Lists!$H$4:$AA$4,1,R20)="","",INDEX(Lists!$H$4:$AA$4,1,R20))</f>
        <v/>
      </c>
      <c r="T20">
        <f>IF(S20="",-1,U20)-R20/1000000000</f>
        <v/>
      </c>
      <c r="U20">
        <f>IF(S20="",0,SUMIFS('Expense Log'!$I$5:$I$3000,'Expense Log'!$A$5:$A$3000,"&gt;="&amp;$Q$3,'Expense Log'!$A$5:$A$3000,"&lt;="&amp;$Q$4,'Expense Log'!$C$5:$C$3000,S20,'Expense Log'!$J$5:$J$3000,$Q$5))</f>
        <v/>
      </c>
      <c r="V20">
        <f>MATCH(LARGE($T$4:$T$23,ROWS($V$12:V20)),$T$4:$T$23,0)</f>
        <v/>
      </c>
    </row>
    <row r="21">
      <c r="B21" s="22">
        <f>INDEX($S$4:$S$23,V21)</f>
        <v/>
      </c>
      <c r="C21" s="22" t="n"/>
      <c r="D21" s="23">
        <f>IF(B21="","",INDEX($U$4:$U$23,V21))</f>
        <v/>
      </c>
      <c r="E21" s="24">
        <f>IF(OR(B21="",$Q$12=0),"",D21/$Q$12)</f>
        <v/>
      </c>
      <c r="F21" s="25">
        <f>IF(B21="","",IF(INDEX(Lists!$H$5:$AA$5,1,V21)&gt;0,INDEX(Lists!$H$5:$AA$5,1,V21)*$Q$6,"-"))</f>
        <v/>
      </c>
      <c r="G21" s="26">
        <f>IF(OR(B21="",F21="-"),"",F21-D21)</f>
        <v/>
      </c>
      <c r="R21" t="n">
        <v>18</v>
      </c>
      <c r="S21">
        <f>IF(INDEX(Lists!$H$4:$AA$4,1,R21)="","",INDEX(Lists!$H$4:$AA$4,1,R21))</f>
        <v/>
      </c>
      <c r="T21">
        <f>IF(S21="",-1,U21)-R21/1000000000</f>
        <v/>
      </c>
      <c r="U21">
        <f>IF(S21="",0,SUMIFS('Expense Log'!$I$5:$I$3000,'Expense Log'!$A$5:$A$3000,"&gt;="&amp;$Q$3,'Expense Log'!$A$5:$A$3000,"&lt;="&amp;$Q$4,'Expense Log'!$C$5:$C$3000,S21,'Expense Log'!$J$5:$J$3000,$Q$5))</f>
        <v/>
      </c>
      <c r="V21">
        <f>MATCH(LARGE($T$4:$T$23,ROWS($V$12:V21)),$T$4:$T$23,0)</f>
        <v/>
      </c>
    </row>
    <row r="22">
      <c r="B22" s="22">
        <f>INDEX($S$4:$S$23,V22)</f>
        <v/>
      </c>
      <c r="C22" s="22" t="n"/>
      <c r="D22" s="23">
        <f>IF(B22="","",INDEX($U$4:$U$23,V22))</f>
        <v/>
      </c>
      <c r="E22" s="24">
        <f>IF(OR(B22="",$Q$12=0),"",D22/$Q$12)</f>
        <v/>
      </c>
      <c r="F22" s="25">
        <f>IF(B22="","",IF(INDEX(Lists!$H$5:$AA$5,1,V22)&gt;0,INDEX(Lists!$H$5:$AA$5,1,V22)*$Q$6,"-"))</f>
        <v/>
      </c>
      <c r="G22" s="26">
        <f>IF(OR(B22="",F22="-"),"",F22-D22)</f>
        <v/>
      </c>
      <c r="R22" t="n">
        <v>19</v>
      </c>
      <c r="S22">
        <f>IF(INDEX(Lists!$H$4:$AA$4,1,R22)="","",INDEX(Lists!$H$4:$AA$4,1,R22))</f>
        <v/>
      </c>
      <c r="T22">
        <f>IF(S22="",-1,U22)-R22/1000000000</f>
        <v/>
      </c>
      <c r="U22">
        <f>IF(S22="",0,SUMIFS('Expense Log'!$I$5:$I$3000,'Expense Log'!$A$5:$A$3000,"&gt;="&amp;$Q$3,'Expense Log'!$A$5:$A$3000,"&lt;="&amp;$Q$4,'Expense Log'!$C$5:$C$3000,S22,'Expense Log'!$J$5:$J$3000,$Q$5))</f>
        <v/>
      </c>
      <c r="V22">
        <f>MATCH(LARGE($T$4:$T$23,ROWS($V$12:V22)),$T$4:$T$23,0)</f>
        <v/>
      </c>
    </row>
    <row r="23">
      <c r="B23" s="22">
        <f>INDEX($S$4:$S$23,V23)</f>
        <v/>
      </c>
      <c r="C23" s="22" t="n"/>
      <c r="D23" s="23">
        <f>IF(B23="","",INDEX($U$4:$U$23,V23))</f>
        <v/>
      </c>
      <c r="E23" s="24">
        <f>IF(OR(B23="",$Q$12=0),"",D23/$Q$12)</f>
        <v/>
      </c>
      <c r="F23" s="25">
        <f>IF(B23="","",IF(INDEX(Lists!$H$5:$AA$5,1,V23)&gt;0,INDEX(Lists!$H$5:$AA$5,1,V23)*$Q$6,"-"))</f>
        <v/>
      </c>
      <c r="G23" s="26">
        <f>IF(OR(B23="",F23="-"),"",F23-D23)</f>
        <v/>
      </c>
      <c r="R23" t="n">
        <v>20</v>
      </c>
      <c r="S23">
        <f>IF(INDEX(Lists!$H$4:$AA$4,1,R23)="","",INDEX(Lists!$H$4:$AA$4,1,R23))</f>
        <v/>
      </c>
      <c r="T23">
        <f>IF(S23="",-1,U23)-R23/1000000000</f>
        <v/>
      </c>
      <c r="U23">
        <f>IF(S23="",0,SUMIFS('Expense Log'!$I$5:$I$3000,'Expense Log'!$A$5:$A$3000,"&gt;="&amp;$Q$3,'Expense Log'!$A$5:$A$3000,"&lt;="&amp;$Q$4,'Expense Log'!$C$5:$C$3000,S23,'Expense Log'!$J$5:$J$3000,$Q$5))</f>
        <v/>
      </c>
      <c r="V23">
        <f>MATCH(LARGE($T$4:$T$23,ROWS($V$12:V23)),$T$4:$T$23,0)</f>
        <v/>
      </c>
    </row>
    <row r="24">
      <c r="B24" s="22">
        <f>INDEX($S$4:$S$23,V24)</f>
        <v/>
      </c>
      <c r="C24" s="22" t="n"/>
      <c r="D24" s="23">
        <f>IF(B24="","",INDEX($U$4:$U$23,V24))</f>
        <v/>
      </c>
      <c r="E24" s="24">
        <f>IF(OR(B24="",$Q$12=0),"",D24/$Q$12)</f>
        <v/>
      </c>
      <c r="F24" s="25">
        <f>IF(B24="","",IF(INDEX(Lists!$H$5:$AA$5,1,V24)&gt;0,INDEX(Lists!$H$5:$AA$5,1,V24)*$Q$6,"-"))</f>
        <v/>
      </c>
      <c r="G24" s="26">
        <f>IF(OR(B24="",F24="-"),"",F24-D24)</f>
        <v/>
      </c>
      <c r="V24">
        <f>MATCH(LARGE($T$4:$T$23,ROWS($V$12:V24)),$T$4:$T$23,0)</f>
        <v/>
      </c>
    </row>
    <row r="25">
      <c r="B25" s="22">
        <f>INDEX($S$4:$S$23,V25)</f>
        <v/>
      </c>
      <c r="C25" s="22" t="n"/>
      <c r="D25" s="23">
        <f>IF(B25="","",INDEX($U$4:$U$23,V25))</f>
        <v/>
      </c>
      <c r="E25" s="24">
        <f>IF(OR(B25="",$Q$12=0),"",D25/$Q$12)</f>
        <v/>
      </c>
      <c r="F25" s="25">
        <f>IF(B25="","",IF(INDEX(Lists!$H$5:$AA$5,1,V25)&gt;0,INDEX(Lists!$H$5:$AA$5,1,V25)*$Q$6,"-"))</f>
        <v/>
      </c>
      <c r="G25" s="26">
        <f>IF(OR(B25="",F25="-"),"",F25-D25)</f>
        <v/>
      </c>
      <c r="V25">
        <f>MATCH(LARGE($T$4:$T$23,ROWS($V$12:V25)),$T$4:$T$23,0)</f>
        <v/>
      </c>
    </row>
    <row r="26">
      <c r="B26" s="22">
        <f>INDEX($S$4:$S$23,V26)</f>
        <v/>
      </c>
      <c r="C26" s="22" t="n"/>
      <c r="D26" s="23">
        <f>IF(B26="","",INDEX($U$4:$U$23,V26))</f>
        <v/>
      </c>
      <c r="E26" s="24">
        <f>IF(OR(B26="",$Q$12=0),"",D26/$Q$12)</f>
        <v/>
      </c>
      <c r="F26" s="25">
        <f>IF(B26="","",IF(INDEX(Lists!$H$5:$AA$5,1,V26)&gt;0,INDEX(Lists!$H$5:$AA$5,1,V26)*$Q$6,"-"))</f>
        <v/>
      </c>
      <c r="G26" s="26">
        <f>IF(OR(B26="",F26="-"),"",F26-D26)</f>
        <v/>
      </c>
      <c r="V26">
        <f>MATCH(LARGE($T$4:$T$23,ROWS($V$12:V26)),$T$4:$T$23,0)</f>
        <v/>
      </c>
    </row>
    <row r="27">
      <c r="B27" s="27" t="inlineStr">
        <is>
          <t>Total</t>
        </is>
      </c>
      <c r="C27" s="27" t="n"/>
      <c r="D27" s="28">
        <f>SUM(D12:D26)</f>
        <v/>
      </c>
      <c r="E27" s="29">
        <f>IF($Q$12=0,"",SUM(E12:E26))</f>
        <v/>
      </c>
      <c r="F27" s="30">
        <f>IF(COUNT(F12:F26)=0,"-",SUM(F12:F26))</f>
        <v/>
      </c>
      <c r="G27" s="27" t="n"/>
    </row>
    <row r="28">
      <c r="B28" s="31">
        <f>IF(ABS($Q$12-D27)&gt;0.005,"Warning: "&amp;TEXT($Q$12-D27,"$#,##0.00")&amp;" is logged under a category that is not on the Lists sheet","")</f>
        <v/>
      </c>
    </row>
    <row r="30" ht="22" customHeight="1">
      <c r="B30" s="18" t="inlineStr">
        <is>
          <t>Settle up (all costs, incl. one-offs)</t>
        </is>
      </c>
      <c r="C30" s="19" t="n"/>
      <c r="D30" s="19" t="n"/>
      <c r="E30" s="19" t="n"/>
      <c r="F30" s="19" t="n"/>
      <c r="G30" s="19" t="n"/>
      <c r="H30" s="18" t="inlineStr">
        <is>
          <t>Biggest transactions in period</t>
        </is>
      </c>
      <c r="I30" s="19" t="n"/>
      <c r="J30" s="19" t="n"/>
      <c r="K30" s="19" t="n"/>
      <c r="L30" s="19" t="n"/>
      <c r="M30" s="19" t="n"/>
    </row>
    <row r="31">
      <c r="B31" s="20" t="inlineStr">
        <is>
          <t>Person</t>
        </is>
      </c>
      <c r="C31" s="21" t="n"/>
      <c r="D31" s="20" t="inlineStr">
        <is>
          <t>Paid</t>
        </is>
      </c>
      <c r="E31" s="20" t="inlineStr">
        <is>
          <t>Their share</t>
        </is>
      </c>
      <c r="F31" s="20" t="inlineStr">
        <is>
          <t>Net (paid - share)</t>
        </is>
      </c>
      <c r="G31" s="21" t="n"/>
      <c r="H31" s="20" t="inlineStr">
        <is>
          <t>Date</t>
        </is>
      </c>
      <c r="I31" s="20" t="inlineStr">
        <is>
          <t>Merchant</t>
        </is>
      </c>
      <c r="J31" s="21" t="n"/>
      <c r="K31" s="20" t="inlineStr">
        <is>
          <t>Category</t>
        </is>
      </c>
      <c r="L31" s="21" t="n"/>
      <c r="M31" s="20" t="inlineStr">
        <is>
          <t>Amount</t>
        </is>
      </c>
    </row>
    <row r="32">
      <c r="B32" s="22">
        <f>Lists!$A$5</f>
        <v/>
      </c>
      <c r="C32" s="22" t="n"/>
      <c r="D32" s="32">
        <f>SUMIFS('Expense Log'!$I$5:$I$3000,'Expense Log'!$F$5:$F$3000,B32,'Expense Log'!$A$5:$A$3000,"&gt;="&amp;$Q$3,'Expense Log'!$A$5:$A$3000,"&lt;="&amp;$Q$4)</f>
        <v/>
      </c>
      <c r="E32" s="32">
        <f>SUMIFS('Expense Log'!$M$5:$M$3000,'Expense Log'!$A$5:$A$3000,"&gt;="&amp;$Q$3,'Expense Log'!$A$5:$A$3000,"&lt;="&amp;$Q$4)</f>
        <v/>
      </c>
      <c r="F32" s="32">
        <f>D32-E32</f>
        <v/>
      </c>
      <c r="G32" s="22" t="n"/>
      <c r="H32" s="33">
        <f>IF($W32="","",INDEX('Expense Log'!$A$5:$A$3000,$W32))</f>
        <v/>
      </c>
      <c r="I32" s="22">
        <f>IF($W32="","",INDEX('Expense Log'!$B$5:$B$3000,$W32))</f>
        <v/>
      </c>
      <c r="J32" s="22" t="n"/>
      <c r="K32" s="22">
        <f>IF($W32="","",INDEX('Expense Log'!$C$5:$C$3000,$W32))</f>
        <v/>
      </c>
      <c r="L32" s="22" t="n"/>
      <c r="M32" s="34">
        <f>IF($W32="","",INDEX('Expense Log'!$I$5:$I$3000,$W32))</f>
        <v/>
      </c>
      <c r="W32">
        <f>IFERROR(MATCH(LARGE('Expense Log'!$Q$5:$Q$3000,ROWS(W$32:W32)),'Expense Log'!$Q$5:$Q$3000,0),"")</f>
        <v/>
      </c>
    </row>
    <row r="33">
      <c r="B33" s="22">
        <f>Lists!$A$6</f>
        <v/>
      </c>
      <c r="C33" s="22" t="n"/>
      <c r="D33" s="32">
        <f>SUMIFS('Expense Log'!$I$5:$I$3000,'Expense Log'!$F$5:$F$3000,B33,'Expense Log'!$A$5:$A$3000,"&gt;="&amp;$Q$3,'Expense Log'!$A$5:$A$3000,"&lt;="&amp;$Q$4)</f>
        <v/>
      </c>
      <c r="E33" s="32">
        <f>SUMIFS('Expense Log'!$N$5:$N$3000,'Expense Log'!$A$5:$A$3000,"&gt;="&amp;$Q$3,'Expense Log'!$A$5:$A$3000,"&lt;="&amp;$Q$4)</f>
        <v/>
      </c>
      <c r="F33" s="32">
        <f>D33-E33</f>
        <v/>
      </c>
      <c r="G33" s="22" t="n"/>
      <c r="H33" s="33">
        <f>IF($W33="","",INDEX('Expense Log'!$A$5:$A$3000,$W33))</f>
        <v/>
      </c>
      <c r="I33" s="22">
        <f>IF($W33="","",INDEX('Expense Log'!$B$5:$B$3000,$W33))</f>
        <v/>
      </c>
      <c r="J33" s="22" t="n"/>
      <c r="K33" s="22">
        <f>IF($W33="","",INDEX('Expense Log'!$C$5:$C$3000,$W33))</f>
        <v/>
      </c>
      <c r="L33" s="22" t="n"/>
      <c r="M33" s="34">
        <f>IF($W33="","",INDEX('Expense Log'!$I$5:$I$3000,$W33))</f>
        <v/>
      </c>
      <c r="W33">
        <f>IFERROR(MATCH(LARGE('Expense Log'!$Q$5:$Q$3000,ROWS(W$32:W33)),'Expense Log'!$Q$5:$Q$3000,0),"")</f>
        <v/>
      </c>
    </row>
    <row r="34" ht="24" customHeight="1">
      <c r="B34" s="35">
        <f>IF(ABS(F32)&lt;0.005,"All square - nobody owes anything",IF(F32&gt;0,B33&amp;" owes "&amp;B32&amp;" "&amp;TEXT(F32,"$#,##0.00"),B32&amp;" owes "&amp;B33&amp;" "&amp;TEXT(-F32,"$#,##0.00")))</f>
        <v/>
      </c>
      <c r="C34" s="36" t="n"/>
      <c r="D34" s="36" t="n"/>
      <c r="E34" s="36" t="n"/>
      <c r="F34" s="36" t="n"/>
      <c r="G34" s="36" t="n"/>
      <c r="H34" s="33">
        <f>IF($W34="","",INDEX('Expense Log'!$A$5:$A$3000,$W34))</f>
        <v/>
      </c>
      <c r="I34" s="22">
        <f>IF($W34="","",INDEX('Expense Log'!$B$5:$B$3000,$W34))</f>
        <v/>
      </c>
      <c r="J34" s="22" t="n"/>
      <c r="K34" s="22">
        <f>IF($W34="","",INDEX('Expense Log'!$C$5:$C$3000,$W34))</f>
        <v/>
      </c>
      <c r="L34" s="22" t="n"/>
      <c r="M34" s="34">
        <f>IF($W34="","",INDEX('Expense Log'!$I$5:$I$3000,$W34))</f>
        <v/>
      </c>
      <c r="W34">
        <f>IFERROR(MATCH(LARGE('Expense Log'!$Q$5:$Q$3000,ROWS(W$32:W34)),'Expense Log'!$Q$5:$Q$3000,0),"")</f>
        <v/>
      </c>
    </row>
    <row r="35">
      <c r="H35" s="33">
        <f>IF($W35="","",INDEX('Expense Log'!$A$5:$A$3000,$W35))</f>
        <v/>
      </c>
      <c r="I35" s="22">
        <f>IF($W35="","",INDEX('Expense Log'!$B$5:$B$3000,$W35))</f>
        <v/>
      </c>
      <c r="J35" s="22" t="n"/>
      <c r="K35" s="22">
        <f>IF($W35="","",INDEX('Expense Log'!$C$5:$C$3000,$W35))</f>
        <v/>
      </c>
      <c r="L35" s="22" t="n"/>
      <c r="M35" s="34">
        <f>IF($W35="","",INDEX('Expense Log'!$I$5:$I$3000,$W35))</f>
        <v/>
      </c>
      <c r="W35">
        <f>IFERROR(MATCH(LARGE('Expense Log'!$Q$5:$Q$3000,ROWS(W$32:W35)),'Expense Log'!$Q$5:$Q$3000,0),"")</f>
        <v/>
      </c>
    </row>
    <row r="36">
      <c r="B36" s="20" t="inlineStr">
        <is>
          <t>Split type</t>
        </is>
      </c>
      <c r="C36" s="21" t="n"/>
      <c r="D36" s="20" t="inlineStr">
        <is>
          <t>Amount</t>
        </is>
      </c>
      <c r="E36" s="20" t="inlineStr">
        <is>
          <t>% of total</t>
        </is>
      </c>
      <c r="H36" s="33">
        <f>IF($W36="","",INDEX('Expense Log'!$A$5:$A$3000,$W36))</f>
        <v/>
      </c>
      <c r="I36" s="22">
        <f>IF($W36="","",INDEX('Expense Log'!$B$5:$B$3000,$W36))</f>
        <v/>
      </c>
      <c r="J36" s="22" t="n"/>
      <c r="K36" s="22">
        <f>IF($W36="","",INDEX('Expense Log'!$C$5:$C$3000,$W36))</f>
        <v/>
      </c>
      <c r="L36" s="22" t="n"/>
      <c r="M36" s="34">
        <f>IF($W36="","",INDEX('Expense Log'!$I$5:$I$3000,$W36))</f>
        <v/>
      </c>
      <c r="W36">
        <f>IFERROR(MATCH(LARGE('Expense Log'!$Q$5:$Q$3000,ROWS(W$32:W36)),'Expense Log'!$Q$5:$Q$3000,0),"")</f>
        <v/>
      </c>
    </row>
    <row r="37">
      <c r="B37" s="22">
        <f>Lists!$B$5</f>
        <v/>
      </c>
      <c r="C37" s="22" t="n"/>
      <c r="D37" s="23">
        <f>SUMIFS('Expense Log'!$I$5:$I$3000,'Expense Log'!$G$5:$G$3000,B37,'Expense Log'!$A$5:$A$3000,"&gt;="&amp;$Q$3,'Expense Log'!$A$5:$A$3000,"&lt;="&amp;$Q$4)</f>
        <v/>
      </c>
      <c r="E37" s="37">
        <f>IF(SUM($D$37:$D$39)=0,"",D37/SUM($D$37:$D$39))</f>
        <v/>
      </c>
      <c r="H37" s="33">
        <f>IF($W37="","",INDEX('Expense Log'!$A$5:$A$3000,$W37))</f>
        <v/>
      </c>
      <c r="I37" s="22">
        <f>IF($W37="","",INDEX('Expense Log'!$B$5:$B$3000,$W37))</f>
        <v/>
      </c>
      <c r="J37" s="22" t="n"/>
      <c r="K37" s="22">
        <f>IF($W37="","",INDEX('Expense Log'!$C$5:$C$3000,$W37))</f>
        <v/>
      </c>
      <c r="L37" s="22" t="n"/>
      <c r="M37" s="34">
        <f>IF($W37="","",INDEX('Expense Log'!$I$5:$I$3000,$W37))</f>
        <v/>
      </c>
      <c r="W37">
        <f>IFERROR(MATCH(LARGE('Expense Log'!$Q$5:$Q$3000,ROWS(W$32:W37)),'Expense Log'!$Q$5:$Q$3000,0),"")</f>
        <v/>
      </c>
    </row>
    <row r="38">
      <c r="B38" s="22">
        <f>Lists!$B$6</f>
        <v/>
      </c>
      <c r="C38" s="22" t="n"/>
      <c r="D38" s="23">
        <f>SUMIFS('Expense Log'!$I$5:$I$3000,'Expense Log'!$G$5:$G$3000,B38,'Expense Log'!$A$5:$A$3000,"&gt;="&amp;$Q$3,'Expense Log'!$A$5:$A$3000,"&lt;="&amp;$Q$4)</f>
        <v/>
      </c>
      <c r="E38" s="37">
        <f>IF(SUM($D$37:$D$39)=0,"",D38/SUM($D$37:$D$39))</f>
        <v/>
      </c>
      <c r="H38" s="33">
        <f>IF($W38="","",INDEX('Expense Log'!$A$5:$A$3000,$W38))</f>
        <v/>
      </c>
      <c r="I38" s="22">
        <f>IF($W38="","",INDEX('Expense Log'!$B$5:$B$3000,$W38))</f>
        <v/>
      </c>
      <c r="J38" s="22" t="n"/>
      <c r="K38" s="22">
        <f>IF($W38="","",INDEX('Expense Log'!$C$5:$C$3000,$W38))</f>
        <v/>
      </c>
      <c r="L38" s="22" t="n"/>
      <c r="M38" s="34">
        <f>IF($W38="","",INDEX('Expense Log'!$I$5:$I$3000,$W38))</f>
        <v/>
      </c>
      <c r="W38">
        <f>IFERROR(MATCH(LARGE('Expense Log'!$Q$5:$Q$3000,ROWS(W$32:W38)),'Expense Log'!$Q$5:$Q$3000,0),"")</f>
        <v/>
      </c>
    </row>
    <row r="39">
      <c r="B39" s="22">
        <f>Lists!$B$7</f>
        <v/>
      </c>
      <c r="C39" s="22" t="n"/>
      <c r="D39" s="23">
        <f>SUMIFS('Expense Log'!$I$5:$I$3000,'Expense Log'!$G$5:$G$3000,B39,'Expense Log'!$A$5:$A$3000,"&gt;="&amp;$Q$3,'Expense Log'!$A$5:$A$3000,"&lt;="&amp;$Q$4)</f>
        <v/>
      </c>
      <c r="E39" s="37">
        <f>IF(SUM($D$37:$D$39)=0,"",D39/SUM($D$37:$D$39))</f>
        <v/>
      </c>
      <c r="H39" s="33">
        <f>IF($W39="","",INDEX('Expense Log'!$A$5:$A$3000,$W39))</f>
        <v/>
      </c>
      <c r="I39" s="22">
        <f>IF($W39="","",INDEX('Expense Log'!$B$5:$B$3000,$W39))</f>
        <v/>
      </c>
      <c r="J39" s="22" t="n"/>
      <c r="K39" s="22">
        <f>IF($W39="","",INDEX('Expense Log'!$C$5:$C$3000,$W39))</f>
        <v/>
      </c>
      <c r="L39" s="22" t="n"/>
      <c r="M39" s="34">
        <f>IF($W39="","",INDEX('Expense Log'!$I$5:$I$3000,$W39))</f>
        <v/>
      </c>
      <c r="W39">
        <f>IFERROR(MATCH(LARGE('Expense Log'!$Q$5:$Q$3000,ROWS(W$32:W39)),'Expense Log'!$Q$5:$Q$3000,0),"")</f>
        <v/>
      </c>
    </row>
    <row r="41" ht="22" customHeight="1">
      <c r="B41" s="18" t="inlineStr">
        <is>
          <t>Monthly trend (last 12 months)</t>
        </is>
      </c>
      <c r="C41" s="19" t="n"/>
      <c r="D41" s="19" t="n"/>
      <c r="E41" s="19" t="n"/>
      <c r="F41" s="19" t="n"/>
      <c r="G41" s="19" t="n"/>
      <c r="H41" s="18" t="inlineStr">
        <is>
          <t>Category drill-down</t>
        </is>
      </c>
      <c r="I41" s="19" t="n"/>
      <c r="J41" s="19" t="n"/>
      <c r="K41" s="19" t="n"/>
      <c r="L41" s="19" t="n"/>
      <c r="M41" s="19" t="n"/>
    </row>
    <row r="42">
      <c r="H42" s="38" t="inlineStr">
        <is>
          <t>Category:</t>
        </is>
      </c>
      <c r="I42" s="39">
        <f>Lists!$H$4</f>
        <v/>
      </c>
      <c r="J42" s="40" t="n"/>
      <c r="K42" s="40" t="n"/>
    </row>
    <row r="43">
      <c r="H43" s="20" t="inlineStr">
        <is>
          <t>Sub-category</t>
        </is>
      </c>
      <c r="I43" s="21" t="n"/>
      <c r="J43" s="21" t="n"/>
      <c r="K43" s="21" t="n"/>
      <c r="L43" s="20" t="inlineStr">
        <is>
          <t>Spent</t>
        </is>
      </c>
      <c r="M43" s="20" t="inlineStr">
        <is>
          <t>% of category</t>
        </is>
      </c>
    </row>
    <row r="44">
      <c r="H44" s="22">
        <f>IF($Q$16=0,"",IF(INDEX(Lists!$H$6:$AA$45,1,$Q$16)="","",INDEX(Lists!$H$6:$AA$45,1,$Q$16)))</f>
        <v/>
      </c>
      <c r="I44" s="22" t="n"/>
      <c r="J44" s="22" t="n"/>
      <c r="K44" s="22" t="n"/>
      <c r="L44" s="23">
        <f>IF(H44="","",SUMIFS('Expense Log'!$I$5:$I$3000,'Expense Log'!$C$5:$C$3000,$I$42,'Expense Log'!$D$5:$D$3000,H44,'Expense Log'!$A$5:$A$3000,"&gt;="&amp;$Q$3,'Expense Log'!$A$5:$A$3000,"&lt;="&amp;$Q$4,'Expense Log'!$J$5:$J$3000,$Q$5))</f>
        <v/>
      </c>
      <c r="M44" s="37">
        <f>IF(OR(H44="",$Q$17=0),"",L44/$Q$17)</f>
        <v/>
      </c>
    </row>
    <row r="45">
      <c r="H45" s="22">
        <f>IF($Q$16=0,"",IF(INDEX(Lists!$H$6:$AA$45,2,$Q$16)="","",INDEX(Lists!$H$6:$AA$45,2,$Q$16)))</f>
        <v/>
      </c>
      <c r="I45" s="22" t="n"/>
      <c r="J45" s="22" t="n"/>
      <c r="K45" s="22" t="n"/>
      <c r="L45" s="23">
        <f>IF(H45="","",SUMIFS('Expense Log'!$I$5:$I$3000,'Expense Log'!$C$5:$C$3000,$I$42,'Expense Log'!$D$5:$D$3000,H45,'Expense Log'!$A$5:$A$3000,"&gt;="&amp;$Q$3,'Expense Log'!$A$5:$A$3000,"&lt;="&amp;$Q$4,'Expense Log'!$J$5:$J$3000,$Q$5))</f>
        <v/>
      </c>
      <c r="M45" s="37">
        <f>IF(OR(H45="",$Q$17=0),"",L45/$Q$17)</f>
        <v/>
      </c>
    </row>
    <row r="46">
      <c r="H46" s="22">
        <f>IF($Q$16=0,"",IF(INDEX(Lists!$H$6:$AA$45,3,$Q$16)="","",INDEX(Lists!$H$6:$AA$45,3,$Q$16)))</f>
        <v/>
      </c>
      <c r="I46" s="22" t="n"/>
      <c r="J46" s="22" t="n"/>
      <c r="K46" s="22" t="n"/>
      <c r="L46" s="23">
        <f>IF(H46="","",SUMIFS('Expense Log'!$I$5:$I$3000,'Expense Log'!$C$5:$C$3000,$I$42,'Expense Log'!$D$5:$D$3000,H46,'Expense Log'!$A$5:$A$3000,"&gt;="&amp;$Q$3,'Expense Log'!$A$5:$A$3000,"&lt;="&amp;$Q$4,'Expense Log'!$J$5:$J$3000,$Q$5))</f>
        <v/>
      </c>
      <c r="M46" s="37">
        <f>IF(OR(H46="",$Q$17=0),"",L46/$Q$17)</f>
        <v/>
      </c>
    </row>
    <row r="47">
      <c r="H47" s="22">
        <f>IF($Q$16=0,"",IF(INDEX(Lists!$H$6:$AA$45,4,$Q$16)="","",INDEX(Lists!$H$6:$AA$45,4,$Q$16)))</f>
        <v/>
      </c>
      <c r="I47" s="22" t="n"/>
      <c r="J47" s="22" t="n"/>
      <c r="K47" s="22" t="n"/>
      <c r="L47" s="23">
        <f>IF(H47="","",SUMIFS('Expense Log'!$I$5:$I$3000,'Expense Log'!$C$5:$C$3000,$I$42,'Expense Log'!$D$5:$D$3000,H47,'Expense Log'!$A$5:$A$3000,"&gt;="&amp;$Q$3,'Expense Log'!$A$5:$A$3000,"&lt;="&amp;$Q$4,'Expense Log'!$J$5:$J$3000,$Q$5))</f>
        <v/>
      </c>
      <c r="M47" s="37">
        <f>IF(OR(H47="",$Q$17=0),"",L47/$Q$17)</f>
        <v/>
      </c>
    </row>
    <row r="48">
      <c r="H48" s="22">
        <f>IF($Q$16=0,"",IF(INDEX(Lists!$H$6:$AA$45,5,$Q$16)="","",INDEX(Lists!$H$6:$AA$45,5,$Q$16)))</f>
        <v/>
      </c>
      <c r="I48" s="22" t="n"/>
      <c r="J48" s="22" t="n"/>
      <c r="K48" s="22" t="n"/>
      <c r="L48" s="23">
        <f>IF(H48="","",SUMIFS('Expense Log'!$I$5:$I$3000,'Expense Log'!$C$5:$C$3000,$I$42,'Expense Log'!$D$5:$D$3000,H48,'Expense Log'!$A$5:$A$3000,"&gt;="&amp;$Q$3,'Expense Log'!$A$5:$A$3000,"&lt;="&amp;$Q$4,'Expense Log'!$J$5:$J$3000,$Q$5))</f>
        <v/>
      </c>
      <c r="M48" s="37">
        <f>IF(OR(H48="",$Q$17=0),"",L48/$Q$17)</f>
        <v/>
      </c>
    </row>
    <row r="49">
      <c r="H49" s="22">
        <f>IF($Q$16=0,"",IF(INDEX(Lists!$H$6:$AA$45,6,$Q$16)="","",INDEX(Lists!$H$6:$AA$45,6,$Q$16)))</f>
        <v/>
      </c>
      <c r="I49" s="22" t="n"/>
      <c r="J49" s="22" t="n"/>
      <c r="K49" s="22" t="n"/>
      <c r="L49" s="23">
        <f>IF(H49="","",SUMIFS('Expense Log'!$I$5:$I$3000,'Expense Log'!$C$5:$C$3000,$I$42,'Expense Log'!$D$5:$D$3000,H49,'Expense Log'!$A$5:$A$3000,"&gt;="&amp;$Q$3,'Expense Log'!$A$5:$A$3000,"&lt;="&amp;$Q$4,'Expense Log'!$J$5:$J$3000,$Q$5))</f>
        <v/>
      </c>
      <c r="M49" s="37">
        <f>IF(OR(H49="",$Q$17=0),"",L49/$Q$17)</f>
        <v/>
      </c>
    </row>
    <row r="50">
      <c r="H50" s="22">
        <f>IF($Q$16=0,"",IF(INDEX(Lists!$H$6:$AA$45,7,$Q$16)="","",INDEX(Lists!$H$6:$AA$45,7,$Q$16)))</f>
        <v/>
      </c>
      <c r="I50" s="22" t="n"/>
      <c r="J50" s="22" t="n"/>
      <c r="K50" s="22" t="n"/>
      <c r="L50" s="23">
        <f>IF(H50="","",SUMIFS('Expense Log'!$I$5:$I$3000,'Expense Log'!$C$5:$C$3000,$I$42,'Expense Log'!$D$5:$D$3000,H50,'Expense Log'!$A$5:$A$3000,"&gt;="&amp;$Q$3,'Expense Log'!$A$5:$A$3000,"&lt;="&amp;$Q$4,'Expense Log'!$J$5:$J$3000,$Q$5))</f>
        <v/>
      </c>
      <c r="M50" s="37">
        <f>IF(OR(H50="",$Q$17=0),"",L50/$Q$17)</f>
        <v/>
      </c>
    </row>
    <row r="51">
      <c r="H51" s="22">
        <f>IF($Q$16=0,"",IF(INDEX(Lists!$H$6:$AA$45,8,$Q$16)="","",INDEX(Lists!$H$6:$AA$45,8,$Q$16)))</f>
        <v/>
      </c>
      <c r="I51" s="22" t="n"/>
      <c r="J51" s="22" t="n"/>
      <c r="K51" s="22" t="n"/>
      <c r="L51" s="23">
        <f>IF(H51="","",SUMIFS('Expense Log'!$I$5:$I$3000,'Expense Log'!$C$5:$C$3000,$I$42,'Expense Log'!$D$5:$D$3000,H51,'Expense Log'!$A$5:$A$3000,"&gt;="&amp;$Q$3,'Expense Log'!$A$5:$A$3000,"&lt;="&amp;$Q$4,'Expense Log'!$J$5:$J$3000,$Q$5))</f>
        <v/>
      </c>
      <c r="M51" s="37">
        <f>IF(OR(H51="",$Q$17=0),"",L51/$Q$17)</f>
        <v/>
      </c>
    </row>
    <row r="52">
      <c r="H52" s="22">
        <f>IF($Q$16=0,"",IF(INDEX(Lists!$H$6:$AA$45,9,$Q$16)="","",INDEX(Lists!$H$6:$AA$45,9,$Q$16)))</f>
        <v/>
      </c>
      <c r="I52" s="22" t="n"/>
      <c r="J52" s="22" t="n"/>
      <c r="K52" s="22" t="n"/>
      <c r="L52" s="23">
        <f>IF(H52="","",SUMIFS('Expense Log'!$I$5:$I$3000,'Expense Log'!$C$5:$C$3000,$I$42,'Expense Log'!$D$5:$D$3000,H52,'Expense Log'!$A$5:$A$3000,"&gt;="&amp;$Q$3,'Expense Log'!$A$5:$A$3000,"&lt;="&amp;$Q$4,'Expense Log'!$J$5:$J$3000,$Q$5))</f>
        <v/>
      </c>
      <c r="M52" s="37">
        <f>IF(OR(H52="",$Q$17=0),"",L52/$Q$17)</f>
        <v/>
      </c>
    </row>
    <row r="53">
      <c r="H53" s="22">
        <f>IF($Q$16=0,"",IF(INDEX(Lists!$H$6:$AA$45,10,$Q$16)="","",INDEX(Lists!$H$6:$AA$45,10,$Q$16)))</f>
        <v/>
      </c>
      <c r="I53" s="22" t="n"/>
      <c r="J53" s="22" t="n"/>
      <c r="K53" s="22" t="n"/>
      <c r="L53" s="23">
        <f>IF(H53="","",SUMIFS('Expense Log'!$I$5:$I$3000,'Expense Log'!$C$5:$C$3000,$I$42,'Expense Log'!$D$5:$D$3000,H53,'Expense Log'!$A$5:$A$3000,"&gt;="&amp;$Q$3,'Expense Log'!$A$5:$A$3000,"&lt;="&amp;$Q$4,'Expense Log'!$J$5:$J$3000,$Q$5))</f>
        <v/>
      </c>
      <c r="M53" s="37">
        <f>IF(OR(H53="",$Q$17=0),"",L53/$Q$17)</f>
        <v/>
      </c>
    </row>
    <row r="54">
      <c r="H54" s="22">
        <f>IF($Q$16=0,"",IF(INDEX(Lists!$H$6:$AA$45,11,$Q$16)="","",INDEX(Lists!$H$6:$AA$45,11,$Q$16)))</f>
        <v/>
      </c>
      <c r="I54" s="22" t="n"/>
      <c r="J54" s="22" t="n"/>
      <c r="K54" s="22" t="n"/>
      <c r="L54" s="23">
        <f>IF(H54="","",SUMIFS('Expense Log'!$I$5:$I$3000,'Expense Log'!$C$5:$C$3000,$I$42,'Expense Log'!$D$5:$D$3000,H54,'Expense Log'!$A$5:$A$3000,"&gt;="&amp;$Q$3,'Expense Log'!$A$5:$A$3000,"&lt;="&amp;$Q$4,'Expense Log'!$J$5:$J$3000,$Q$5))</f>
        <v/>
      </c>
      <c r="M54" s="37">
        <f>IF(OR(H54="",$Q$17=0),"",L54/$Q$17)</f>
        <v/>
      </c>
    </row>
    <row r="55">
      <c r="H55" s="22">
        <f>IF($Q$16=0,"",IF(INDEX(Lists!$H$6:$AA$45,12,$Q$16)="","",INDEX(Lists!$H$6:$AA$45,12,$Q$16)))</f>
        <v/>
      </c>
      <c r="I55" s="22" t="n"/>
      <c r="J55" s="22" t="n"/>
      <c r="K55" s="22" t="n"/>
      <c r="L55" s="23">
        <f>IF(H55="","",SUMIFS('Expense Log'!$I$5:$I$3000,'Expense Log'!$C$5:$C$3000,$I$42,'Expense Log'!$D$5:$D$3000,H55,'Expense Log'!$A$5:$A$3000,"&gt;="&amp;$Q$3,'Expense Log'!$A$5:$A$3000,"&lt;="&amp;$Q$4,'Expense Log'!$J$5:$J$3000,$Q$5))</f>
        <v/>
      </c>
      <c r="M55" s="37">
        <f>IF(OR(H55="",$Q$17=0),"",L55/$Q$17)</f>
        <v/>
      </c>
    </row>
    <row r="56">
      <c r="H56" s="22">
        <f>IF($Q$16=0,"",IF(INDEX(Lists!$H$6:$AA$45,13,$Q$16)="","",INDEX(Lists!$H$6:$AA$45,13,$Q$16)))</f>
        <v/>
      </c>
      <c r="I56" s="22" t="n"/>
      <c r="J56" s="22" t="n"/>
      <c r="K56" s="22" t="n"/>
      <c r="L56" s="23">
        <f>IF(H56="","",SUMIFS('Expense Log'!$I$5:$I$3000,'Expense Log'!$C$5:$C$3000,$I$42,'Expense Log'!$D$5:$D$3000,H56,'Expense Log'!$A$5:$A$3000,"&gt;="&amp;$Q$3,'Expense Log'!$A$5:$A$3000,"&lt;="&amp;$Q$4,'Expense Log'!$J$5:$J$3000,$Q$5))</f>
        <v/>
      </c>
      <c r="M56" s="37">
        <f>IF(OR(H56="",$Q$17=0),"",L56/$Q$17)</f>
        <v/>
      </c>
    </row>
    <row r="57">
      <c r="H57" s="22">
        <f>IF($Q$16=0,"",IF(INDEX(Lists!$H$6:$AA$45,14,$Q$16)="","",INDEX(Lists!$H$6:$AA$45,14,$Q$16)))</f>
        <v/>
      </c>
      <c r="I57" s="22" t="n"/>
      <c r="J57" s="22" t="n"/>
      <c r="K57" s="22" t="n"/>
      <c r="L57" s="23">
        <f>IF(H57="","",SUMIFS('Expense Log'!$I$5:$I$3000,'Expense Log'!$C$5:$C$3000,$I$42,'Expense Log'!$D$5:$D$3000,H57,'Expense Log'!$A$5:$A$3000,"&gt;="&amp;$Q$3,'Expense Log'!$A$5:$A$3000,"&lt;="&amp;$Q$4,'Expense Log'!$J$5:$J$3000,$Q$5))</f>
        <v/>
      </c>
      <c r="M57" s="37">
        <f>IF(OR(H57="",$Q$17=0),"",L57/$Q$17)</f>
        <v/>
      </c>
    </row>
    <row r="58">
      <c r="H58" s="22">
        <f>IF($Q$16=0,"",IF(INDEX(Lists!$H$6:$AA$45,15,$Q$16)="","",INDEX(Lists!$H$6:$AA$45,15,$Q$16)))</f>
        <v/>
      </c>
      <c r="I58" s="22" t="n"/>
      <c r="J58" s="22" t="n"/>
      <c r="K58" s="22" t="n"/>
      <c r="L58" s="23">
        <f>IF(H58="","",SUMIFS('Expense Log'!$I$5:$I$3000,'Expense Log'!$C$5:$C$3000,$I$42,'Expense Log'!$D$5:$D$3000,H58,'Expense Log'!$A$5:$A$3000,"&gt;="&amp;$Q$3,'Expense Log'!$A$5:$A$3000,"&lt;="&amp;$Q$4,'Expense Log'!$J$5:$J$3000,$Q$5))</f>
        <v/>
      </c>
      <c r="M58" s="37">
        <f>IF(OR(H58="",$Q$17=0),"",L58/$Q$17)</f>
        <v/>
      </c>
    </row>
    <row r="59">
      <c r="H59" s="27" t="inlineStr">
        <is>
          <t>Total for category</t>
        </is>
      </c>
      <c r="I59" s="27" t="n"/>
      <c r="J59" s="27" t="n"/>
      <c r="K59" s="27" t="n"/>
      <c r="L59" s="28">
        <f>$Q$17</f>
        <v/>
      </c>
      <c r="M59" s="27" t="n"/>
    </row>
    <row r="61">
      <c r="B61" s="41" t="inlineStr">
        <is>
          <t>Notes: 'One-off' costs (e.g. bond, tuition) are flagged on the Expense Log and can be excluded with the Yes/No switch at the top. Budgets come from the Lists sheet (monthly; multiplied by the number of months when 'All time' is selected).</t>
        </is>
      </c>
    </row>
  </sheetData>
  <mergeCells count="86">
    <mergeCell ref="K33:L33"/>
    <mergeCell ref="B22:C22"/>
    <mergeCell ref="B31:C31"/>
    <mergeCell ref="B12:C12"/>
    <mergeCell ref="D6:E6"/>
    <mergeCell ref="K35:L35"/>
    <mergeCell ref="B21:C21"/>
    <mergeCell ref="H53:K53"/>
    <mergeCell ref="B14:C14"/>
    <mergeCell ref="B13:C13"/>
    <mergeCell ref="H55:K55"/>
    <mergeCell ref="B38:C38"/>
    <mergeCell ref="D7:E7"/>
    <mergeCell ref="H59:K59"/>
    <mergeCell ref="B24:C24"/>
    <mergeCell ref="H8:I8"/>
    <mergeCell ref="H52:K52"/>
    <mergeCell ref="B33:C33"/>
    <mergeCell ref="K37:L37"/>
    <mergeCell ref="B32:C32"/>
    <mergeCell ref="H45:K45"/>
    <mergeCell ref="B26:C26"/>
    <mergeCell ref="B16:C16"/>
    <mergeCell ref="L7:M7"/>
    <mergeCell ref="B25:C25"/>
    <mergeCell ref="H47:K47"/>
    <mergeCell ref="F6:G6"/>
    <mergeCell ref="B18:C18"/>
    <mergeCell ref="B27:C27"/>
    <mergeCell ref="C4:D4"/>
    <mergeCell ref="E4:F4"/>
    <mergeCell ref="B11:C11"/>
    <mergeCell ref="I32:J32"/>
    <mergeCell ref="K32:L32"/>
    <mergeCell ref="F33:G33"/>
    <mergeCell ref="H54:K54"/>
    <mergeCell ref="H50:K50"/>
    <mergeCell ref="H56:K56"/>
    <mergeCell ref="B37:C37"/>
    <mergeCell ref="I33:J33"/>
    <mergeCell ref="F31:G31"/>
    <mergeCell ref="H49:K49"/>
    <mergeCell ref="I4:M4"/>
    <mergeCell ref="B6:C6"/>
    <mergeCell ref="I35:J35"/>
    <mergeCell ref="B15:C15"/>
    <mergeCell ref="L6:M6"/>
    <mergeCell ref="B7:C7"/>
    <mergeCell ref="H48:K48"/>
    <mergeCell ref="F7:G7"/>
    <mergeCell ref="I37:J37"/>
    <mergeCell ref="K31:L31"/>
    <mergeCell ref="B17:C17"/>
    <mergeCell ref="H43:K43"/>
    <mergeCell ref="L8:M8"/>
    <mergeCell ref="F8:G8"/>
    <mergeCell ref="H58:K58"/>
    <mergeCell ref="B19:C19"/>
    <mergeCell ref="B20:C20"/>
    <mergeCell ref="H57:K57"/>
    <mergeCell ref="I34:J34"/>
    <mergeCell ref="K34:L34"/>
    <mergeCell ref="I36:J36"/>
    <mergeCell ref="K36:L36"/>
    <mergeCell ref="B39:C39"/>
    <mergeCell ref="B34:G34"/>
    <mergeCell ref="B28:G28"/>
    <mergeCell ref="H6:I6"/>
    <mergeCell ref="I42:K42"/>
    <mergeCell ref="J6:K6"/>
    <mergeCell ref="B23:C23"/>
    <mergeCell ref="F32:G32"/>
    <mergeCell ref="B8:C8"/>
    <mergeCell ref="H44:K44"/>
    <mergeCell ref="H7:I7"/>
    <mergeCell ref="J7:K7"/>
    <mergeCell ref="H46:K46"/>
    <mergeCell ref="I39:J39"/>
    <mergeCell ref="K39:L39"/>
    <mergeCell ref="H51:K51"/>
    <mergeCell ref="D8:E8"/>
    <mergeCell ref="I38:J38"/>
    <mergeCell ref="K38:L38"/>
    <mergeCell ref="B36:C36"/>
    <mergeCell ref="I31:J31"/>
    <mergeCell ref="J8:K8"/>
  </mergeCells>
  <conditionalFormatting sqref="J7">
    <cfRule type="expression" priority="1" dxfId="0">
      <formula>AND(ISNUMBER($J$7),$J$7&gt;0)</formula>
    </cfRule>
    <cfRule type="expression" priority="2" dxfId="1">
      <formula>AND(ISNUMBER($J$7),$J$7&lt;0)</formula>
    </cfRule>
  </conditionalFormatting>
  <conditionalFormatting sqref="D12:D26">
    <cfRule type="dataBar" priority="3">
      <dataBar showValue="1">
        <cfvo type="num" val="0"/>
        <cfvo type="max"/>
        <color rgb="009CCFC8"/>
      </dataBar>
    </cfRule>
  </conditionalFormatting>
  <conditionalFormatting sqref="L44:L58">
    <cfRule type="dataBar" priority="4">
      <dataBar showValue="1">
        <cfvo type="num" val="0"/>
        <cfvo type="max"/>
        <color rgb="009CCFC8"/>
      </dataBar>
    </cfRule>
  </conditionalFormatting>
  <dataValidations count="3">
    <dataValidation sqref="C4" showDropDown="0" showInputMessage="0" showErrorMessage="1" allowBlank="0" errorTitle="Month" error="Pick a month from the list or All time." type="list">
      <formula1>=OFFSET('Monthly Summary'!$AB$4,0,0,1+COUNT('Monthly Summary'!$AB$5:$AB$28),1)</formula1>
    </dataValidation>
    <dataValidation sqref="G4" showDropDown="0" showInputMessage="0" showErrorMessage="1" allowBlank="0" type="list">
      <formula1>"Yes,No"</formula1>
    </dataValidation>
    <dataValidation sqref="I42" showDropDown="0" showInputMessage="0" showErrorMessage="1" allowBlank="0" errorTitle="Category" error="Pick a category from the list." type="list">
      <formula1>=OFFSET(Lists!$H$4,0,0,1,COUNTA(Lists!$H$4:$AA$4))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A52"/>
    <outlinePr summaryBelow="1" summaryRight="1"/>
    <pageSetUpPr fitToPage="1"/>
  </sheetPr>
  <dimension ref="A1:Q3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8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  <col width="10" customWidth="1" min="10" max="10"/>
    <col width="34" customWidth="1" min="11" max="11"/>
    <col width="11" customWidth="1" min="12" max="12"/>
    <col width="15" customWidth="1" min="13" max="13"/>
    <col width="15" customWidth="1" min="14" max="14"/>
    <col width="18" customWidth="1" min="15" max="15"/>
    <col hidden="1" width="10" customWidth="1" min="16" max="16"/>
    <col hidden="1" width="10" customWidth="1" min="17" max="17"/>
  </cols>
  <sheetData>
    <row r="1">
      <c r="A1" s="42" t="inlineStr">
        <is>
          <t>Couples Monthly Expense Log</t>
        </is>
      </c>
    </row>
    <row r="2" ht="44" customHeight="1">
      <c r="A2" s="43" t="inlineStr">
        <is>
          <t>Type in the columns with navy headers. Category, Sub-Category, Expense Type, Paid By, Split Type, Payment Method and One-off? are dropdowns (managed on the Lists sheet). Pick the Main Category first - the Sub-Category list then filters itself. Pasting a bank CSV? Paste into Date, Description and Amount, then pick the rest.</t>
        </is>
      </c>
    </row>
    <row r="3">
      <c r="A3" s="44" t="inlineStr">
        <is>
          <t>Navy header = you type   |   Grey header (L:O) = automatic, don't edit   |   Row turns red = something is missing, see Status</t>
        </is>
      </c>
    </row>
    <row r="4" ht="30" customHeight="1">
      <c r="A4" s="45" t="inlineStr">
        <is>
          <t>Date</t>
        </is>
      </c>
      <c r="B4" s="45" t="inlineStr">
        <is>
          <t>Merchant / Description</t>
        </is>
      </c>
      <c r="C4" s="45" t="inlineStr">
        <is>
          <t>Main Category</t>
        </is>
      </c>
      <c r="D4" s="45" t="inlineStr">
        <is>
          <t>Sub-Category</t>
        </is>
      </c>
      <c r="E4" s="45" t="inlineStr">
        <is>
          <t>Expense Type</t>
        </is>
      </c>
      <c r="F4" s="45" t="inlineStr">
        <is>
          <t>Paid By</t>
        </is>
      </c>
      <c r="G4" s="45" t="inlineStr">
        <is>
          <t>Split Type</t>
        </is>
      </c>
      <c r="H4" s="45" t="inlineStr">
        <is>
          <t>Payment Method</t>
        </is>
      </c>
      <c r="I4" s="45" t="inlineStr">
        <is>
          <t>Amount ($)</t>
        </is>
      </c>
      <c r="J4" s="45" t="inlineStr">
        <is>
          <t>One-off?</t>
        </is>
      </c>
      <c r="K4" s="45" t="inlineStr">
        <is>
          <t>Notes</t>
        </is>
      </c>
      <c r="L4" s="46" t="inlineStr">
        <is>
          <t>Month</t>
        </is>
      </c>
      <c r="M4" s="46">
        <f>Lists!$A$5&amp;"'s Share ($)"</f>
        <v/>
      </c>
      <c r="N4" s="46">
        <f>Lists!$A$6&amp;"'s Share ($)"</f>
        <v/>
      </c>
      <c r="O4" s="46" t="inlineStr">
        <is>
          <t>Status</t>
        </is>
      </c>
      <c r="P4" s="46" t="inlineStr">
        <is>
          <t>Rank key</t>
        </is>
      </c>
      <c r="Q4" s="46" t="inlineStr">
        <is>
          <t>Period key</t>
        </is>
      </c>
    </row>
    <row r="5">
      <c r="A5" s="47" t="n"/>
      <c r="B5" s="48" t="n"/>
      <c r="C5" s="48" t="n"/>
      <c r="D5" s="48" t="n"/>
      <c r="E5" s="48" t="n"/>
      <c r="F5" s="48" t="n"/>
      <c r="G5" s="48" t="n"/>
      <c r="H5" s="48" t="n"/>
      <c r="I5" s="49" t="n"/>
      <c r="J5" s="50" t="n"/>
      <c r="K5" s="48" t="n"/>
      <c r="L5" s="51">
        <f>IF(A5="","",DATE(YEAR(A5),MONTH(A5),1))</f>
        <v/>
      </c>
      <c r="M5" s="52">
        <f>IF(OR(A5="",NOT(ISNUMBER(I5))),"",IF(G5=Lists!$B$5,I5/2,IF(G5=Lists!$B$6,I5,0)))</f>
        <v/>
      </c>
      <c r="N5" s="52">
        <f>IF(OR(A5="",NOT(ISNUMBER(I5))),"",IF(G5=Lists!$B$5,I5/2,IF(G5=Lists!$B$7,I5,0)))</f>
        <v/>
      </c>
      <c r="O5" s="53">
        <f>IF(COUNTA(A5:K5)=0,"",IF(OR(A5="",B5="",C5="",D5="",E5="",F5="",G5="",NOT(ISNUMBER(I5))),"Incomplete",IF(COUNTIF(Lists!$H$4:$AA$4,C5)=0,"Check category",IF(COUNTIF(INDEX(Lists!$H$6:$AA$45,0,MATCH(C5,Lists!$H$4:$AA$4,0)),D5)=0,"Check sub-category","OK"))))</f>
        <v/>
      </c>
      <c r="P5">
        <f>IF(ISNUMBER(I5),I5+ROW()/10000000,"")</f>
        <v/>
      </c>
      <c r="Q5">
        <f>IF(AND(ISNUMBER(P5),ISNUMBER(A5)),IF(AND(A5&gt;=Dashboard!$Q$3,A5&lt;=Dashboard!$Q$4,OR(J5&lt;&gt;"Yes",Dashboard!$Q$15="Yes")),P5,""),"")</f>
        <v/>
      </c>
    </row>
    <row r="6">
      <c r="A6" s="47" t="n"/>
      <c r="B6" s="48" t="n"/>
      <c r="C6" s="48" t="n"/>
      <c r="D6" s="48" t="n"/>
      <c r="E6" s="48" t="n"/>
      <c r="F6" s="48" t="n"/>
      <c r="G6" s="48" t="n"/>
      <c r="H6" s="48" t="n"/>
      <c r="I6" s="49" t="n"/>
      <c r="J6" s="50" t="n"/>
      <c r="K6" s="48" t="n"/>
      <c r="L6" s="51">
        <f>IF(A6="","",DATE(YEAR(A6),MONTH(A6),1))</f>
        <v/>
      </c>
      <c r="M6" s="52">
        <f>IF(OR(A6="",NOT(ISNUMBER(I6))),"",IF(G6=Lists!$B$5,I6/2,IF(G6=Lists!$B$6,I6,0)))</f>
        <v/>
      </c>
      <c r="N6" s="52">
        <f>IF(OR(A6="",NOT(ISNUMBER(I6))),"",IF(G6=Lists!$B$5,I6/2,IF(G6=Lists!$B$7,I6,0)))</f>
        <v/>
      </c>
      <c r="O6" s="53">
        <f>IF(COUNTA(A6:K6)=0,"",IF(OR(A6="",B6="",C6="",D6="",E6="",F6="",G6="",NOT(ISNUMBER(I6))),"Incomplete",IF(COUNTIF(Lists!$H$4:$AA$4,C6)=0,"Check category",IF(COUNTIF(INDEX(Lists!$H$6:$AA$45,0,MATCH(C6,Lists!$H$4:$AA$4,0)),D6)=0,"Check sub-category","OK"))))</f>
        <v/>
      </c>
      <c r="P6">
        <f>IF(ISNUMBER(I6),I6+ROW()/10000000,"")</f>
        <v/>
      </c>
      <c r="Q6">
        <f>IF(AND(ISNUMBER(P6),ISNUMBER(A6)),IF(AND(A6&gt;=Dashboard!$Q$3,A6&lt;=Dashboard!$Q$4,OR(J6&lt;&gt;"Yes",Dashboard!$Q$15="Yes")),P6,""),"")</f>
        <v/>
      </c>
    </row>
    <row r="7">
      <c r="A7" s="47" t="n"/>
      <c r="B7" s="48" t="n"/>
      <c r="C7" s="48" t="n"/>
      <c r="D7" s="48" t="n"/>
      <c r="E7" s="48" t="n"/>
      <c r="F7" s="48" t="n"/>
      <c r="G7" s="48" t="n"/>
      <c r="H7" s="48" t="n"/>
      <c r="I7" s="49" t="n"/>
      <c r="J7" s="50" t="n"/>
      <c r="K7" s="48" t="n"/>
      <c r="L7" s="51">
        <f>IF(A7="","",DATE(YEAR(A7),MONTH(A7),1))</f>
        <v/>
      </c>
      <c r="M7" s="52">
        <f>IF(OR(A7="",NOT(ISNUMBER(I7))),"",IF(G7=Lists!$B$5,I7/2,IF(G7=Lists!$B$6,I7,0)))</f>
        <v/>
      </c>
      <c r="N7" s="52">
        <f>IF(OR(A7="",NOT(ISNUMBER(I7))),"",IF(G7=Lists!$B$5,I7/2,IF(G7=Lists!$B$7,I7,0)))</f>
        <v/>
      </c>
      <c r="O7" s="53">
        <f>IF(COUNTA(A7:K7)=0,"",IF(OR(A7="",B7="",C7="",D7="",E7="",F7="",G7="",NOT(ISNUMBER(I7))),"Incomplete",IF(COUNTIF(Lists!$H$4:$AA$4,C7)=0,"Check category",IF(COUNTIF(INDEX(Lists!$H$6:$AA$45,0,MATCH(C7,Lists!$H$4:$AA$4,0)),D7)=0,"Check sub-category","OK"))))</f>
        <v/>
      </c>
      <c r="P7">
        <f>IF(ISNUMBER(I7),I7+ROW()/10000000,"")</f>
        <v/>
      </c>
      <c r="Q7">
        <f>IF(AND(ISNUMBER(P7),ISNUMBER(A7)),IF(AND(A7&gt;=Dashboard!$Q$3,A7&lt;=Dashboard!$Q$4,OR(J7&lt;&gt;"Yes",Dashboard!$Q$15="Yes")),P7,""),"")</f>
        <v/>
      </c>
    </row>
    <row r="8">
      <c r="A8" s="47" t="n"/>
      <c r="B8" s="48" t="n"/>
      <c r="C8" s="48" t="n"/>
      <c r="D8" s="48" t="n"/>
      <c r="E8" s="48" t="n"/>
      <c r="F8" s="48" t="n"/>
      <c r="G8" s="48" t="n"/>
      <c r="H8" s="48" t="n"/>
      <c r="I8" s="49" t="n"/>
      <c r="J8" s="50" t="n"/>
      <c r="K8" s="48" t="n"/>
      <c r="L8" s="51">
        <f>IF(A8="","",DATE(YEAR(A8),MONTH(A8),1))</f>
        <v/>
      </c>
      <c r="M8" s="52">
        <f>IF(OR(A8="",NOT(ISNUMBER(I8))),"",IF(G8=Lists!$B$5,I8/2,IF(G8=Lists!$B$6,I8,0)))</f>
        <v/>
      </c>
      <c r="N8" s="52">
        <f>IF(OR(A8="",NOT(ISNUMBER(I8))),"",IF(G8=Lists!$B$5,I8/2,IF(G8=Lists!$B$7,I8,0)))</f>
        <v/>
      </c>
      <c r="O8" s="53">
        <f>IF(COUNTA(A8:K8)=0,"",IF(OR(A8="",B8="",C8="",D8="",E8="",F8="",G8="",NOT(ISNUMBER(I8))),"Incomplete",IF(COUNTIF(Lists!$H$4:$AA$4,C8)=0,"Check category",IF(COUNTIF(INDEX(Lists!$H$6:$AA$45,0,MATCH(C8,Lists!$H$4:$AA$4,0)),D8)=0,"Check sub-category","OK"))))</f>
        <v/>
      </c>
      <c r="P8">
        <f>IF(ISNUMBER(I8),I8+ROW()/10000000,"")</f>
        <v/>
      </c>
      <c r="Q8">
        <f>IF(AND(ISNUMBER(P8),ISNUMBER(A8)),IF(AND(A8&gt;=Dashboard!$Q$3,A8&lt;=Dashboard!$Q$4,OR(J8&lt;&gt;"Yes",Dashboard!$Q$15="Yes")),P8,""),"")</f>
        <v/>
      </c>
    </row>
    <row r="9">
      <c r="A9" s="47" t="n"/>
      <c r="B9" s="48" t="n"/>
      <c r="C9" s="48" t="n"/>
      <c r="D9" s="48" t="n"/>
      <c r="E9" s="48" t="n"/>
      <c r="F9" s="48" t="n"/>
      <c r="G9" s="48" t="n"/>
      <c r="H9" s="48" t="n"/>
      <c r="I9" s="49" t="n"/>
      <c r="J9" s="50" t="n"/>
      <c r="K9" s="48" t="n"/>
      <c r="L9" s="51">
        <f>IF(A9="","",DATE(YEAR(A9),MONTH(A9),1))</f>
        <v/>
      </c>
      <c r="M9" s="52">
        <f>IF(OR(A9="",NOT(ISNUMBER(I9))),"",IF(G9=Lists!$B$5,I9/2,IF(G9=Lists!$B$6,I9,0)))</f>
        <v/>
      </c>
      <c r="N9" s="52">
        <f>IF(OR(A9="",NOT(ISNUMBER(I9))),"",IF(G9=Lists!$B$5,I9/2,IF(G9=Lists!$B$7,I9,0)))</f>
        <v/>
      </c>
      <c r="O9" s="53">
        <f>IF(COUNTA(A9:K9)=0,"",IF(OR(A9="",B9="",C9="",D9="",E9="",F9="",G9="",NOT(ISNUMBER(I9))),"Incomplete",IF(COUNTIF(Lists!$H$4:$AA$4,C9)=0,"Check category",IF(COUNTIF(INDEX(Lists!$H$6:$AA$45,0,MATCH(C9,Lists!$H$4:$AA$4,0)),D9)=0,"Check sub-category","OK"))))</f>
        <v/>
      </c>
      <c r="P9">
        <f>IF(ISNUMBER(I9),I9+ROW()/10000000,"")</f>
        <v/>
      </c>
      <c r="Q9">
        <f>IF(AND(ISNUMBER(P9),ISNUMBER(A9)),IF(AND(A9&gt;=Dashboard!$Q$3,A9&lt;=Dashboard!$Q$4,OR(J9&lt;&gt;"Yes",Dashboard!$Q$15="Yes")),P9,""),"")</f>
        <v/>
      </c>
    </row>
    <row r="10">
      <c r="A10" s="47" t="n"/>
      <c r="B10" s="48" t="n"/>
      <c r="C10" s="48" t="n"/>
      <c r="D10" s="48" t="n"/>
      <c r="E10" s="48" t="n"/>
      <c r="F10" s="48" t="n"/>
      <c r="G10" s="48" t="n"/>
      <c r="H10" s="48" t="n"/>
      <c r="I10" s="49" t="n"/>
      <c r="J10" s="50" t="n"/>
      <c r="K10" s="48" t="n"/>
      <c r="L10" s="51">
        <f>IF(A10="","",DATE(YEAR(A10),MONTH(A10),1))</f>
        <v/>
      </c>
      <c r="M10" s="52">
        <f>IF(OR(A10="",NOT(ISNUMBER(I10))),"",IF(G10=Lists!$B$5,I10/2,IF(G10=Lists!$B$6,I10,0)))</f>
        <v/>
      </c>
      <c r="N10" s="52">
        <f>IF(OR(A10="",NOT(ISNUMBER(I10))),"",IF(G10=Lists!$B$5,I10/2,IF(G10=Lists!$B$7,I10,0)))</f>
        <v/>
      </c>
      <c r="O10" s="53">
        <f>IF(COUNTA(A10:K10)=0,"",IF(OR(A10="",B10="",C10="",D10="",E10="",F10="",G10="",NOT(ISNUMBER(I10))),"Incomplete",IF(COUNTIF(Lists!$H$4:$AA$4,C10)=0,"Check category",IF(COUNTIF(INDEX(Lists!$H$6:$AA$45,0,MATCH(C10,Lists!$H$4:$AA$4,0)),D10)=0,"Check sub-category","OK"))))</f>
        <v/>
      </c>
      <c r="P10">
        <f>IF(ISNUMBER(I10),I10+ROW()/10000000,"")</f>
        <v/>
      </c>
      <c r="Q10">
        <f>IF(AND(ISNUMBER(P10),ISNUMBER(A10)),IF(AND(A10&gt;=Dashboard!$Q$3,A10&lt;=Dashboard!$Q$4,OR(J10&lt;&gt;"Yes",Dashboard!$Q$15="Yes")),P10,""),"")</f>
        <v/>
      </c>
    </row>
    <row r="11">
      <c r="A11" s="47" t="n"/>
      <c r="B11" s="48" t="n"/>
      <c r="C11" s="48" t="n"/>
      <c r="D11" s="48" t="n"/>
      <c r="E11" s="48" t="n"/>
      <c r="F11" s="48" t="n"/>
      <c r="G11" s="48" t="n"/>
      <c r="H11" s="48" t="n"/>
      <c r="I11" s="49" t="n"/>
      <c r="J11" s="50" t="n"/>
      <c r="K11" s="48" t="n"/>
      <c r="L11" s="51">
        <f>IF(A11="","",DATE(YEAR(A11),MONTH(A11),1))</f>
        <v/>
      </c>
      <c r="M11" s="52">
        <f>IF(OR(A11="",NOT(ISNUMBER(I11))),"",IF(G11=Lists!$B$5,I11/2,IF(G11=Lists!$B$6,I11,0)))</f>
        <v/>
      </c>
      <c r="N11" s="52">
        <f>IF(OR(A11="",NOT(ISNUMBER(I11))),"",IF(G11=Lists!$B$5,I11/2,IF(G11=Lists!$B$7,I11,0)))</f>
        <v/>
      </c>
      <c r="O11" s="53">
        <f>IF(COUNTA(A11:K11)=0,"",IF(OR(A11="",B11="",C11="",D11="",E11="",F11="",G11="",NOT(ISNUMBER(I11))),"Incomplete",IF(COUNTIF(Lists!$H$4:$AA$4,C11)=0,"Check category",IF(COUNTIF(INDEX(Lists!$H$6:$AA$45,0,MATCH(C11,Lists!$H$4:$AA$4,0)),D11)=0,"Check sub-category","OK"))))</f>
        <v/>
      </c>
      <c r="P11">
        <f>IF(ISNUMBER(I11),I11+ROW()/10000000,"")</f>
        <v/>
      </c>
      <c r="Q11">
        <f>IF(AND(ISNUMBER(P11),ISNUMBER(A11)),IF(AND(A11&gt;=Dashboard!$Q$3,A11&lt;=Dashboard!$Q$4,OR(J11&lt;&gt;"Yes",Dashboard!$Q$15="Yes")),P11,""),"")</f>
        <v/>
      </c>
    </row>
    <row r="12">
      <c r="A12" s="47" t="n"/>
      <c r="B12" s="48" t="n"/>
      <c r="C12" s="48" t="n"/>
      <c r="D12" s="48" t="n"/>
      <c r="E12" s="48" t="n"/>
      <c r="F12" s="48" t="n"/>
      <c r="G12" s="48" t="n"/>
      <c r="H12" s="48" t="n"/>
      <c r="I12" s="49" t="n"/>
      <c r="J12" s="50" t="n"/>
      <c r="K12" s="48" t="n"/>
      <c r="L12" s="51">
        <f>IF(A12="","",DATE(YEAR(A12),MONTH(A12),1))</f>
        <v/>
      </c>
      <c r="M12" s="52">
        <f>IF(OR(A12="",NOT(ISNUMBER(I12))),"",IF(G12=Lists!$B$5,I12/2,IF(G12=Lists!$B$6,I12,0)))</f>
        <v/>
      </c>
      <c r="N12" s="52">
        <f>IF(OR(A12="",NOT(ISNUMBER(I12))),"",IF(G12=Lists!$B$5,I12/2,IF(G12=Lists!$B$7,I12,0)))</f>
        <v/>
      </c>
      <c r="O12" s="53">
        <f>IF(COUNTA(A12:K12)=0,"",IF(OR(A12="",B12="",C12="",D12="",E12="",F12="",G12="",NOT(ISNUMBER(I12))),"Incomplete",IF(COUNTIF(Lists!$H$4:$AA$4,C12)=0,"Check category",IF(COUNTIF(INDEX(Lists!$H$6:$AA$45,0,MATCH(C12,Lists!$H$4:$AA$4,0)),D12)=0,"Check sub-category","OK"))))</f>
        <v/>
      </c>
      <c r="P12">
        <f>IF(ISNUMBER(I12),I12+ROW()/10000000,"")</f>
        <v/>
      </c>
      <c r="Q12">
        <f>IF(AND(ISNUMBER(P12),ISNUMBER(A12)),IF(AND(A12&gt;=Dashboard!$Q$3,A12&lt;=Dashboard!$Q$4,OR(J12&lt;&gt;"Yes",Dashboard!$Q$15="Yes")),P12,""),"")</f>
        <v/>
      </c>
    </row>
    <row r="13">
      <c r="A13" s="47" t="n"/>
      <c r="B13" s="48" t="n"/>
      <c r="C13" s="48" t="n"/>
      <c r="D13" s="48" t="n"/>
      <c r="E13" s="48" t="n"/>
      <c r="F13" s="48" t="n"/>
      <c r="G13" s="48" t="n"/>
      <c r="H13" s="48" t="n"/>
      <c r="I13" s="49" t="n"/>
      <c r="J13" s="50" t="n"/>
      <c r="K13" s="48" t="n"/>
      <c r="L13" s="51">
        <f>IF(A13="","",DATE(YEAR(A13),MONTH(A13),1))</f>
        <v/>
      </c>
      <c r="M13" s="52">
        <f>IF(OR(A13="",NOT(ISNUMBER(I13))),"",IF(G13=Lists!$B$5,I13/2,IF(G13=Lists!$B$6,I13,0)))</f>
        <v/>
      </c>
      <c r="N13" s="52">
        <f>IF(OR(A13="",NOT(ISNUMBER(I13))),"",IF(G13=Lists!$B$5,I13/2,IF(G13=Lists!$B$7,I13,0)))</f>
        <v/>
      </c>
      <c r="O13" s="53">
        <f>IF(COUNTA(A13:K13)=0,"",IF(OR(A13="",B13="",C13="",D13="",E13="",F13="",G13="",NOT(ISNUMBER(I13))),"Incomplete",IF(COUNTIF(Lists!$H$4:$AA$4,C13)=0,"Check category",IF(COUNTIF(INDEX(Lists!$H$6:$AA$45,0,MATCH(C13,Lists!$H$4:$AA$4,0)),D13)=0,"Check sub-category","OK"))))</f>
        <v/>
      </c>
      <c r="P13">
        <f>IF(ISNUMBER(I13),I13+ROW()/10000000,"")</f>
        <v/>
      </c>
      <c r="Q13">
        <f>IF(AND(ISNUMBER(P13),ISNUMBER(A13)),IF(AND(A13&gt;=Dashboard!$Q$3,A13&lt;=Dashboard!$Q$4,OR(J13&lt;&gt;"Yes",Dashboard!$Q$15="Yes")),P13,""),"")</f>
        <v/>
      </c>
    </row>
    <row r="14">
      <c r="A14" s="47" t="n"/>
      <c r="B14" s="48" t="n"/>
      <c r="C14" s="48" t="n"/>
      <c r="D14" s="48" t="n"/>
      <c r="E14" s="48" t="n"/>
      <c r="F14" s="48" t="n"/>
      <c r="G14" s="48" t="n"/>
      <c r="H14" s="48" t="n"/>
      <c r="I14" s="49" t="n"/>
      <c r="J14" s="50" t="n"/>
      <c r="K14" s="48" t="n"/>
      <c r="L14" s="51">
        <f>IF(A14="","",DATE(YEAR(A14),MONTH(A14),1))</f>
        <v/>
      </c>
      <c r="M14" s="52">
        <f>IF(OR(A14="",NOT(ISNUMBER(I14))),"",IF(G14=Lists!$B$5,I14/2,IF(G14=Lists!$B$6,I14,0)))</f>
        <v/>
      </c>
      <c r="N14" s="52">
        <f>IF(OR(A14="",NOT(ISNUMBER(I14))),"",IF(G14=Lists!$B$5,I14/2,IF(G14=Lists!$B$7,I14,0)))</f>
        <v/>
      </c>
      <c r="O14" s="53">
        <f>IF(COUNTA(A14:K14)=0,"",IF(OR(A14="",B14="",C14="",D14="",E14="",F14="",G14="",NOT(ISNUMBER(I14))),"Incomplete",IF(COUNTIF(Lists!$H$4:$AA$4,C14)=0,"Check category",IF(COUNTIF(INDEX(Lists!$H$6:$AA$45,0,MATCH(C14,Lists!$H$4:$AA$4,0)),D14)=0,"Check sub-category","OK"))))</f>
        <v/>
      </c>
      <c r="P14">
        <f>IF(ISNUMBER(I14),I14+ROW()/10000000,"")</f>
        <v/>
      </c>
      <c r="Q14">
        <f>IF(AND(ISNUMBER(P14),ISNUMBER(A14)),IF(AND(A14&gt;=Dashboard!$Q$3,A14&lt;=Dashboard!$Q$4,OR(J14&lt;&gt;"Yes",Dashboard!$Q$15="Yes")),P14,""),"")</f>
        <v/>
      </c>
    </row>
    <row r="15">
      <c r="A15" s="47" t="n"/>
      <c r="B15" s="48" t="n"/>
      <c r="C15" s="48" t="n"/>
      <c r="D15" s="48" t="n"/>
      <c r="E15" s="48" t="n"/>
      <c r="F15" s="48" t="n"/>
      <c r="G15" s="48" t="n"/>
      <c r="H15" s="48" t="n"/>
      <c r="I15" s="49" t="n"/>
      <c r="J15" s="50" t="n"/>
      <c r="K15" s="48" t="n"/>
      <c r="L15" s="51">
        <f>IF(A15="","",DATE(YEAR(A15),MONTH(A15),1))</f>
        <v/>
      </c>
      <c r="M15" s="52">
        <f>IF(OR(A15="",NOT(ISNUMBER(I15))),"",IF(G15=Lists!$B$5,I15/2,IF(G15=Lists!$B$6,I15,0)))</f>
        <v/>
      </c>
      <c r="N15" s="52">
        <f>IF(OR(A15="",NOT(ISNUMBER(I15))),"",IF(G15=Lists!$B$5,I15/2,IF(G15=Lists!$B$7,I15,0)))</f>
        <v/>
      </c>
      <c r="O15" s="53">
        <f>IF(COUNTA(A15:K15)=0,"",IF(OR(A15="",B15="",C15="",D15="",E15="",F15="",G15="",NOT(ISNUMBER(I15))),"Incomplete",IF(COUNTIF(Lists!$H$4:$AA$4,C15)=0,"Check category",IF(COUNTIF(INDEX(Lists!$H$6:$AA$45,0,MATCH(C15,Lists!$H$4:$AA$4,0)),D15)=0,"Check sub-category","OK"))))</f>
        <v/>
      </c>
      <c r="P15">
        <f>IF(ISNUMBER(I15),I15+ROW()/10000000,"")</f>
        <v/>
      </c>
      <c r="Q15">
        <f>IF(AND(ISNUMBER(P15),ISNUMBER(A15)),IF(AND(A15&gt;=Dashboard!$Q$3,A15&lt;=Dashboard!$Q$4,OR(J15&lt;&gt;"Yes",Dashboard!$Q$15="Yes")),P15,""),"")</f>
        <v/>
      </c>
    </row>
    <row r="16">
      <c r="A16" s="47" t="n"/>
      <c r="B16" s="48" t="n"/>
      <c r="C16" s="48" t="n"/>
      <c r="D16" s="48" t="n"/>
      <c r="E16" s="48" t="n"/>
      <c r="F16" s="48" t="n"/>
      <c r="G16" s="48" t="n"/>
      <c r="H16" s="48" t="n"/>
      <c r="I16" s="49" t="n"/>
      <c r="J16" s="50" t="n"/>
      <c r="K16" s="48" t="n"/>
      <c r="L16" s="51">
        <f>IF(A16="","",DATE(YEAR(A16),MONTH(A16),1))</f>
        <v/>
      </c>
      <c r="M16" s="52">
        <f>IF(OR(A16="",NOT(ISNUMBER(I16))),"",IF(G16=Lists!$B$5,I16/2,IF(G16=Lists!$B$6,I16,0)))</f>
        <v/>
      </c>
      <c r="N16" s="52">
        <f>IF(OR(A16="",NOT(ISNUMBER(I16))),"",IF(G16=Lists!$B$5,I16/2,IF(G16=Lists!$B$7,I16,0)))</f>
        <v/>
      </c>
      <c r="O16" s="53">
        <f>IF(COUNTA(A16:K16)=0,"",IF(OR(A16="",B16="",C16="",D16="",E16="",F16="",G16="",NOT(ISNUMBER(I16))),"Incomplete",IF(COUNTIF(Lists!$H$4:$AA$4,C16)=0,"Check category",IF(COUNTIF(INDEX(Lists!$H$6:$AA$45,0,MATCH(C16,Lists!$H$4:$AA$4,0)),D16)=0,"Check sub-category","OK"))))</f>
        <v/>
      </c>
      <c r="P16">
        <f>IF(ISNUMBER(I16),I16+ROW()/10000000,"")</f>
        <v/>
      </c>
      <c r="Q16">
        <f>IF(AND(ISNUMBER(P16),ISNUMBER(A16)),IF(AND(A16&gt;=Dashboard!$Q$3,A16&lt;=Dashboard!$Q$4,OR(J16&lt;&gt;"Yes",Dashboard!$Q$15="Yes")),P16,""),"")</f>
        <v/>
      </c>
    </row>
    <row r="17">
      <c r="A17" s="47" t="n"/>
      <c r="B17" s="48" t="n"/>
      <c r="C17" s="48" t="n"/>
      <c r="D17" s="48" t="n"/>
      <c r="E17" s="48" t="n"/>
      <c r="F17" s="48" t="n"/>
      <c r="G17" s="48" t="n"/>
      <c r="H17" s="48" t="n"/>
      <c r="I17" s="49" t="n"/>
      <c r="J17" s="50" t="n"/>
      <c r="K17" s="48" t="n"/>
      <c r="L17" s="51">
        <f>IF(A17="","",DATE(YEAR(A17),MONTH(A17),1))</f>
        <v/>
      </c>
      <c r="M17" s="52">
        <f>IF(OR(A17="",NOT(ISNUMBER(I17))),"",IF(G17=Lists!$B$5,I17/2,IF(G17=Lists!$B$6,I17,0)))</f>
        <v/>
      </c>
      <c r="N17" s="52">
        <f>IF(OR(A17="",NOT(ISNUMBER(I17))),"",IF(G17=Lists!$B$5,I17/2,IF(G17=Lists!$B$7,I17,0)))</f>
        <v/>
      </c>
      <c r="O17" s="53">
        <f>IF(COUNTA(A17:K17)=0,"",IF(OR(A17="",B17="",C17="",D17="",E17="",F17="",G17="",NOT(ISNUMBER(I17))),"Incomplete",IF(COUNTIF(Lists!$H$4:$AA$4,C17)=0,"Check category",IF(COUNTIF(INDEX(Lists!$H$6:$AA$45,0,MATCH(C17,Lists!$H$4:$AA$4,0)),D17)=0,"Check sub-category","OK"))))</f>
        <v/>
      </c>
      <c r="P17">
        <f>IF(ISNUMBER(I17),I17+ROW()/10000000,"")</f>
        <v/>
      </c>
      <c r="Q17">
        <f>IF(AND(ISNUMBER(P17),ISNUMBER(A17)),IF(AND(A17&gt;=Dashboard!$Q$3,A17&lt;=Dashboard!$Q$4,OR(J17&lt;&gt;"Yes",Dashboard!$Q$15="Yes")),P17,""),"")</f>
        <v/>
      </c>
    </row>
    <row r="18">
      <c r="A18" s="47" t="n"/>
      <c r="B18" s="48" t="n"/>
      <c r="C18" s="48" t="n"/>
      <c r="D18" s="48" t="n"/>
      <c r="E18" s="48" t="n"/>
      <c r="F18" s="48" t="n"/>
      <c r="G18" s="48" t="n"/>
      <c r="H18" s="48" t="n"/>
      <c r="I18" s="49" t="n"/>
      <c r="J18" s="50" t="n"/>
      <c r="K18" s="48" t="n"/>
      <c r="L18" s="51">
        <f>IF(A18="","",DATE(YEAR(A18),MONTH(A18),1))</f>
        <v/>
      </c>
      <c r="M18" s="52">
        <f>IF(OR(A18="",NOT(ISNUMBER(I18))),"",IF(G18=Lists!$B$5,I18/2,IF(G18=Lists!$B$6,I18,0)))</f>
        <v/>
      </c>
      <c r="N18" s="52">
        <f>IF(OR(A18="",NOT(ISNUMBER(I18))),"",IF(G18=Lists!$B$5,I18/2,IF(G18=Lists!$B$7,I18,0)))</f>
        <v/>
      </c>
      <c r="O18" s="53">
        <f>IF(COUNTA(A18:K18)=0,"",IF(OR(A18="",B18="",C18="",D18="",E18="",F18="",G18="",NOT(ISNUMBER(I18))),"Incomplete",IF(COUNTIF(Lists!$H$4:$AA$4,C18)=0,"Check category",IF(COUNTIF(INDEX(Lists!$H$6:$AA$45,0,MATCH(C18,Lists!$H$4:$AA$4,0)),D18)=0,"Check sub-category","OK"))))</f>
        <v/>
      </c>
      <c r="P18">
        <f>IF(ISNUMBER(I18),I18+ROW()/10000000,"")</f>
        <v/>
      </c>
      <c r="Q18">
        <f>IF(AND(ISNUMBER(P18),ISNUMBER(A18)),IF(AND(A18&gt;=Dashboard!$Q$3,A18&lt;=Dashboard!$Q$4,OR(J18&lt;&gt;"Yes",Dashboard!$Q$15="Yes")),P18,""),"")</f>
        <v/>
      </c>
    </row>
    <row r="19">
      <c r="A19" s="47" t="n"/>
      <c r="B19" s="48" t="n"/>
      <c r="C19" s="48" t="n"/>
      <c r="D19" s="48" t="n"/>
      <c r="E19" s="48" t="n"/>
      <c r="F19" s="48" t="n"/>
      <c r="G19" s="48" t="n"/>
      <c r="H19" s="48" t="n"/>
      <c r="I19" s="49" t="n"/>
      <c r="J19" s="50" t="n"/>
      <c r="K19" s="48" t="n"/>
      <c r="L19" s="51">
        <f>IF(A19="","",DATE(YEAR(A19),MONTH(A19),1))</f>
        <v/>
      </c>
      <c r="M19" s="52">
        <f>IF(OR(A19="",NOT(ISNUMBER(I19))),"",IF(G19=Lists!$B$5,I19/2,IF(G19=Lists!$B$6,I19,0)))</f>
        <v/>
      </c>
      <c r="N19" s="52">
        <f>IF(OR(A19="",NOT(ISNUMBER(I19))),"",IF(G19=Lists!$B$5,I19/2,IF(G19=Lists!$B$7,I19,0)))</f>
        <v/>
      </c>
      <c r="O19" s="53">
        <f>IF(COUNTA(A19:K19)=0,"",IF(OR(A19="",B19="",C19="",D19="",E19="",F19="",G19="",NOT(ISNUMBER(I19))),"Incomplete",IF(COUNTIF(Lists!$H$4:$AA$4,C19)=0,"Check category",IF(COUNTIF(INDEX(Lists!$H$6:$AA$45,0,MATCH(C19,Lists!$H$4:$AA$4,0)),D19)=0,"Check sub-category","OK"))))</f>
        <v/>
      </c>
      <c r="P19">
        <f>IF(ISNUMBER(I19),I19+ROW()/10000000,"")</f>
        <v/>
      </c>
      <c r="Q19">
        <f>IF(AND(ISNUMBER(P19),ISNUMBER(A19)),IF(AND(A19&gt;=Dashboard!$Q$3,A19&lt;=Dashboard!$Q$4,OR(J19&lt;&gt;"Yes",Dashboard!$Q$15="Yes")),P19,""),"")</f>
        <v/>
      </c>
    </row>
    <row r="20">
      <c r="A20" s="47" t="n"/>
      <c r="B20" s="48" t="n"/>
      <c r="C20" s="48" t="n"/>
      <c r="D20" s="48" t="n"/>
      <c r="E20" s="48" t="n"/>
      <c r="F20" s="48" t="n"/>
      <c r="G20" s="48" t="n"/>
      <c r="H20" s="48" t="n"/>
      <c r="I20" s="49" t="n"/>
      <c r="J20" s="50" t="n"/>
      <c r="K20" s="48" t="n"/>
      <c r="L20" s="51">
        <f>IF(A20="","",DATE(YEAR(A20),MONTH(A20),1))</f>
        <v/>
      </c>
      <c r="M20" s="52">
        <f>IF(OR(A20="",NOT(ISNUMBER(I20))),"",IF(G20=Lists!$B$5,I20/2,IF(G20=Lists!$B$6,I20,0)))</f>
        <v/>
      </c>
      <c r="N20" s="52">
        <f>IF(OR(A20="",NOT(ISNUMBER(I20))),"",IF(G20=Lists!$B$5,I20/2,IF(G20=Lists!$B$7,I20,0)))</f>
        <v/>
      </c>
      <c r="O20" s="53">
        <f>IF(COUNTA(A20:K20)=0,"",IF(OR(A20="",B20="",C20="",D20="",E20="",F20="",G20="",NOT(ISNUMBER(I20))),"Incomplete",IF(COUNTIF(Lists!$H$4:$AA$4,C20)=0,"Check category",IF(COUNTIF(INDEX(Lists!$H$6:$AA$45,0,MATCH(C20,Lists!$H$4:$AA$4,0)),D20)=0,"Check sub-category","OK"))))</f>
        <v/>
      </c>
      <c r="P20">
        <f>IF(ISNUMBER(I20),I20+ROW()/10000000,"")</f>
        <v/>
      </c>
      <c r="Q20">
        <f>IF(AND(ISNUMBER(P20),ISNUMBER(A20)),IF(AND(A20&gt;=Dashboard!$Q$3,A20&lt;=Dashboard!$Q$4,OR(J20&lt;&gt;"Yes",Dashboard!$Q$15="Yes")),P20,""),"")</f>
        <v/>
      </c>
    </row>
    <row r="21">
      <c r="A21" s="47" t="n"/>
      <c r="B21" s="48" t="n"/>
      <c r="C21" s="48" t="n"/>
      <c r="D21" s="48" t="n"/>
      <c r="E21" s="48" t="n"/>
      <c r="F21" s="48" t="n"/>
      <c r="G21" s="48" t="n"/>
      <c r="H21" s="48" t="n"/>
      <c r="I21" s="49" t="n"/>
      <c r="J21" s="50" t="n"/>
      <c r="K21" s="48" t="n"/>
      <c r="L21" s="51">
        <f>IF(A21="","",DATE(YEAR(A21),MONTH(A21),1))</f>
        <v/>
      </c>
      <c r="M21" s="52">
        <f>IF(OR(A21="",NOT(ISNUMBER(I21))),"",IF(G21=Lists!$B$5,I21/2,IF(G21=Lists!$B$6,I21,0)))</f>
        <v/>
      </c>
      <c r="N21" s="52">
        <f>IF(OR(A21="",NOT(ISNUMBER(I21))),"",IF(G21=Lists!$B$5,I21/2,IF(G21=Lists!$B$7,I21,0)))</f>
        <v/>
      </c>
      <c r="O21" s="53">
        <f>IF(COUNTA(A21:K21)=0,"",IF(OR(A21="",B21="",C21="",D21="",E21="",F21="",G21="",NOT(ISNUMBER(I21))),"Incomplete",IF(COUNTIF(Lists!$H$4:$AA$4,C21)=0,"Check category",IF(COUNTIF(INDEX(Lists!$H$6:$AA$45,0,MATCH(C21,Lists!$H$4:$AA$4,0)),D21)=0,"Check sub-category","OK"))))</f>
        <v/>
      </c>
      <c r="P21">
        <f>IF(ISNUMBER(I21),I21+ROW()/10000000,"")</f>
        <v/>
      </c>
      <c r="Q21">
        <f>IF(AND(ISNUMBER(P21),ISNUMBER(A21)),IF(AND(A21&gt;=Dashboard!$Q$3,A21&lt;=Dashboard!$Q$4,OR(J21&lt;&gt;"Yes",Dashboard!$Q$15="Yes")),P21,""),"")</f>
        <v/>
      </c>
    </row>
    <row r="22">
      <c r="A22" s="47" t="n"/>
      <c r="B22" s="48" t="n"/>
      <c r="C22" s="48" t="n"/>
      <c r="D22" s="48" t="n"/>
      <c r="E22" s="48" t="n"/>
      <c r="F22" s="48" t="n"/>
      <c r="G22" s="48" t="n"/>
      <c r="H22" s="48" t="n"/>
      <c r="I22" s="49" t="n"/>
      <c r="J22" s="50" t="n"/>
      <c r="K22" s="48" t="n"/>
      <c r="L22" s="51">
        <f>IF(A22="","",DATE(YEAR(A22),MONTH(A22),1))</f>
        <v/>
      </c>
      <c r="M22" s="52">
        <f>IF(OR(A22="",NOT(ISNUMBER(I22))),"",IF(G22=Lists!$B$5,I22/2,IF(G22=Lists!$B$6,I22,0)))</f>
        <v/>
      </c>
      <c r="N22" s="52">
        <f>IF(OR(A22="",NOT(ISNUMBER(I22))),"",IF(G22=Lists!$B$5,I22/2,IF(G22=Lists!$B$7,I22,0)))</f>
        <v/>
      </c>
      <c r="O22" s="53">
        <f>IF(COUNTA(A22:K22)=0,"",IF(OR(A22="",B22="",C22="",D22="",E22="",F22="",G22="",NOT(ISNUMBER(I22))),"Incomplete",IF(COUNTIF(Lists!$H$4:$AA$4,C22)=0,"Check category",IF(COUNTIF(INDEX(Lists!$H$6:$AA$45,0,MATCH(C22,Lists!$H$4:$AA$4,0)),D22)=0,"Check sub-category","OK"))))</f>
        <v/>
      </c>
      <c r="P22">
        <f>IF(ISNUMBER(I22),I22+ROW()/10000000,"")</f>
        <v/>
      </c>
      <c r="Q22">
        <f>IF(AND(ISNUMBER(P22),ISNUMBER(A22)),IF(AND(A22&gt;=Dashboard!$Q$3,A22&lt;=Dashboard!$Q$4,OR(J22&lt;&gt;"Yes",Dashboard!$Q$15="Yes")),P22,""),"")</f>
        <v/>
      </c>
    </row>
    <row r="23">
      <c r="A23" s="47" t="n"/>
      <c r="B23" s="48" t="n"/>
      <c r="C23" s="48" t="n"/>
      <c r="D23" s="48" t="n"/>
      <c r="E23" s="48" t="n"/>
      <c r="F23" s="48" t="n"/>
      <c r="G23" s="48" t="n"/>
      <c r="H23" s="48" t="n"/>
      <c r="I23" s="49" t="n"/>
      <c r="J23" s="50" t="n"/>
      <c r="K23" s="48" t="n"/>
      <c r="L23" s="51">
        <f>IF(A23="","",DATE(YEAR(A23),MONTH(A23),1))</f>
        <v/>
      </c>
      <c r="M23" s="52">
        <f>IF(OR(A23="",NOT(ISNUMBER(I23))),"",IF(G23=Lists!$B$5,I23/2,IF(G23=Lists!$B$6,I23,0)))</f>
        <v/>
      </c>
      <c r="N23" s="52">
        <f>IF(OR(A23="",NOT(ISNUMBER(I23))),"",IF(G23=Lists!$B$5,I23/2,IF(G23=Lists!$B$7,I23,0)))</f>
        <v/>
      </c>
      <c r="O23" s="53">
        <f>IF(COUNTA(A23:K23)=0,"",IF(OR(A23="",B23="",C23="",D23="",E23="",F23="",G23="",NOT(ISNUMBER(I23))),"Incomplete",IF(COUNTIF(Lists!$H$4:$AA$4,C23)=0,"Check category",IF(COUNTIF(INDEX(Lists!$H$6:$AA$45,0,MATCH(C23,Lists!$H$4:$AA$4,0)),D23)=0,"Check sub-category","OK"))))</f>
        <v/>
      </c>
      <c r="P23">
        <f>IF(ISNUMBER(I23),I23+ROW()/10000000,"")</f>
        <v/>
      </c>
      <c r="Q23">
        <f>IF(AND(ISNUMBER(P23),ISNUMBER(A23)),IF(AND(A23&gt;=Dashboard!$Q$3,A23&lt;=Dashboard!$Q$4,OR(J23&lt;&gt;"Yes",Dashboard!$Q$15="Yes")),P23,""),"")</f>
        <v/>
      </c>
    </row>
    <row r="24">
      <c r="A24" s="47" t="n"/>
      <c r="B24" s="48" t="n"/>
      <c r="C24" s="48" t="n"/>
      <c r="D24" s="48" t="n"/>
      <c r="E24" s="48" t="n"/>
      <c r="F24" s="48" t="n"/>
      <c r="G24" s="48" t="n"/>
      <c r="H24" s="48" t="n"/>
      <c r="I24" s="49" t="n"/>
      <c r="J24" s="50" t="n"/>
      <c r="K24" s="48" t="n"/>
      <c r="L24" s="51">
        <f>IF(A24="","",DATE(YEAR(A24),MONTH(A24),1))</f>
        <v/>
      </c>
      <c r="M24" s="52">
        <f>IF(OR(A24="",NOT(ISNUMBER(I24))),"",IF(G24=Lists!$B$5,I24/2,IF(G24=Lists!$B$6,I24,0)))</f>
        <v/>
      </c>
      <c r="N24" s="52">
        <f>IF(OR(A24="",NOT(ISNUMBER(I24))),"",IF(G24=Lists!$B$5,I24/2,IF(G24=Lists!$B$7,I24,0)))</f>
        <v/>
      </c>
      <c r="O24" s="53">
        <f>IF(COUNTA(A24:K24)=0,"",IF(OR(A24="",B24="",C24="",D24="",E24="",F24="",G24="",NOT(ISNUMBER(I24))),"Incomplete",IF(COUNTIF(Lists!$H$4:$AA$4,C24)=0,"Check category",IF(COUNTIF(INDEX(Lists!$H$6:$AA$45,0,MATCH(C24,Lists!$H$4:$AA$4,0)),D24)=0,"Check sub-category","OK"))))</f>
        <v/>
      </c>
      <c r="P24">
        <f>IF(ISNUMBER(I24),I24+ROW()/10000000,"")</f>
        <v/>
      </c>
      <c r="Q24">
        <f>IF(AND(ISNUMBER(P24),ISNUMBER(A24)),IF(AND(A24&gt;=Dashboard!$Q$3,A24&lt;=Dashboard!$Q$4,OR(J24&lt;&gt;"Yes",Dashboard!$Q$15="Yes")),P24,""),"")</f>
        <v/>
      </c>
    </row>
    <row r="25">
      <c r="A25" s="47" t="n"/>
      <c r="B25" s="48" t="n"/>
      <c r="C25" s="48" t="n"/>
      <c r="D25" s="48" t="n"/>
      <c r="E25" s="48" t="n"/>
      <c r="F25" s="48" t="n"/>
      <c r="G25" s="48" t="n"/>
      <c r="H25" s="48" t="n"/>
      <c r="I25" s="49" t="n"/>
      <c r="J25" s="50" t="n"/>
      <c r="K25" s="48" t="n"/>
      <c r="L25" s="51">
        <f>IF(A25="","",DATE(YEAR(A25),MONTH(A25),1))</f>
        <v/>
      </c>
      <c r="M25" s="52">
        <f>IF(OR(A25="",NOT(ISNUMBER(I25))),"",IF(G25=Lists!$B$5,I25/2,IF(G25=Lists!$B$6,I25,0)))</f>
        <v/>
      </c>
      <c r="N25" s="52">
        <f>IF(OR(A25="",NOT(ISNUMBER(I25))),"",IF(G25=Lists!$B$5,I25/2,IF(G25=Lists!$B$7,I25,0)))</f>
        <v/>
      </c>
      <c r="O25" s="53">
        <f>IF(COUNTA(A25:K25)=0,"",IF(OR(A25="",B25="",C25="",D25="",E25="",F25="",G25="",NOT(ISNUMBER(I25))),"Incomplete",IF(COUNTIF(Lists!$H$4:$AA$4,C25)=0,"Check category",IF(COUNTIF(INDEX(Lists!$H$6:$AA$45,0,MATCH(C25,Lists!$H$4:$AA$4,0)),D25)=0,"Check sub-category","OK"))))</f>
        <v/>
      </c>
      <c r="P25">
        <f>IF(ISNUMBER(I25),I25+ROW()/10000000,"")</f>
        <v/>
      </c>
      <c r="Q25">
        <f>IF(AND(ISNUMBER(P25),ISNUMBER(A25)),IF(AND(A25&gt;=Dashboard!$Q$3,A25&lt;=Dashboard!$Q$4,OR(J25&lt;&gt;"Yes",Dashboard!$Q$15="Yes")),P25,""),"")</f>
        <v/>
      </c>
    </row>
    <row r="26">
      <c r="A26" s="47" t="n"/>
      <c r="B26" s="48" t="n"/>
      <c r="C26" s="48" t="n"/>
      <c r="D26" s="48" t="n"/>
      <c r="E26" s="48" t="n"/>
      <c r="F26" s="48" t="n"/>
      <c r="G26" s="48" t="n"/>
      <c r="H26" s="48" t="n"/>
      <c r="I26" s="49" t="n"/>
      <c r="J26" s="50" t="n"/>
      <c r="K26" s="48" t="n"/>
      <c r="L26" s="51">
        <f>IF(A26="","",DATE(YEAR(A26),MONTH(A26),1))</f>
        <v/>
      </c>
      <c r="M26" s="52">
        <f>IF(OR(A26="",NOT(ISNUMBER(I26))),"",IF(G26=Lists!$B$5,I26/2,IF(G26=Lists!$B$6,I26,0)))</f>
        <v/>
      </c>
      <c r="N26" s="52">
        <f>IF(OR(A26="",NOT(ISNUMBER(I26))),"",IF(G26=Lists!$B$5,I26/2,IF(G26=Lists!$B$7,I26,0)))</f>
        <v/>
      </c>
      <c r="O26" s="53">
        <f>IF(COUNTA(A26:K26)=0,"",IF(OR(A26="",B26="",C26="",D26="",E26="",F26="",G26="",NOT(ISNUMBER(I26))),"Incomplete",IF(COUNTIF(Lists!$H$4:$AA$4,C26)=0,"Check category",IF(COUNTIF(INDEX(Lists!$H$6:$AA$45,0,MATCH(C26,Lists!$H$4:$AA$4,0)),D26)=0,"Check sub-category","OK"))))</f>
        <v/>
      </c>
      <c r="P26">
        <f>IF(ISNUMBER(I26),I26+ROW()/10000000,"")</f>
        <v/>
      </c>
      <c r="Q26">
        <f>IF(AND(ISNUMBER(P26),ISNUMBER(A26)),IF(AND(A26&gt;=Dashboard!$Q$3,A26&lt;=Dashboard!$Q$4,OR(J26&lt;&gt;"Yes",Dashboard!$Q$15="Yes")),P26,""),"")</f>
        <v/>
      </c>
    </row>
    <row r="27">
      <c r="A27" s="47" t="n"/>
      <c r="B27" s="48" t="n"/>
      <c r="C27" s="48" t="n"/>
      <c r="D27" s="48" t="n"/>
      <c r="E27" s="48" t="n"/>
      <c r="F27" s="48" t="n"/>
      <c r="G27" s="48" t="n"/>
      <c r="H27" s="48" t="n"/>
      <c r="I27" s="49" t="n"/>
      <c r="J27" s="50" t="n"/>
      <c r="K27" s="48" t="n"/>
      <c r="L27" s="51">
        <f>IF(A27="","",DATE(YEAR(A27),MONTH(A27),1))</f>
        <v/>
      </c>
      <c r="M27" s="52">
        <f>IF(OR(A27="",NOT(ISNUMBER(I27))),"",IF(G27=Lists!$B$5,I27/2,IF(G27=Lists!$B$6,I27,0)))</f>
        <v/>
      </c>
      <c r="N27" s="52">
        <f>IF(OR(A27="",NOT(ISNUMBER(I27))),"",IF(G27=Lists!$B$5,I27/2,IF(G27=Lists!$B$7,I27,0)))</f>
        <v/>
      </c>
      <c r="O27" s="53">
        <f>IF(COUNTA(A27:K27)=0,"",IF(OR(A27="",B27="",C27="",D27="",E27="",F27="",G27="",NOT(ISNUMBER(I27))),"Incomplete",IF(COUNTIF(Lists!$H$4:$AA$4,C27)=0,"Check category",IF(COUNTIF(INDEX(Lists!$H$6:$AA$45,0,MATCH(C27,Lists!$H$4:$AA$4,0)),D27)=0,"Check sub-category","OK"))))</f>
        <v/>
      </c>
      <c r="P27">
        <f>IF(ISNUMBER(I27),I27+ROW()/10000000,"")</f>
        <v/>
      </c>
      <c r="Q27">
        <f>IF(AND(ISNUMBER(P27),ISNUMBER(A27)),IF(AND(A27&gt;=Dashboard!$Q$3,A27&lt;=Dashboard!$Q$4,OR(J27&lt;&gt;"Yes",Dashboard!$Q$15="Yes")),P27,""),"")</f>
        <v/>
      </c>
    </row>
    <row r="28">
      <c r="A28" s="47" t="n"/>
      <c r="B28" s="48" t="n"/>
      <c r="C28" s="48" t="n"/>
      <c r="D28" s="48" t="n"/>
      <c r="E28" s="48" t="n"/>
      <c r="F28" s="48" t="n"/>
      <c r="G28" s="48" t="n"/>
      <c r="H28" s="48" t="n"/>
      <c r="I28" s="49" t="n"/>
      <c r="J28" s="50" t="n"/>
      <c r="K28" s="48" t="n"/>
      <c r="L28" s="51">
        <f>IF(A28="","",DATE(YEAR(A28),MONTH(A28),1))</f>
        <v/>
      </c>
      <c r="M28" s="52">
        <f>IF(OR(A28="",NOT(ISNUMBER(I28))),"",IF(G28=Lists!$B$5,I28/2,IF(G28=Lists!$B$6,I28,0)))</f>
        <v/>
      </c>
      <c r="N28" s="52">
        <f>IF(OR(A28="",NOT(ISNUMBER(I28))),"",IF(G28=Lists!$B$5,I28/2,IF(G28=Lists!$B$7,I28,0)))</f>
        <v/>
      </c>
      <c r="O28" s="53">
        <f>IF(COUNTA(A28:K28)=0,"",IF(OR(A28="",B28="",C28="",D28="",E28="",F28="",G28="",NOT(ISNUMBER(I28))),"Incomplete",IF(COUNTIF(Lists!$H$4:$AA$4,C28)=0,"Check category",IF(COUNTIF(INDEX(Lists!$H$6:$AA$45,0,MATCH(C28,Lists!$H$4:$AA$4,0)),D28)=0,"Check sub-category","OK"))))</f>
        <v/>
      </c>
      <c r="P28">
        <f>IF(ISNUMBER(I28),I28+ROW()/10000000,"")</f>
        <v/>
      </c>
      <c r="Q28">
        <f>IF(AND(ISNUMBER(P28),ISNUMBER(A28)),IF(AND(A28&gt;=Dashboard!$Q$3,A28&lt;=Dashboard!$Q$4,OR(J28&lt;&gt;"Yes",Dashboard!$Q$15="Yes")),P28,""),"")</f>
        <v/>
      </c>
    </row>
    <row r="29">
      <c r="A29" s="47" t="n"/>
      <c r="B29" s="48" t="n"/>
      <c r="C29" s="48" t="n"/>
      <c r="D29" s="48" t="n"/>
      <c r="E29" s="48" t="n"/>
      <c r="F29" s="48" t="n"/>
      <c r="G29" s="48" t="n"/>
      <c r="H29" s="48" t="n"/>
      <c r="I29" s="49" t="n"/>
      <c r="J29" s="50" t="n"/>
      <c r="K29" s="48" t="n"/>
      <c r="L29" s="51">
        <f>IF(A29="","",DATE(YEAR(A29),MONTH(A29),1))</f>
        <v/>
      </c>
      <c r="M29" s="52">
        <f>IF(OR(A29="",NOT(ISNUMBER(I29))),"",IF(G29=Lists!$B$5,I29/2,IF(G29=Lists!$B$6,I29,0)))</f>
        <v/>
      </c>
      <c r="N29" s="52">
        <f>IF(OR(A29="",NOT(ISNUMBER(I29))),"",IF(G29=Lists!$B$5,I29/2,IF(G29=Lists!$B$7,I29,0)))</f>
        <v/>
      </c>
      <c r="O29" s="53">
        <f>IF(COUNTA(A29:K29)=0,"",IF(OR(A29="",B29="",C29="",D29="",E29="",F29="",G29="",NOT(ISNUMBER(I29))),"Incomplete",IF(COUNTIF(Lists!$H$4:$AA$4,C29)=0,"Check category",IF(COUNTIF(INDEX(Lists!$H$6:$AA$45,0,MATCH(C29,Lists!$H$4:$AA$4,0)),D29)=0,"Check sub-category","OK"))))</f>
        <v/>
      </c>
      <c r="P29">
        <f>IF(ISNUMBER(I29),I29+ROW()/10000000,"")</f>
        <v/>
      </c>
      <c r="Q29">
        <f>IF(AND(ISNUMBER(P29),ISNUMBER(A29)),IF(AND(A29&gt;=Dashboard!$Q$3,A29&lt;=Dashboard!$Q$4,OR(J29&lt;&gt;"Yes",Dashboard!$Q$15="Yes")),P29,""),"")</f>
        <v/>
      </c>
    </row>
    <row r="30">
      <c r="A30" s="47" t="n"/>
      <c r="B30" s="48" t="n"/>
      <c r="C30" s="48" t="n"/>
      <c r="D30" s="48" t="n"/>
      <c r="E30" s="48" t="n"/>
      <c r="F30" s="48" t="n"/>
      <c r="G30" s="48" t="n"/>
      <c r="H30" s="48" t="n"/>
      <c r="I30" s="49" t="n"/>
      <c r="J30" s="50" t="n"/>
      <c r="K30" s="48" t="n"/>
      <c r="L30" s="51">
        <f>IF(A30="","",DATE(YEAR(A30),MONTH(A30),1))</f>
        <v/>
      </c>
      <c r="M30" s="52">
        <f>IF(OR(A30="",NOT(ISNUMBER(I30))),"",IF(G30=Lists!$B$5,I30/2,IF(G30=Lists!$B$6,I30,0)))</f>
        <v/>
      </c>
      <c r="N30" s="52">
        <f>IF(OR(A30="",NOT(ISNUMBER(I30))),"",IF(G30=Lists!$B$5,I30/2,IF(G30=Lists!$B$7,I30,0)))</f>
        <v/>
      </c>
      <c r="O30" s="53">
        <f>IF(COUNTA(A30:K30)=0,"",IF(OR(A30="",B30="",C30="",D30="",E30="",F30="",G30="",NOT(ISNUMBER(I30))),"Incomplete",IF(COUNTIF(Lists!$H$4:$AA$4,C30)=0,"Check category",IF(COUNTIF(INDEX(Lists!$H$6:$AA$45,0,MATCH(C30,Lists!$H$4:$AA$4,0)),D30)=0,"Check sub-category","OK"))))</f>
        <v/>
      </c>
      <c r="P30">
        <f>IF(ISNUMBER(I30),I30+ROW()/10000000,"")</f>
        <v/>
      </c>
      <c r="Q30">
        <f>IF(AND(ISNUMBER(P30),ISNUMBER(A30)),IF(AND(A30&gt;=Dashboard!$Q$3,A30&lt;=Dashboard!$Q$4,OR(J30&lt;&gt;"Yes",Dashboard!$Q$15="Yes")),P30,""),"")</f>
        <v/>
      </c>
    </row>
    <row r="31">
      <c r="A31" s="47" t="n"/>
      <c r="B31" s="48" t="n"/>
      <c r="C31" s="48" t="n"/>
      <c r="D31" s="48" t="n"/>
      <c r="E31" s="48" t="n"/>
      <c r="F31" s="48" t="n"/>
      <c r="G31" s="48" t="n"/>
      <c r="H31" s="48" t="n"/>
      <c r="I31" s="49" t="n"/>
      <c r="J31" s="50" t="n"/>
      <c r="K31" s="48" t="n"/>
      <c r="L31" s="51">
        <f>IF(A31="","",DATE(YEAR(A31),MONTH(A31),1))</f>
        <v/>
      </c>
      <c r="M31" s="52">
        <f>IF(OR(A31="",NOT(ISNUMBER(I31))),"",IF(G31=Lists!$B$5,I31/2,IF(G31=Lists!$B$6,I31,0)))</f>
        <v/>
      </c>
      <c r="N31" s="52">
        <f>IF(OR(A31="",NOT(ISNUMBER(I31))),"",IF(G31=Lists!$B$5,I31/2,IF(G31=Lists!$B$7,I31,0)))</f>
        <v/>
      </c>
      <c r="O31" s="53">
        <f>IF(COUNTA(A31:K31)=0,"",IF(OR(A31="",B31="",C31="",D31="",E31="",F31="",G31="",NOT(ISNUMBER(I31))),"Incomplete",IF(COUNTIF(Lists!$H$4:$AA$4,C31)=0,"Check category",IF(COUNTIF(INDEX(Lists!$H$6:$AA$45,0,MATCH(C31,Lists!$H$4:$AA$4,0)),D31)=0,"Check sub-category","OK"))))</f>
        <v/>
      </c>
      <c r="P31">
        <f>IF(ISNUMBER(I31),I31+ROW()/10000000,"")</f>
        <v/>
      </c>
      <c r="Q31">
        <f>IF(AND(ISNUMBER(P31),ISNUMBER(A31)),IF(AND(A31&gt;=Dashboard!$Q$3,A31&lt;=Dashboard!$Q$4,OR(J31&lt;&gt;"Yes",Dashboard!$Q$15="Yes")),P31,""),"")</f>
        <v/>
      </c>
    </row>
    <row r="32">
      <c r="A32" s="47" t="n"/>
      <c r="B32" s="48" t="n"/>
      <c r="C32" s="48" t="n"/>
      <c r="D32" s="48" t="n"/>
      <c r="E32" s="48" t="n"/>
      <c r="F32" s="48" t="n"/>
      <c r="G32" s="48" t="n"/>
      <c r="H32" s="48" t="n"/>
      <c r="I32" s="49" t="n"/>
      <c r="J32" s="50" t="n"/>
      <c r="K32" s="48" t="n"/>
      <c r="L32" s="51">
        <f>IF(A32="","",DATE(YEAR(A32),MONTH(A32),1))</f>
        <v/>
      </c>
      <c r="M32" s="52">
        <f>IF(OR(A32="",NOT(ISNUMBER(I32))),"",IF(G32=Lists!$B$5,I32/2,IF(G32=Lists!$B$6,I32,0)))</f>
        <v/>
      </c>
      <c r="N32" s="52">
        <f>IF(OR(A32="",NOT(ISNUMBER(I32))),"",IF(G32=Lists!$B$5,I32/2,IF(G32=Lists!$B$7,I32,0)))</f>
        <v/>
      </c>
      <c r="O32" s="53">
        <f>IF(COUNTA(A32:K32)=0,"",IF(OR(A32="",B32="",C32="",D32="",E32="",F32="",G32="",NOT(ISNUMBER(I32))),"Incomplete",IF(COUNTIF(Lists!$H$4:$AA$4,C32)=0,"Check category",IF(COUNTIF(INDEX(Lists!$H$6:$AA$45,0,MATCH(C32,Lists!$H$4:$AA$4,0)),D32)=0,"Check sub-category","OK"))))</f>
        <v/>
      </c>
      <c r="P32">
        <f>IF(ISNUMBER(I32),I32+ROW()/10000000,"")</f>
        <v/>
      </c>
      <c r="Q32">
        <f>IF(AND(ISNUMBER(P32),ISNUMBER(A32)),IF(AND(A32&gt;=Dashboard!$Q$3,A32&lt;=Dashboard!$Q$4,OR(J32&lt;&gt;"Yes",Dashboard!$Q$15="Yes")),P32,""),"")</f>
        <v/>
      </c>
    </row>
    <row r="33">
      <c r="A33" s="47" t="n"/>
      <c r="B33" s="48" t="n"/>
      <c r="C33" s="48" t="n"/>
      <c r="D33" s="48" t="n"/>
      <c r="E33" s="48" t="n"/>
      <c r="F33" s="48" t="n"/>
      <c r="G33" s="48" t="n"/>
      <c r="H33" s="48" t="n"/>
      <c r="I33" s="49" t="n"/>
      <c r="J33" s="50" t="n"/>
      <c r="K33" s="48" t="n"/>
      <c r="L33" s="51">
        <f>IF(A33="","",DATE(YEAR(A33),MONTH(A33),1))</f>
        <v/>
      </c>
      <c r="M33" s="52">
        <f>IF(OR(A33="",NOT(ISNUMBER(I33))),"",IF(G33=Lists!$B$5,I33/2,IF(G33=Lists!$B$6,I33,0)))</f>
        <v/>
      </c>
      <c r="N33" s="52">
        <f>IF(OR(A33="",NOT(ISNUMBER(I33))),"",IF(G33=Lists!$B$5,I33/2,IF(G33=Lists!$B$7,I33,0)))</f>
        <v/>
      </c>
      <c r="O33" s="53">
        <f>IF(COUNTA(A33:K33)=0,"",IF(OR(A33="",B33="",C33="",D33="",E33="",F33="",G33="",NOT(ISNUMBER(I33))),"Incomplete",IF(COUNTIF(Lists!$H$4:$AA$4,C33)=0,"Check category",IF(COUNTIF(INDEX(Lists!$H$6:$AA$45,0,MATCH(C33,Lists!$H$4:$AA$4,0)),D33)=0,"Check sub-category","OK"))))</f>
        <v/>
      </c>
      <c r="P33">
        <f>IF(ISNUMBER(I33),I33+ROW()/10000000,"")</f>
        <v/>
      </c>
      <c r="Q33">
        <f>IF(AND(ISNUMBER(P33),ISNUMBER(A33)),IF(AND(A33&gt;=Dashboard!$Q$3,A33&lt;=Dashboard!$Q$4,OR(J33&lt;&gt;"Yes",Dashboard!$Q$15="Yes")),P33,""),"")</f>
        <v/>
      </c>
    </row>
    <row r="34">
      <c r="A34" s="47" t="n"/>
      <c r="B34" s="48" t="n"/>
      <c r="C34" s="48" t="n"/>
      <c r="D34" s="48" t="n"/>
      <c r="E34" s="48" t="n"/>
      <c r="F34" s="48" t="n"/>
      <c r="G34" s="48" t="n"/>
      <c r="H34" s="48" t="n"/>
      <c r="I34" s="49" t="n"/>
      <c r="J34" s="50" t="n"/>
      <c r="K34" s="48" t="n"/>
      <c r="L34" s="51">
        <f>IF(A34="","",DATE(YEAR(A34),MONTH(A34),1))</f>
        <v/>
      </c>
      <c r="M34" s="52">
        <f>IF(OR(A34="",NOT(ISNUMBER(I34))),"",IF(G34=Lists!$B$5,I34/2,IF(G34=Lists!$B$6,I34,0)))</f>
        <v/>
      </c>
      <c r="N34" s="52">
        <f>IF(OR(A34="",NOT(ISNUMBER(I34))),"",IF(G34=Lists!$B$5,I34/2,IF(G34=Lists!$B$7,I34,0)))</f>
        <v/>
      </c>
      <c r="O34" s="53">
        <f>IF(COUNTA(A34:K34)=0,"",IF(OR(A34="",B34="",C34="",D34="",E34="",F34="",G34="",NOT(ISNUMBER(I34))),"Incomplete",IF(COUNTIF(Lists!$H$4:$AA$4,C34)=0,"Check category",IF(COUNTIF(INDEX(Lists!$H$6:$AA$45,0,MATCH(C34,Lists!$H$4:$AA$4,0)),D34)=0,"Check sub-category","OK"))))</f>
        <v/>
      </c>
      <c r="P34">
        <f>IF(ISNUMBER(I34),I34+ROW()/10000000,"")</f>
        <v/>
      </c>
      <c r="Q34">
        <f>IF(AND(ISNUMBER(P34),ISNUMBER(A34)),IF(AND(A34&gt;=Dashboard!$Q$3,A34&lt;=Dashboard!$Q$4,OR(J34&lt;&gt;"Yes",Dashboard!$Q$15="Yes")),P34,""),"")</f>
        <v/>
      </c>
    </row>
    <row r="35">
      <c r="A35" s="47" t="n"/>
      <c r="B35" s="48" t="n"/>
      <c r="C35" s="48" t="n"/>
      <c r="D35" s="48" t="n"/>
      <c r="E35" s="48" t="n"/>
      <c r="F35" s="48" t="n"/>
      <c r="G35" s="48" t="n"/>
      <c r="H35" s="48" t="n"/>
      <c r="I35" s="49" t="n"/>
      <c r="J35" s="50" t="n"/>
      <c r="K35" s="48" t="n"/>
      <c r="L35" s="51">
        <f>IF(A35="","",DATE(YEAR(A35),MONTH(A35),1))</f>
        <v/>
      </c>
      <c r="M35" s="52">
        <f>IF(OR(A35="",NOT(ISNUMBER(I35))),"",IF(G35=Lists!$B$5,I35/2,IF(G35=Lists!$B$6,I35,0)))</f>
        <v/>
      </c>
      <c r="N35" s="52">
        <f>IF(OR(A35="",NOT(ISNUMBER(I35))),"",IF(G35=Lists!$B$5,I35/2,IF(G35=Lists!$B$7,I35,0)))</f>
        <v/>
      </c>
      <c r="O35" s="53">
        <f>IF(COUNTA(A35:K35)=0,"",IF(OR(A35="",B35="",C35="",D35="",E35="",F35="",G35="",NOT(ISNUMBER(I35))),"Incomplete",IF(COUNTIF(Lists!$H$4:$AA$4,C35)=0,"Check category",IF(COUNTIF(INDEX(Lists!$H$6:$AA$45,0,MATCH(C35,Lists!$H$4:$AA$4,0)),D35)=0,"Check sub-category","OK"))))</f>
        <v/>
      </c>
      <c r="P35">
        <f>IF(ISNUMBER(I35),I35+ROW()/10000000,"")</f>
        <v/>
      </c>
      <c r="Q35">
        <f>IF(AND(ISNUMBER(P35),ISNUMBER(A35)),IF(AND(A35&gt;=Dashboard!$Q$3,A35&lt;=Dashboard!$Q$4,OR(J35&lt;&gt;"Yes",Dashboard!$Q$15="Yes")),P35,""),"")</f>
        <v/>
      </c>
    </row>
    <row r="36">
      <c r="A36" s="47" t="n"/>
      <c r="B36" s="48" t="n"/>
      <c r="C36" s="48" t="n"/>
      <c r="D36" s="48" t="n"/>
      <c r="E36" s="48" t="n"/>
      <c r="F36" s="48" t="n"/>
      <c r="G36" s="48" t="n"/>
      <c r="H36" s="48" t="n"/>
      <c r="I36" s="49" t="n"/>
      <c r="J36" s="50" t="n"/>
      <c r="K36" s="48" t="n"/>
      <c r="L36" s="51">
        <f>IF(A36="","",DATE(YEAR(A36),MONTH(A36),1))</f>
        <v/>
      </c>
      <c r="M36" s="52">
        <f>IF(OR(A36="",NOT(ISNUMBER(I36))),"",IF(G36=Lists!$B$5,I36/2,IF(G36=Lists!$B$6,I36,0)))</f>
        <v/>
      </c>
      <c r="N36" s="52">
        <f>IF(OR(A36="",NOT(ISNUMBER(I36))),"",IF(G36=Lists!$B$5,I36/2,IF(G36=Lists!$B$7,I36,0)))</f>
        <v/>
      </c>
      <c r="O36" s="53">
        <f>IF(COUNTA(A36:K36)=0,"",IF(OR(A36="",B36="",C36="",D36="",E36="",F36="",G36="",NOT(ISNUMBER(I36))),"Incomplete",IF(COUNTIF(Lists!$H$4:$AA$4,C36)=0,"Check category",IF(COUNTIF(INDEX(Lists!$H$6:$AA$45,0,MATCH(C36,Lists!$H$4:$AA$4,0)),D36)=0,"Check sub-category","OK"))))</f>
        <v/>
      </c>
      <c r="P36">
        <f>IF(ISNUMBER(I36),I36+ROW()/10000000,"")</f>
        <v/>
      </c>
      <c r="Q36">
        <f>IF(AND(ISNUMBER(P36),ISNUMBER(A36)),IF(AND(A36&gt;=Dashboard!$Q$3,A36&lt;=Dashboard!$Q$4,OR(J36&lt;&gt;"Yes",Dashboard!$Q$15="Yes")),P36,""),"")</f>
        <v/>
      </c>
    </row>
    <row r="37">
      <c r="A37" s="47" t="n"/>
      <c r="B37" s="48" t="n"/>
      <c r="C37" s="48" t="n"/>
      <c r="D37" s="48" t="n"/>
      <c r="E37" s="48" t="n"/>
      <c r="F37" s="48" t="n"/>
      <c r="G37" s="48" t="n"/>
      <c r="H37" s="48" t="n"/>
      <c r="I37" s="49" t="n"/>
      <c r="J37" s="50" t="n"/>
      <c r="K37" s="48" t="n"/>
      <c r="L37" s="51">
        <f>IF(A37="","",DATE(YEAR(A37),MONTH(A37),1))</f>
        <v/>
      </c>
      <c r="M37" s="52">
        <f>IF(OR(A37="",NOT(ISNUMBER(I37))),"",IF(G37=Lists!$B$5,I37/2,IF(G37=Lists!$B$6,I37,0)))</f>
        <v/>
      </c>
      <c r="N37" s="52">
        <f>IF(OR(A37="",NOT(ISNUMBER(I37))),"",IF(G37=Lists!$B$5,I37/2,IF(G37=Lists!$B$7,I37,0)))</f>
        <v/>
      </c>
      <c r="O37" s="53">
        <f>IF(COUNTA(A37:K37)=0,"",IF(OR(A37="",B37="",C37="",D37="",E37="",F37="",G37="",NOT(ISNUMBER(I37))),"Incomplete",IF(COUNTIF(Lists!$H$4:$AA$4,C37)=0,"Check category",IF(COUNTIF(INDEX(Lists!$H$6:$AA$45,0,MATCH(C37,Lists!$H$4:$AA$4,0)),D37)=0,"Check sub-category","OK"))))</f>
        <v/>
      </c>
      <c r="P37">
        <f>IF(ISNUMBER(I37),I37+ROW()/10000000,"")</f>
        <v/>
      </c>
      <c r="Q37">
        <f>IF(AND(ISNUMBER(P37),ISNUMBER(A37)),IF(AND(A37&gt;=Dashboard!$Q$3,A37&lt;=Dashboard!$Q$4,OR(J37&lt;&gt;"Yes",Dashboard!$Q$15="Yes")),P37,""),"")</f>
        <v/>
      </c>
    </row>
    <row r="38">
      <c r="A38" s="47" t="n"/>
      <c r="B38" s="48" t="n"/>
      <c r="C38" s="48" t="n"/>
      <c r="D38" s="48" t="n"/>
      <c r="E38" s="48" t="n"/>
      <c r="F38" s="48" t="n"/>
      <c r="G38" s="48" t="n"/>
      <c r="H38" s="48" t="n"/>
      <c r="I38" s="49" t="n"/>
      <c r="J38" s="50" t="n"/>
      <c r="K38" s="48" t="n"/>
      <c r="L38" s="51">
        <f>IF(A38="","",DATE(YEAR(A38),MONTH(A38),1))</f>
        <v/>
      </c>
      <c r="M38" s="52">
        <f>IF(OR(A38="",NOT(ISNUMBER(I38))),"",IF(G38=Lists!$B$5,I38/2,IF(G38=Lists!$B$6,I38,0)))</f>
        <v/>
      </c>
      <c r="N38" s="52">
        <f>IF(OR(A38="",NOT(ISNUMBER(I38))),"",IF(G38=Lists!$B$5,I38/2,IF(G38=Lists!$B$7,I38,0)))</f>
        <v/>
      </c>
      <c r="O38" s="53">
        <f>IF(COUNTA(A38:K38)=0,"",IF(OR(A38="",B38="",C38="",D38="",E38="",F38="",G38="",NOT(ISNUMBER(I38))),"Incomplete",IF(COUNTIF(Lists!$H$4:$AA$4,C38)=0,"Check category",IF(COUNTIF(INDEX(Lists!$H$6:$AA$45,0,MATCH(C38,Lists!$H$4:$AA$4,0)),D38)=0,"Check sub-category","OK"))))</f>
        <v/>
      </c>
      <c r="P38">
        <f>IF(ISNUMBER(I38),I38+ROW()/10000000,"")</f>
        <v/>
      </c>
      <c r="Q38">
        <f>IF(AND(ISNUMBER(P38),ISNUMBER(A38)),IF(AND(A38&gt;=Dashboard!$Q$3,A38&lt;=Dashboard!$Q$4,OR(J38&lt;&gt;"Yes",Dashboard!$Q$15="Yes")),P38,""),"")</f>
        <v/>
      </c>
    </row>
    <row r="39">
      <c r="A39" s="47" t="n"/>
      <c r="B39" s="48" t="n"/>
      <c r="C39" s="48" t="n"/>
      <c r="D39" s="48" t="n"/>
      <c r="E39" s="48" t="n"/>
      <c r="F39" s="48" t="n"/>
      <c r="G39" s="48" t="n"/>
      <c r="H39" s="48" t="n"/>
      <c r="I39" s="49" t="n"/>
      <c r="J39" s="50" t="n"/>
      <c r="K39" s="48" t="n"/>
      <c r="L39" s="51">
        <f>IF(A39="","",DATE(YEAR(A39),MONTH(A39),1))</f>
        <v/>
      </c>
      <c r="M39" s="52">
        <f>IF(OR(A39="",NOT(ISNUMBER(I39))),"",IF(G39=Lists!$B$5,I39/2,IF(G39=Lists!$B$6,I39,0)))</f>
        <v/>
      </c>
      <c r="N39" s="52">
        <f>IF(OR(A39="",NOT(ISNUMBER(I39))),"",IF(G39=Lists!$B$5,I39/2,IF(G39=Lists!$B$7,I39,0)))</f>
        <v/>
      </c>
      <c r="O39" s="53">
        <f>IF(COUNTA(A39:K39)=0,"",IF(OR(A39="",B39="",C39="",D39="",E39="",F39="",G39="",NOT(ISNUMBER(I39))),"Incomplete",IF(COUNTIF(Lists!$H$4:$AA$4,C39)=0,"Check category",IF(COUNTIF(INDEX(Lists!$H$6:$AA$45,0,MATCH(C39,Lists!$H$4:$AA$4,0)),D39)=0,"Check sub-category","OK"))))</f>
        <v/>
      </c>
      <c r="P39">
        <f>IF(ISNUMBER(I39),I39+ROW()/10000000,"")</f>
        <v/>
      </c>
      <c r="Q39">
        <f>IF(AND(ISNUMBER(P39),ISNUMBER(A39)),IF(AND(A39&gt;=Dashboard!$Q$3,A39&lt;=Dashboard!$Q$4,OR(J39&lt;&gt;"Yes",Dashboard!$Q$15="Yes")),P39,""),"")</f>
        <v/>
      </c>
    </row>
    <row r="40">
      <c r="A40" s="47" t="n"/>
      <c r="B40" s="48" t="n"/>
      <c r="C40" s="48" t="n"/>
      <c r="D40" s="48" t="n"/>
      <c r="E40" s="48" t="n"/>
      <c r="F40" s="48" t="n"/>
      <c r="G40" s="48" t="n"/>
      <c r="H40" s="48" t="n"/>
      <c r="I40" s="49" t="n"/>
      <c r="J40" s="50" t="n"/>
      <c r="K40" s="48" t="n"/>
      <c r="L40" s="51">
        <f>IF(A40="","",DATE(YEAR(A40),MONTH(A40),1))</f>
        <v/>
      </c>
      <c r="M40" s="52">
        <f>IF(OR(A40="",NOT(ISNUMBER(I40))),"",IF(G40=Lists!$B$5,I40/2,IF(G40=Lists!$B$6,I40,0)))</f>
        <v/>
      </c>
      <c r="N40" s="52">
        <f>IF(OR(A40="",NOT(ISNUMBER(I40))),"",IF(G40=Lists!$B$5,I40/2,IF(G40=Lists!$B$7,I40,0)))</f>
        <v/>
      </c>
      <c r="O40" s="53">
        <f>IF(COUNTA(A40:K40)=0,"",IF(OR(A40="",B40="",C40="",D40="",E40="",F40="",G40="",NOT(ISNUMBER(I40))),"Incomplete",IF(COUNTIF(Lists!$H$4:$AA$4,C40)=0,"Check category",IF(COUNTIF(INDEX(Lists!$H$6:$AA$45,0,MATCH(C40,Lists!$H$4:$AA$4,0)),D40)=0,"Check sub-category","OK"))))</f>
        <v/>
      </c>
      <c r="P40">
        <f>IF(ISNUMBER(I40),I40+ROW()/10000000,"")</f>
        <v/>
      </c>
      <c r="Q40">
        <f>IF(AND(ISNUMBER(P40),ISNUMBER(A40)),IF(AND(A40&gt;=Dashboard!$Q$3,A40&lt;=Dashboard!$Q$4,OR(J40&lt;&gt;"Yes",Dashboard!$Q$15="Yes")),P40,""),"")</f>
        <v/>
      </c>
    </row>
    <row r="41">
      <c r="A41" s="47" t="n"/>
      <c r="B41" s="48" t="n"/>
      <c r="C41" s="48" t="n"/>
      <c r="D41" s="48" t="n"/>
      <c r="E41" s="48" t="n"/>
      <c r="F41" s="48" t="n"/>
      <c r="G41" s="48" t="n"/>
      <c r="H41" s="48" t="n"/>
      <c r="I41" s="49" t="n"/>
      <c r="J41" s="50" t="n"/>
      <c r="K41" s="48" t="n"/>
      <c r="L41" s="51">
        <f>IF(A41="","",DATE(YEAR(A41),MONTH(A41),1))</f>
        <v/>
      </c>
      <c r="M41" s="52">
        <f>IF(OR(A41="",NOT(ISNUMBER(I41))),"",IF(G41=Lists!$B$5,I41/2,IF(G41=Lists!$B$6,I41,0)))</f>
        <v/>
      </c>
      <c r="N41" s="52">
        <f>IF(OR(A41="",NOT(ISNUMBER(I41))),"",IF(G41=Lists!$B$5,I41/2,IF(G41=Lists!$B$7,I41,0)))</f>
        <v/>
      </c>
      <c r="O41" s="53">
        <f>IF(COUNTA(A41:K41)=0,"",IF(OR(A41="",B41="",C41="",D41="",E41="",F41="",G41="",NOT(ISNUMBER(I41))),"Incomplete",IF(COUNTIF(Lists!$H$4:$AA$4,C41)=0,"Check category",IF(COUNTIF(INDEX(Lists!$H$6:$AA$45,0,MATCH(C41,Lists!$H$4:$AA$4,0)),D41)=0,"Check sub-category","OK"))))</f>
        <v/>
      </c>
      <c r="P41">
        <f>IF(ISNUMBER(I41),I41+ROW()/10000000,"")</f>
        <v/>
      </c>
      <c r="Q41">
        <f>IF(AND(ISNUMBER(P41),ISNUMBER(A41)),IF(AND(A41&gt;=Dashboard!$Q$3,A41&lt;=Dashboard!$Q$4,OR(J41&lt;&gt;"Yes",Dashboard!$Q$15="Yes")),P41,""),"")</f>
        <v/>
      </c>
    </row>
    <row r="42">
      <c r="A42" s="47" t="n"/>
      <c r="B42" s="48" t="n"/>
      <c r="C42" s="48" t="n"/>
      <c r="D42" s="48" t="n"/>
      <c r="E42" s="48" t="n"/>
      <c r="F42" s="48" t="n"/>
      <c r="G42" s="48" t="n"/>
      <c r="H42" s="48" t="n"/>
      <c r="I42" s="49" t="n"/>
      <c r="J42" s="50" t="n"/>
      <c r="K42" s="48" t="n"/>
      <c r="L42" s="51">
        <f>IF(A42="","",DATE(YEAR(A42),MONTH(A42),1))</f>
        <v/>
      </c>
      <c r="M42" s="52">
        <f>IF(OR(A42="",NOT(ISNUMBER(I42))),"",IF(G42=Lists!$B$5,I42/2,IF(G42=Lists!$B$6,I42,0)))</f>
        <v/>
      </c>
      <c r="N42" s="52">
        <f>IF(OR(A42="",NOT(ISNUMBER(I42))),"",IF(G42=Lists!$B$5,I42/2,IF(G42=Lists!$B$7,I42,0)))</f>
        <v/>
      </c>
      <c r="O42" s="53">
        <f>IF(COUNTA(A42:K42)=0,"",IF(OR(A42="",B42="",C42="",D42="",E42="",F42="",G42="",NOT(ISNUMBER(I42))),"Incomplete",IF(COUNTIF(Lists!$H$4:$AA$4,C42)=0,"Check category",IF(COUNTIF(INDEX(Lists!$H$6:$AA$45,0,MATCH(C42,Lists!$H$4:$AA$4,0)),D42)=0,"Check sub-category","OK"))))</f>
        <v/>
      </c>
      <c r="P42">
        <f>IF(ISNUMBER(I42),I42+ROW()/10000000,"")</f>
        <v/>
      </c>
      <c r="Q42">
        <f>IF(AND(ISNUMBER(P42),ISNUMBER(A42)),IF(AND(A42&gt;=Dashboard!$Q$3,A42&lt;=Dashboard!$Q$4,OR(J42&lt;&gt;"Yes",Dashboard!$Q$15="Yes")),P42,""),"")</f>
        <v/>
      </c>
    </row>
    <row r="43">
      <c r="A43" s="47" t="n"/>
      <c r="B43" s="48" t="n"/>
      <c r="C43" s="48" t="n"/>
      <c r="D43" s="48" t="n"/>
      <c r="E43" s="48" t="n"/>
      <c r="F43" s="48" t="n"/>
      <c r="G43" s="48" t="n"/>
      <c r="H43" s="48" t="n"/>
      <c r="I43" s="49" t="n"/>
      <c r="J43" s="50" t="n"/>
      <c r="K43" s="48" t="n"/>
      <c r="L43" s="51">
        <f>IF(A43="","",DATE(YEAR(A43),MONTH(A43),1))</f>
        <v/>
      </c>
      <c r="M43" s="52">
        <f>IF(OR(A43="",NOT(ISNUMBER(I43))),"",IF(G43=Lists!$B$5,I43/2,IF(G43=Lists!$B$6,I43,0)))</f>
        <v/>
      </c>
      <c r="N43" s="52">
        <f>IF(OR(A43="",NOT(ISNUMBER(I43))),"",IF(G43=Lists!$B$5,I43/2,IF(G43=Lists!$B$7,I43,0)))</f>
        <v/>
      </c>
      <c r="O43" s="53">
        <f>IF(COUNTA(A43:K43)=0,"",IF(OR(A43="",B43="",C43="",D43="",E43="",F43="",G43="",NOT(ISNUMBER(I43))),"Incomplete",IF(COUNTIF(Lists!$H$4:$AA$4,C43)=0,"Check category",IF(COUNTIF(INDEX(Lists!$H$6:$AA$45,0,MATCH(C43,Lists!$H$4:$AA$4,0)),D43)=0,"Check sub-category","OK"))))</f>
        <v/>
      </c>
      <c r="P43">
        <f>IF(ISNUMBER(I43),I43+ROW()/10000000,"")</f>
        <v/>
      </c>
      <c r="Q43">
        <f>IF(AND(ISNUMBER(P43),ISNUMBER(A43)),IF(AND(A43&gt;=Dashboard!$Q$3,A43&lt;=Dashboard!$Q$4,OR(J43&lt;&gt;"Yes",Dashboard!$Q$15="Yes")),P43,""),"")</f>
        <v/>
      </c>
    </row>
    <row r="44">
      <c r="A44" s="47" t="n"/>
      <c r="B44" s="48" t="n"/>
      <c r="C44" s="48" t="n"/>
      <c r="D44" s="48" t="n"/>
      <c r="E44" s="48" t="n"/>
      <c r="F44" s="48" t="n"/>
      <c r="G44" s="48" t="n"/>
      <c r="H44" s="48" t="n"/>
      <c r="I44" s="49" t="n"/>
      <c r="J44" s="50" t="n"/>
      <c r="K44" s="48" t="n"/>
      <c r="L44" s="51">
        <f>IF(A44="","",DATE(YEAR(A44),MONTH(A44),1))</f>
        <v/>
      </c>
      <c r="M44" s="52">
        <f>IF(OR(A44="",NOT(ISNUMBER(I44))),"",IF(G44=Lists!$B$5,I44/2,IF(G44=Lists!$B$6,I44,0)))</f>
        <v/>
      </c>
      <c r="N44" s="52">
        <f>IF(OR(A44="",NOT(ISNUMBER(I44))),"",IF(G44=Lists!$B$5,I44/2,IF(G44=Lists!$B$7,I44,0)))</f>
        <v/>
      </c>
      <c r="O44" s="53">
        <f>IF(COUNTA(A44:K44)=0,"",IF(OR(A44="",B44="",C44="",D44="",E44="",F44="",G44="",NOT(ISNUMBER(I44))),"Incomplete",IF(COUNTIF(Lists!$H$4:$AA$4,C44)=0,"Check category",IF(COUNTIF(INDEX(Lists!$H$6:$AA$45,0,MATCH(C44,Lists!$H$4:$AA$4,0)),D44)=0,"Check sub-category","OK"))))</f>
        <v/>
      </c>
      <c r="P44">
        <f>IF(ISNUMBER(I44),I44+ROW()/10000000,"")</f>
        <v/>
      </c>
      <c r="Q44">
        <f>IF(AND(ISNUMBER(P44),ISNUMBER(A44)),IF(AND(A44&gt;=Dashboard!$Q$3,A44&lt;=Dashboard!$Q$4,OR(J44&lt;&gt;"Yes",Dashboard!$Q$15="Yes")),P44,""),"")</f>
        <v/>
      </c>
    </row>
    <row r="45">
      <c r="A45" s="47" t="n"/>
      <c r="B45" s="48" t="n"/>
      <c r="C45" s="48" t="n"/>
      <c r="D45" s="48" t="n"/>
      <c r="E45" s="48" t="n"/>
      <c r="F45" s="48" t="n"/>
      <c r="G45" s="48" t="n"/>
      <c r="H45" s="48" t="n"/>
      <c r="I45" s="49" t="n"/>
      <c r="J45" s="50" t="n"/>
      <c r="K45" s="48" t="n"/>
      <c r="L45" s="51">
        <f>IF(A45="","",DATE(YEAR(A45),MONTH(A45),1))</f>
        <v/>
      </c>
      <c r="M45" s="52">
        <f>IF(OR(A45="",NOT(ISNUMBER(I45))),"",IF(G45=Lists!$B$5,I45/2,IF(G45=Lists!$B$6,I45,0)))</f>
        <v/>
      </c>
      <c r="N45" s="52">
        <f>IF(OR(A45="",NOT(ISNUMBER(I45))),"",IF(G45=Lists!$B$5,I45/2,IF(G45=Lists!$B$7,I45,0)))</f>
        <v/>
      </c>
      <c r="O45" s="53">
        <f>IF(COUNTA(A45:K45)=0,"",IF(OR(A45="",B45="",C45="",D45="",E45="",F45="",G45="",NOT(ISNUMBER(I45))),"Incomplete",IF(COUNTIF(Lists!$H$4:$AA$4,C45)=0,"Check category",IF(COUNTIF(INDEX(Lists!$H$6:$AA$45,0,MATCH(C45,Lists!$H$4:$AA$4,0)),D45)=0,"Check sub-category","OK"))))</f>
        <v/>
      </c>
      <c r="P45">
        <f>IF(ISNUMBER(I45),I45+ROW()/10000000,"")</f>
        <v/>
      </c>
      <c r="Q45">
        <f>IF(AND(ISNUMBER(P45),ISNUMBER(A45)),IF(AND(A45&gt;=Dashboard!$Q$3,A45&lt;=Dashboard!$Q$4,OR(J45&lt;&gt;"Yes",Dashboard!$Q$15="Yes")),P45,""),"")</f>
        <v/>
      </c>
    </row>
    <row r="46">
      <c r="A46" s="47" t="n"/>
      <c r="B46" s="48" t="n"/>
      <c r="C46" s="48" t="n"/>
      <c r="D46" s="48" t="n"/>
      <c r="E46" s="48" t="n"/>
      <c r="F46" s="48" t="n"/>
      <c r="G46" s="48" t="n"/>
      <c r="H46" s="48" t="n"/>
      <c r="I46" s="49" t="n"/>
      <c r="J46" s="50" t="n"/>
      <c r="K46" s="48" t="n"/>
      <c r="L46" s="51">
        <f>IF(A46="","",DATE(YEAR(A46),MONTH(A46),1))</f>
        <v/>
      </c>
      <c r="M46" s="52">
        <f>IF(OR(A46="",NOT(ISNUMBER(I46))),"",IF(G46=Lists!$B$5,I46/2,IF(G46=Lists!$B$6,I46,0)))</f>
        <v/>
      </c>
      <c r="N46" s="52">
        <f>IF(OR(A46="",NOT(ISNUMBER(I46))),"",IF(G46=Lists!$B$5,I46/2,IF(G46=Lists!$B$7,I46,0)))</f>
        <v/>
      </c>
      <c r="O46" s="53">
        <f>IF(COUNTA(A46:K46)=0,"",IF(OR(A46="",B46="",C46="",D46="",E46="",F46="",G46="",NOT(ISNUMBER(I46))),"Incomplete",IF(COUNTIF(Lists!$H$4:$AA$4,C46)=0,"Check category",IF(COUNTIF(INDEX(Lists!$H$6:$AA$45,0,MATCH(C46,Lists!$H$4:$AA$4,0)),D46)=0,"Check sub-category","OK"))))</f>
        <v/>
      </c>
      <c r="P46">
        <f>IF(ISNUMBER(I46),I46+ROW()/10000000,"")</f>
        <v/>
      </c>
      <c r="Q46">
        <f>IF(AND(ISNUMBER(P46),ISNUMBER(A46)),IF(AND(A46&gt;=Dashboard!$Q$3,A46&lt;=Dashboard!$Q$4,OR(J46&lt;&gt;"Yes",Dashboard!$Q$15="Yes")),P46,""),"")</f>
        <v/>
      </c>
    </row>
    <row r="47">
      <c r="A47" s="47" t="n"/>
      <c r="B47" s="48" t="n"/>
      <c r="C47" s="48" t="n"/>
      <c r="D47" s="48" t="n"/>
      <c r="E47" s="48" t="n"/>
      <c r="F47" s="48" t="n"/>
      <c r="G47" s="48" t="n"/>
      <c r="H47" s="48" t="n"/>
      <c r="I47" s="49" t="n"/>
      <c r="J47" s="50" t="n"/>
      <c r="K47" s="48" t="n"/>
      <c r="L47" s="51">
        <f>IF(A47="","",DATE(YEAR(A47),MONTH(A47),1))</f>
        <v/>
      </c>
      <c r="M47" s="52">
        <f>IF(OR(A47="",NOT(ISNUMBER(I47))),"",IF(G47=Lists!$B$5,I47/2,IF(G47=Lists!$B$6,I47,0)))</f>
        <v/>
      </c>
      <c r="N47" s="52">
        <f>IF(OR(A47="",NOT(ISNUMBER(I47))),"",IF(G47=Lists!$B$5,I47/2,IF(G47=Lists!$B$7,I47,0)))</f>
        <v/>
      </c>
      <c r="O47" s="53">
        <f>IF(COUNTA(A47:K47)=0,"",IF(OR(A47="",B47="",C47="",D47="",E47="",F47="",G47="",NOT(ISNUMBER(I47))),"Incomplete",IF(COUNTIF(Lists!$H$4:$AA$4,C47)=0,"Check category",IF(COUNTIF(INDEX(Lists!$H$6:$AA$45,0,MATCH(C47,Lists!$H$4:$AA$4,0)),D47)=0,"Check sub-category","OK"))))</f>
        <v/>
      </c>
      <c r="P47">
        <f>IF(ISNUMBER(I47),I47+ROW()/10000000,"")</f>
        <v/>
      </c>
      <c r="Q47">
        <f>IF(AND(ISNUMBER(P47),ISNUMBER(A47)),IF(AND(A47&gt;=Dashboard!$Q$3,A47&lt;=Dashboard!$Q$4,OR(J47&lt;&gt;"Yes",Dashboard!$Q$15="Yes")),P47,""),"")</f>
        <v/>
      </c>
    </row>
    <row r="48">
      <c r="A48" s="47" t="n"/>
      <c r="B48" s="48" t="n"/>
      <c r="C48" s="48" t="n"/>
      <c r="D48" s="48" t="n"/>
      <c r="E48" s="48" t="n"/>
      <c r="F48" s="48" t="n"/>
      <c r="G48" s="48" t="n"/>
      <c r="H48" s="48" t="n"/>
      <c r="I48" s="49" t="n"/>
      <c r="J48" s="50" t="n"/>
      <c r="K48" s="48" t="n"/>
      <c r="L48" s="51">
        <f>IF(A48="","",DATE(YEAR(A48),MONTH(A48),1))</f>
        <v/>
      </c>
      <c r="M48" s="52">
        <f>IF(OR(A48="",NOT(ISNUMBER(I48))),"",IF(G48=Lists!$B$5,I48/2,IF(G48=Lists!$B$6,I48,0)))</f>
        <v/>
      </c>
      <c r="N48" s="52">
        <f>IF(OR(A48="",NOT(ISNUMBER(I48))),"",IF(G48=Lists!$B$5,I48/2,IF(G48=Lists!$B$7,I48,0)))</f>
        <v/>
      </c>
      <c r="O48" s="53">
        <f>IF(COUNTA(A48:K48)=0,"",IF(OR(A48="",B48="",C48="",D48="",E48="",F48="",G48="",NOT(ISNUMBER(I48))),"Incomplete",IF(COUNTIF(Lists!$H$4:$AA$4,C48)=0,"Check category",IF(COUNTIF(INDEX(Lists!$H$6:$AA$45,0,MATCH(C48,Lists!$H$4:$AA$4,0)),D48)=0,"Check sub-category","OK"))))</f>
        <v/>
      </c>
      <c r="P48">
        <f>IF(ISNUMBER(I48),I48+ROW()/10000000,"")</f>
        <v/>
      </c>
      <c r="Q48">
        <f>IF(AND(ISNUMBER(P48),ISNUMBER(A48)),IF(AND(A48&gt;=Dashboard!$Q$3,A48&lt;=Dashboard!$Q$4,OR(J48&lt;&gt;"Yes",Dashboard!$Q$15="Yes")),P48,""),"")</f>
        <v/>
      </c>
    </row>
    <row r="49">
      <c r="A49" s="47" t="n"/>
      <c r="B49" s="48" t="n"/>
      <c r="C49" s="48" t="n"/>
      <c r="D49" s="48" t="n"/>
      <c r="E49" s="48" t="n"/>
      <c r="F49" s="48" t="n"/>
      <c r="G49" s="48" t="n"/>
      <c r="H49" s="48" t="n"/>
      <c r="I49" s="49" t="n"/>
      <c r="J49" s="50" t="n"/>
      <c r="K49" s="48" t="n"/>
      <c r="L49" s="51">
        <f>IF(A49="","",DATE(YEAR(A49),MONTH(A49),1))</f>
        <v/>
      </c>
      <c r="M49" s="52">
        <f>IF(OR(A49="",NOT(ISNUMBER(I49))),"",IF(G49=Lists!$B$5,I49/2,IF(G49=Lists!$B$6,I49,0)))</f>
        <v/>
      </c>
      <c r="N49" s="52">
        <f>IF(OR(A49="",NOT(ISNUMBER(I49))),"",IF(G49=Lists!$B$5,I49/2,IF(G49=Lists!$B$7,I49,0)))</f>
        <v/>
      </c>
      <c r="O49" s="53">
        <f>IF(COUNTA(A49:K49)=0,"",IF(OR(A49="",B49="",C49="",D49="",E49="",F49="",G49="",NOT(ISNUMBER(I49))),"Incomplete",IF(COUNTIF(Lists!$H$4:$AA$4,C49)=0,"Check category",IF(COUNTIF(INDEX(Lists!$H$6:$AA$45,0,MATCH(C49,Lists!$H$4:$AA$4,0)),D49)=0,"Check sub-category","OK"))))</f>
        <v/>
      </c>
      <c r="P49">
        <f>IF(ISNUMBER(I49),I49+ROW()/10000000,"")</f>
        <v/>
      </c>
      <c r="Q49">
        <f>IF(AND(ISNUMBER(P49),ISNUMBER(A49)),IF(AND(A49&gt;=Dashboard!$Q$3,A49&lt;=Dashboard!$Q$4,OR(J49&lt;&gt;"Yes",Dashboard!$Q$15="Yes")),P49,""),"")</f>
        <v/>
      </c>
    </row>
    <row r="50">
      <c r="A50" s="47" t="n"/>
      <c r="B50" s="48" t="n"/>
      <c r="C50" s="48" t="n"/>
      <c r="D50" s="48" t="n"/>
      <c r="E50" s="48" t="n"/>
      <c r="F50" s="48" t="n"/>
      <c r="G50" s="48" t="n"/>
      <c r="H50" s="48" t="n"/>
      <c r="I50" s="49" t="n"/>
      <c r="J50" s="50" t="n"/>
      <c r="K50" s="48" t="n"/>
      <c r="L50" s="51">
        <f>IF(A50="","",DATE(YEAR(A50),MONTH(A50),1))</f>
        <v/>
      </c>
      <c r="M50" s="52">
        <f>IF(OR(A50="",NOT(ISNUMBER(I50))),"",IF(G50=Lists!$B$5,I50/2,IF(G50=Lists!$B$6,I50,0)))</f>
        <v/>
      </c>
      <c r="N50" s="52">
        <f>IF(OR(A50="",NOT(ISNUMBER(I50))),"",IF(G50=Lists!$B$5,I50/2,IF(G50=Lists!$B$7,I50,0)))</f>
        <v/>
      </c>
      <c r="O50" s="53">
        <f>IF(COUNTA(A50:K50)=0,"",IF(OR(A50="",B50="",C50="",D50="",E50="",F50="",G50="",NOT(ISNUMBER(I50))),"Incomplete",IF(COUNTIF(Lists!$H$4:$AA$4,C50)=0,"Check category",IF(COUNTIF(INDEX(Lists!$H$6:$AA$45,0,MATCH(C50,Lists!$H$4:$AA$4,0)),D50)=0,"Check sub-category","OK"))))</f>
        <v/>
      </c>
      <c r="P50">
        <f>IF(ISNUMBER(I50),I50+ROW()/10000000,"")</f>
        <v/>
      </c>
      <c r="Q50">
        <f>IF(AND(ISNUMBER(P50),ISNUMBER(A50)),IF(AND(A50&gt;=Dashboard!$Q$3,A50&lt;=Dashboard!$Q$4,OR(J50&lt;&gt;"Yes",Dashboard!$Q$15="Yes")),P50,""),"")</f>
        <v/>
      </c>
    </row>
    <row r="51">
      <c r="A51" s="47" t="n"/>
      <c r="B51" s="48" t="n"/>
      <c r="C51" s="48" t="n"/>
      <c r="D51" s="48" t="n"/>
      <c r="E51" s="48" t="n"/>
      <c r="F51" s="48" t="n"/>
      <c r="G51" s="48" t="n"/>
      <c r="H51" s="48" t="n"/>
      <c r="I51" s="49" t="n"/>
      <c r="J51" s="50" t="n"/>
      <c r="K51" s="48" t="n"/>
      <c r="L51" s="51">
        <f>IF(A51="","",DATE(YEAR(A51),MONTH(A51),1))</f>
        <v/>
      </c>
      <c r="M51" s="52">
        <f>IF(OR(A51="",NOT(ISNUMBER(I51))),"",IF(G51=Lists!$B$5,I51/2,IF(G51=Lists!$B$6,I51,0)))</f>
        <v/>
      </c>
      <c r="N51" s="52">
        <f>IF(OR(A51="",NOT(ISNUMBER(I51))),"",IF(G51=Lists!$B$5,I51/2,IF(G51=Lists!$B$7,I51,0)))</f>
        <v/>
      </c>
      <c r="O51" s="53">
        <f>IF(COUNTA(A51:K51)=0,"",IF(OR(A51="",B51="",C51="",D51="",E51="",F51="",G51="",NOT(ISNUMBER(I51))),"Incomplete",IF(COUNTIF(Lists!$H$4:$AA$4,C51)=0,"Check category",IF(COUNTIF(INDEX(Lists!$H$6:$AA$45,0,MATCH(C51,Lists!$H$4:$AA$4,0)),D51)=0,"Check sub-category","OK"))))</f>
        <v/>
      </c>
      <c r="P51">
        <f>IF(ISNUMBER(I51),I51+ROW()/10000000,"")</f>
        <v/>
      </c>
      <c r="Q51">
        <f>IF(AND(ISNUMBER(P51),ISNUMBER(A51)),IF(AND(A51&gt;=Dashboard!$Q$3,A51&lt;=Dashboard!$Q$4,OR(J51&lt;&gt;"Yes",Dashboard!$Q$15="Yes")),P51,""),"")</f>
        <v/>
      </c>
    </row>
    <row r="52">
      <c r="A52" s="47" t="n"/>
      <c r="B52" s="48" t="n"/>
      <c r="C52" s="48" t="n"/>
      <c r="D52" s="48" t="n"/>
      <c r="E52" s="48" t="n"/>
      <c r="F52" s="48" t="n"/>
      <c r="G52" s="48" t="n"/>
      <c r="H52" s="48" t="n"/>
      <c r="I52" s="49" t="n"/>
      <c r="J52" s="50" t="n"/>
      <c r="K52" s="48" t="n"/>
      <c r="L52" s="51">
        <f>IF(A52="","",DATE(YEAR(A52),MONTH(A52),1))</f>
        <v/>
      </c>
      <c r="M52" s="52">
        <f>IF(OR(A52="",NOT(ISNUMBER(I52))),"",IF(G52=Lists!$B$5,I52/2,IF(G52=Lists!$B$6,I52,0)))</f>
        <v/>
      </c>
      <c r="N52" s="52">
        <f>IF(OR(A52="",NOT(ISNUMBER(I52))),"",IF(G52=Lists!$B$5,I52/2,IF(G52=Lists!$B$7,I52,0)))</f>
        <v/>
      </c>
      <c r="O52" s="53">
        <f>IF(COUNTA(A52:K52)=0,"",IF(OR(A52="",B52="",C52="",D52="",E52="",F52="",G52="",NOT(ISNUMBER(I52))),"Incomplete",IF(COUNTIF(Lists!$H$4:$AA$4,C52)=0,"Check category",IF(COUNTIF(INDEX(Lists!$H$6:$AA$45,0,MATCH(C52,Lists!$H$4:$AA$4,0)),D52)=0,"Check sub-category","OK"))))</f>
        <v/>
      </c>
      <c r="P52">
        <f>IF(ISNUMBER(I52),I52+ROW()/10000000,"")</f>
        <v/>
      </c>
      <c r="Q52">
        <f>IF(AND(ISNUMBER(P52),ISNUMBER(A52)),IF(AND(A52&gt;=Dashboard!$Q$3,A52&lt;=Dashboard!$Q$4,OR(J52&lt;&gt;"Yes",Dashboard!$Q$15="Yes")),P52,""),"")</f>
        <v/>
      </c>
    </row>
    <row r="53">
      <c r="A53" s="47" t="n"/>
      <c r="B53" s="48" t="n"/>
      <c r="C53" s="48" t="n"/>
      <c r="D53" s="48" t="n"/>
      <c r="E53" s="48" t="n"/>
      <c r="F53" s="48" t="n"/>
      <c r="G53" s="48" t="n"/>
      <c r="H53" s="48" t="n"/>
      <c r="I53" s="49" t="n"/>
      <c r="J53" s="50" t="n"/>
      <c r="K53" s="48" t="n"/>
      <c r="L53" s="51">
        <f>IF(A53="","",DATE(YEAR(A53),MONTH(A53),1))</f>
        <v/>
      </c>
      <c r="M53" s="52">
        <f>IF(OR(A53="",NOT(ISNUMBER(I53))),"",IF(G53=Lists!$B$5,I53/2,IF(G53=Lists!$B$6,I53,0)))</f>
        <v/>
      </c>
      <c r="N53" s="52">
        <f>IF(OR(A53="",NOT(ISNUMBER(I53))),"",IF(G53=Lists!$B$5,I53/2,IF(G53=Lists!$B$7,I53,0)))</f>
        <v/>
      </c>
      <c r="O53" s="53">
        <f>IF(COUNTA(A53:K53)=0,"",IF(OR(A53="",B53="",C53="",D53="",E53="",F53="",G53="",NOT(ISNUMBER(I53))),"Incomplete",IF(COUNTIF(Lists!$H$4:$AA$4,C53)=0,"Check category",IF(COUNTIF(INDEX(Lists!$H$6:$AA$45,0,MATCH(C53,Lists!$H$4:$AA$4,0)),D53)=0,"Check sub-category","OK"))))</f>
        <v/>
      </c>
      <c r="P53">
        <f>IF(ISNUMBER(I53),I53+ROW()/10000000,"")</f>
        <v/>
      </c>
      <c r="Q53">
        <f>IF(AND(ISNUMBER(P53),ISNUMBER(A53)),IF(AND(A53&gt;=Dashboard!$Q$3,A53&lt;=Dashboard!$Q$4,OR(J53&lt;&gt;"Yes",Dashboard!$Q$15="Yes")),P53,""),"")</f>
        <v/>
      </c>
    </row>
    <row r="54">
      <c r="A54" s="47" t="n"/>
      <c r="B54" s="48" t="n"/>
      <c r="C54" s="48" t="n"/>
      <c r="D54" s="48" t="n"/>
      <c r="E54" s="48" t="n"/>
      <c r="F54" s="48" t="n"/>
      <c r="G54" s="48" t="n"/>
      <c r="H54" s="48" t="n"/>
      <c r="I54" s="49" t="n"/>
      <c r="J54" s="50" t="n"/>
      <c r="K54" s="48" t="n"/>
      <c r="L54" s="51">
        <f>IF(A54="","",DATE(YEAR(A54),MONTH(A54),1))</f>
        <v/>
      </c>
      <c r="M54" s="52">
        <f>IF(OR(A54="",NOT(ISNUMBER(I54))),"",IF(G54=Lists!$B$5,I54/2,IF(G54=Lists!$B$6,I54,0)))</f>
        <v/>
      </c>
      <c r="N54" s="52">
        <f>IF(OR(A54="",NOT(ISNUMBER(I54))),"",IF(G54=Lists!$B$5,I54/2,IF(G54=Lists!$B$7,I54,0)))</f>
        <v/>
      </c>
      <c r="O54" s="53">
        <f>IF(COUNTA(A54:K54)=0,"",IF(OR(A54="",B54="",C54="",D54="",E54="",F54="",G54="",NOT(ISNUMBER(I54))),"Incomplete",IF(COUNTIF(Lists!$H$4:$AA$4,C54)=0,"Check category",IF(COUNTIF(INDEX(Lists!$H$6:$AA$45,0,MATCH(C54,Lists!$H$4:$AA$4,0)),D54)=0,"Check sub-category","OK"))))</f>
        <v/>
      </c>
      <c r="P54">
        <f>IF(ISNUMBER(I54),I54+ROW()/10000000,"")</f>
        <v/>
      </c>
      <c r="Q54">
        <f>IF(AND(ISNUMBER(P54),ISNUMBER(A54)),IF(AND(A54&gt;=Dashboard!$Q$3,A54&lt;=Dashboard!$Q$4,OR(J54&lt;&gt;"Yes",Dashboard!$Q$15="Yes")),P54,""),"")</f>
        <v/>
      </c>
    </row>
    <row r="55">
      <c r="A55" s="47" t="n"/>
      <c r="B55" s="48" t="n"/>
      <c r="C55" s="48" t="n"/>
      <c r="D55" s="48" t="n"/>
      <c r="E55" s="48" t="n"/>
      <c r="F55" s="48" t="n"/>
      <c r="G55" s="48" t="n"/>
      <c r="H55" s="48" t="n"/>
      <c r="I55" s="49" t="n"/>
      <c r="J55" s="50" t="n"/>
      <c r="K55" s="48" t="n"/>
      <c r="L55" s="51">
        <f>IF(A55="","",DATE(YEAR(A55),MONTH(A55),1))</f>
        <v/>
      </c>
      <c r="M55" s="52">
        <f>IF(OR(A55="",NOT(ISNUMBER(I55))),"",IF(G55=Lists!$B$5,I55/2,IF(G55=Lists!$B$6,I55,0)))</f>
        <v/>
      </c>
      <c r="N55" s="52">
        <f>IF(OR(A55="",NOT(ISNUMBER(I55))),"",IF(G55=Lists!$B$5,I55/2,IF(G55=Lists!$B$7,I55,0)))</f>
        <v/>
      </c>
      <c r="O55" s="53">
        <f>IF(COUNTA(A55:K55)=0,"",IF(OR(A55="",B55="",C55="",D55="",E55="",F55="",G55="",NOT(ISNUMBER(I55))),"Incomplete",IF(COUNTIF(Lists!$H$4:$AA$4,C55)=0,"Check category",IF(COUNTIF(INDEX(Lists!$H$6:$AA$45,0,MATCH(C55,Lists!$H$4:$AA$4,0)),D55)=0,"Check sub-category","OK"))))</f>
        <v/>
      </c>
      <c r="P55">
        <f>IF(ISNUMBER(I55),I55+ROW()/10000000,"")</f>
        <v/>
      </c>
      <c r="Q55">
        <f>IF(AND(ISNUMBER(P55),ISNUMBER(A55)),IF(AND(A55&gt;=Dashboard!$Q$3,A55&lt;=Dashboard!$Q$4,OR(J55&lt;&gt;"Yes",Dashboard!$Q$15="Yes")),P55,""),"")</f>
        <v/>
      </c>
    </row>
    <row r="56">
      <c r="A56" s="47" t="n"/>
      <c r="B56" s="48" t="n"/>
      <c r="C56" s="48" t="n"/>
      <c r="D56" s="48" t="n"/>
      <c r="E56" s="48" t="n"/>
      <c r="F56" s="48" t="n"/>
      <c r="G56" s="48" t="n"/>
      <c r="H56" s="48" t="n"/>
      <c r="I56" s="49" t="n"/>
      <c r="J56" s="50" t="n"/>
      <c r="K56" s="48" t="n"/>
      <c r="L56" s="51">
        <f>IF(A56="","",DATE(YEAR(A56),MONTH(A56),1))</f>
        <v/>
      </c>
      <c r="M56" s="52">
        <f>IF(OR(A56="",NOT(ISNUMBER(I56))),"",IF(G56=Lists!$B$5,I56/2,IF(G56=Lists!$B$6,I56,0)))</f>
        <v/>
      </c>
      <c r="N56" s="52">
        <f>IF(OR(A56="",NOT(ISNUMBER(I56))),"",IF(G56=Lists!$B$5,I56/2,IF(G56=Lists!$B$7,I56,0)))</f>
        <v/>
      </c>
      <c r="O56" s="53">
        <f>IF(COUNTA(A56:K56)=0,"",IF(OR(A56="",B56="",C56="",D56="",E56="",F56="",G56="",NOT(ISNUMBER(I56))),"Incomplete",IF(COUNTIF(Lists!$H$4:$AA$4,C56)=0,"Check category",IF(COUNTIF(INDEX(Lists!$H$6:$AA$45,0,MATCH(C56,Lists!$H$4:$AA$4,0)),D56)=0,"Check sub-category","OK"))))</f>
        <v/>
      </c>
      <c r="P56">
        <f>IF(ISNUMBER(I56),I56+ROW()/10000000,"")</f>
        <v/>
      </c>
      <c r="Q56">
        <f>IF(AND(ISNUMBER(P56),ISNUMBER(A56)),IF(AND(A56&gt;=Dashboard!$Q$3,A56&lt;=Dashboard!$Q$4,OR(J56&lt;&gt;"Yes",Dashboard!$Q$15="Yes")),P56,""),"")</f>
        <v/>
      </c>
    </row>
    <row r="57">
      <c r="A57" s="47" t="n"/>
      <c r="B57" s="48" t="n"/>
      <c r="C57" s="48" t="n"/>
      <c r="D57" s="48" t="n"/>
      <c r="E57" s="48" t="n"/>
      <c r="F57" s="48" t="n"/>
      <c r="G57" s="48" t="n"/>
      <c r="H57" s="48" t="n"/>
      <c r="I57" s="49" t="n"/>
      <c r="J57" s="50" t="n"/>
      <c r="K57" s="48" t="n"/>
      <c r="L57" s="51">
        <f>IF(A57="","",DATE(YEAR(A57),MONTH(A57),1))</f>
        <v/>
      </c>
      <c r="M57" s="52">
        <f>IF(OR(A57="",NOT(ISNUMBER(I57))),"",IF(G57=Lists!$B$5,I57/2,IF(G57=Lists!$B$6,I57,0)))</f>
        <v/>
      </c>
      <c r="N57" s="52">
        <f>IF(OR(A57="",NOT(ISNUMBER(I57))),"",IF(G57=Lists!$B$5,I57/2,IF(G57=Lists!$B$7,I57,0)))</f>
        <v/>
      </c>
      <c r="O57" s="53">
        <f>IF(COUNTA(A57:K57)=0,"",IF(OR(A57="",B57="",C57="",D57="",E57="",F57="",G57="",NOT(ISNUMBER(I57))),"Incomplete",IF(COUNTIF(Lists!$H$4:$AA$4,C57)=0,"Check category",IF(COUNTIF(INDEX(Lists!$H$6:$AA$45,0,MATCH(C57,Lists!$H$4:$AA$4,0)),D57)=0,"Check sub-category","OK"))))</f>
        <v/>
      </c>
      <c r="P57">
        <f>IF(ISNUMBER(I57),I57+ROW()/10000000,"")</f>
        <v/>
      </c>
      <c r="Q57">
        <f>IF(AND(ISNUMBER(P57),ISNUMBER(A57)),IF(AND(A57&gt;=Dashboard!$Q$3,A57&lt;=Dashboard!$Q$4,OR(J57&lt;&gt;"Yes",Dashboard!$Q$15="Yes")),P57,""),"")</f>
        <v/>
      </c>
    </row>
    <row r="58">
      <c r="A58" s="47" t="n"/>
      <c r="B58" s="48" t="n"/>
      <c r="C58" s="48" t="n"/>
      <c r="D58" s="48" t="n"/>
      <c r="E58" s="48" t="n"/>
      <c r="F58" s="48" t="n"/>
      <c r="G58" s="48" t="n"/>
      <c r="H58" s="48" t="n"/>
      <c r="I58" s="49" t="n"/>
      <c r="J58" s="50" t="n"/>
      <c r="K58" s="48" t="n"/>
      <c r="L58" s="51">
        <f>IF(A58="","",DATE(YEAR(A58),MONTH(A58),1))</f>
        <v/>
      </c>
      <c r="M58" s="52">
        <f>IF(OR(A58="",NOT(ISNUMBER(I58))),"",IF(G58=Lists!$B$5,I58/2,IF(G58=Lists!$B$6,I58,0)))</f>
        <v/>
      </c>
      <c r="N58" s="52">
        <f>IF(OR(A58="",NOT(ISNUMBER(I58))),"",IF(G58=Lists!$B$5,I58/2,IF(G58=Lists!$B$7,I58,0)))</f>
        <v/>
      </c>
      <c r="O58" s="53">
        <f>IF(COUNTA(A58:K58)=0,"",IF(OR(A58="",B58="",C58="",D58="",E58="",F58="",G58="",NOT(ISNUMBER(I58))),"Incomplete",IF(COUNTIF(Lists!$H$4:$AA$4,C58)=0,"Check category",IF(COUNTIF(INDEX(Lists!$H$6:$AA$45,0,MATCH(C58,Lists!$H$4:$AA$4,0)),D58)=0,"Check sub-category","OK"))))</f>
        <v/>
      </c>
      <c r="P58">
        <f>IF(ISNUMBER(I58),I58+ROW()/10000000,"")</f>
        <v/>
      </c>
      <c r="Q58">
        <f>IF(AND(ISNUMBER(P58),ISNUMBER(A58)),IF(AND(A58&gt;=Dashboard!$Q$3,A58&lt;=Dashboard!$Q$4,OR(J58&lt;&gt;"Yes",Dashboard!$Q$15="Yes")),P58,""),"")</f>
        <v/>
      </c>
    </row>
    <row r="59">
      <c r="A59" s="47" t="n"/>
      <c r="B59" s="48" t="n"/>
      <c r="C59" s="48" t="n"/>
      <c r="D59" s="48" t="n"/>
      <c r="E59" s="48" t="n"/>
      <c r="F59" s="48" t="n"/>
      <c r="G59" s="48" t="n"/>
      <c r="H59" s="48" t="n"/>
      <c r="I59" s="49" t="n"/>
      <c r="J59" s="50" t="n"/>
      <c r="K59" s="48" t="n"/>
      <c r="L59" s="51">
        <f>IF(A59="","",DATE(YEAR(A59),MONTH(A59),1))</f>
        <v/>
      </c>
      <c r="M59" s="52">
        <f>IF(OR(A59="",NOT(ISNUMBER(I59))),"",IF(G59=Lists!$B$5,I59/2,IF(G59=Lists!$B$6,I59,0)))</f>
        <v/>
      </c>
      <c r="N59" s="52">
        <f>IF(OR(A59="",NOT(ISNUMBER(I59))),"",IF(G59=Lists!$B$5,I59/2,IF(G59=Lists!$B$7,I59,0)))</f>
        <v/>
      </c>
      <c r="O59" s="53">
        <f>IF(COUNTA(A59:K59)=0,"",IF(OR(A59="",B59="",C59="",D59="",E59="",F59="",G59="",NOT(ISNUMBER(I59))),"Incomplete",IF(COUNTIF(Lists!$H$4:$AA$4,C59)=0,"Check category",IF(COUNTIF(INDEX(Lists!$H$6:$AA$45,0,MATCH(C59,Lists!$H$4:$AA$4,0)),D59)=0,"Check sub-category","OK"))))</f>
        <v/>
      </c>
      <c r="P59">
        <f>IF(ISNUMBER(I59),I59+ROW()/10000000,"")</f>
        <v/>
      </c>
      <c r="Q59">
        <f>IF(AND(ISNUMBER(P59),ISNUMBER(A59)),IF(AND(A59&gt;=Dashboard!$Q$3,A59&lt;=Dashboard!$Q$4,OR(J59&lt;&gt;"Yes",Dashboard!$Q$15="Yes")),P59,""),"")</f>
        <v/>
      </c>
    </row>
    <row r="60">
      <c r="A60" s="47" t="n"/>
      <c r="B60" s="48" t="n"/>
      <c r="C60" s="48" t="n"/>
      <c r="D60" s="48" t="n"/>
      <c r="E60" s="48" t="n"/>
      <c r="F60" s="48" t="n"/>
      <c r="G60" s="48" t="n"/>
      <c r="H60" s="48" t="n"/>
      <c r="I60" s="49" t="n"/>
      <c r="J60" s="50" t="n"/>
      <c r="K60" s="48" t="n"/>
      <c r="L60" s="51">
        <f>IF(A60="","",DATE(YEAR(A60),MONTH(A60),1))</f>
        <v/>
      </c>
      <c r="M60" s="52">
        <f>IF(OR(A60="",NOT(ISNUMBER(I60))),"",IF(G60=Lists!$B$5,I60/2,IF(G60=Lists!$B$6,I60,0)))</f>
        <v/>
      </c>
      <c r="N60" s="52">
        <f>IF(OR(A60="",NOT(ISNUMBER(I60))),"",IF(G60=Lists!$B$5,I60/2,IF(G60=Lists!$B$7,I60,0)))</f>
        <v/>
      </c>
      <c r="O60" s="53">
        <f>IF(COUNTA(A60:K60)=0,"",IF(OR(A60="",B60="",C60="",D60="",E60="",F60="",G60="",NOT(ISNUMBER(I60))),"Incomplete",IF(COUNTIF(Lists!$H$4:$AA$4,C60)=0,"Check category",IF(COUNTIF(INDEX(Lists!$H$6:$AA$45,0,MATCH(C60,Lists!$H$4:$AA$4,0)),D60)=0,"Check sub-category","OK"))))</f>
        <v/>
      </c>
      <c r="P60">
        <f>IF(ISNUMBER(I60),I60+ROW()/10000000,"")</f>
        <v/>
      </c>
      <c r="Q60">
        <f>IF(AND(ISNUMBER(P60),ISNUMBER(A60)),IF(AND(A60&gt;=Dashboard!$Q$3,A60&lt;=Dashboard!$Q$4,OR(J60&lt;&gt;"Yes",Dashboard!$Q$15="Yes")),P60,""),"")</f>
        <v/>
      </c>
    </row>
    <row r="61">
      <c r="A61" s="47" t="n"/>
      <c r="B61" s="48" t="n"/>
      <c r="C61" s="48" t="n"/>
      <c r="D61" s="48" t="n"/>
      <c r="E61" s="48" t="n"/>
      <c r="F61" s="48" t="n"/>
      <c r="G61" s="48" t="n"/>
      <c r="H61" s="48" t="n"/>
      <c r="I61" s="49" t="n"/>
      <c r="J61" s="50" t="n"/>
      <c r="K61" s="48" t="n"/>
      <c r="L61" s="51">
        <f>IF(A61="","",DATE(YEAR(A61),MONTH(A61),1))</f>
        <v/>
      </c>
      <c r="M61" s="52">
        <f>IF(OR(A61="",NOT(ISNUMBER(I61))),"",IF(G61=Lists!$B$5,I61/2,IF(G61=Lists!$B$6,I61,0)))</f>
        <v/>
      </c>
      <c r="N61" s="52">
        <f>IF(OR(A61="",NOT(ISNUMBER(I61))),"",IF(G61=Lists!$B$5,I61/2,IF(G61=Lists!$B$7,I61,0)))</f>
        <v/>
      </c>
      <c r="O61" s="53">
        <f>IF(COUNTA(A61:K61)=0,"",IF(OR(A61="",B61="",C61="",D61="",E61="",F61="",G61="",NOT(ISNUMBER(I61))),"Incomplete",IF(COUNTIF(Lists!$H$4:$AA$4,C61)=0,"Check category",IF(COUNTIF(INDEX(Lists!$H$6:$AA$45,0,MATCH(C61,Lists!$H$4:$AA$4,0)),D61)=0,"Check sub-category","OK"))))</f>
        <v/>
      </c>
      <c r="P61">
        <f>IF(ISNUMBER(I61),I61+ROW()/10000000,"")</f>
        <v/>
      </c>
      <c r="Q61">
        <f>IF(AND(ISNUMBER(P61),ISNUMBER(A61)),IF(AND(A61&gt;=Dashboard!$Q$3,A61&lt;=Dashboard!$Q$4,OR(J61&lt;&gt;"Yes",Dashboard!$Q$15="Yes")),P61,""),"")</f>
        <v/>
      </c>
    </row>
    <row r="62">
      <c r="A62" s="47" t="n"/>
      <c r="B62" s="48" t="n"/>
      <c r="C62" s="48" t="n"/>
      <c r="D62" s="48" t="n"/>
      <c r="E62" s="48" t="n"/>
      <c r="F62" s="48" t="n"/>
      <c r="G62" s="48" t="n"/>
      <c r="H62" s="48" t="n"/>
      <c r="I62" s="49" t="n"/>
      <c r="J62" s="50" t="n"/>
      <c r="K62" s="48" t="n"/>
      <c r="L62" s="51">
        <f>IF(A62="","",DATE(YEAR(A62),MONTH(A62),1))</f>
        <v/>
      </c>
      <c r="M62" s="52">
        <f>IF(OR(A62="",NOT(ISNUMBER(I62))),"",IF(G62=Lists!$B$5,I62/2,IF(G62=Lists!$B$6,I62,0)))</f>
        <v/>
      </c>
      <c r="N62" s="52">
        <f>IF(OR(A62="",NOT(ISNUMBER(I62))),"",IF(G62=Lists!$B$5,I62/2,IF(G62=Lists!$B$7,I62,0)))</f>
        <v/>
      </c>
      <c r="O62" s="53">
        <f>IF(COUNTA(A62:K62)=0,"",IF(OR(A62="",B62="",C62="",D62="",E62="",F62="",G62="",NOT(ISNUMBER(I62))),"Incomplete",IF(COUNTIF(Lists!$H$4:$AA$4,C62)=0,"Check category",IF(COUNTIF(INDEX(Lists!$H$6:$AA$45,0,MATCH(C62,Lists!$H$4:$AA$4,0)),D62)=0,"Check sub-category","OK"))))</f>
        <v/>
      </c>
      <c r="P62">
        <f>IF(ISNUMBER(I62),I62+ROW()/10000000,"")</f>
        <v/>
      </c>
      <c r="Q62">
        <f>IF(AND(ISNUMBER(P62),ISNUMBER(A62)),IF(AND(A62&gt;=Dashboard!$Q$3,A62&lt;=Dashboard!$Q$4,OR(J62&lt;&gt;"Yes",Dashboard!$Q$15="Yes")),P62,""),"")</f>
        <v/>
      </c>
    </row>
    <row r="63">
      <c r="A63" s="47" t="n"/>
      <c r="B63" s="48" t="n"/>
      <c r="C63" s="48" t="n"/>
      <c r="D63" s="48" t="n"/>
      <c r="E63" s="48" t="n"/>
      <c r="F63" s="48" t="n"/>
      <c r="G63" s="48" t="n"/>
      <c r="H63" s="48" t="n"/>
      <c r="I63" s="49" t="n"/>
      <c r="J63" s="50" t="n"/>
      <c r="K63" s="48" t="n"/>
      <c r="L63" s="51">
        <f>IF(A63="","",DATE(YEAR(A63),MONTH(A63),1))</f>
        <v/>
      </c>
      <c r="M63" s="52">
        <f>IF(OR(A63="",NOT(ISNUMBER(I63))),"",IF(G63=Lists!$B$5,I63/2,IF(G63=Lists!$B$6,I63,0)))</f>
        <v/>
      </c>
      <c r="N63" s="52">
        <f>IF(OR(A63="",NOT(ISNUMBER(I63))),"",IF(G63=Lists!$B$5,I63/2,IF(G63=Lists!$B$7,I63,0)))</f>
        <v/>
      </c>
      <c r="O63" s="53">
        <f>IF(COUNTA(A63:K63)=0,"",IF(OR(A63="",B63="",C63="",D63="",E63="",F63="",G63="",NOT(ISNUMBER(I63))),"Incomplete",IF(COUNTIF(Lists!$H$4:$AA$4,C63)=0,"Check category",IF(COUNTIF(INDEX(Lists!$H$6:$AA$45,0,MATCH(C63,Lists!$H$4:$AA$4,0)),D63)=0,"Check sub-category","OK"))))</f>
        <v/>
      </c>
      <c r="P63">
        <f>IF(ISNUMBER(I63),I63+ROW()/10000000,"")</f>
        <v/>
      </c>
      <c r="Q63">
        <f>IF(AND(ISNUMBER(P63),ISNUMBER(A63)),IF(AND(A63&gt;=Dashboard!$Q$3,A63&lt;=Dashboard!$Q$4,OR(J63&lt;&gt;"Yes",Dashboard!$Q$15="Yes")),P63,""),"")</f>
        <v/>
      </c>
    </row>
    <row r="64">
      <c r="A64" s="47" t="n"/>
      <c r="B64" s="48" t="n"/>
      <c r="C64" s="48" t="n"/>
      <c r="D64" s="48" t="n"/>
      <c r="E64" s="48" t="n"/>
      <c r="F64" s="48" t="n"/>
      <c r="G64" s="48" t="n"/>
      <c r="H64" s="48" t="n"/>
      <c r="I64" s="49" t="n"/>
      <c r="J64" s="50" t="n"/>
      <c r="K64" s="48" t="n"/>
      <c r="L64" s="51">
        <f>IF(A64="","",DATE(YEAR(A64),MONTH(A64),1))</f>
        <v/>
      </c>
      <c r="M64" s="52">
        <f>IF(OR(A64="",NOT(ISNUMBER(I64))),"",IF(G64=Lists!$B$5,I64/2,IF(G64=Lists!$B$6,I64,0)))</f>
        <v/>
      </c>
      <c r="N64" s="52">
        <f>IF(OR(A64="",NOT(ISNUMBER(I64))),"",IF(G64=Lists!$B$5,I64/2,IF(G64=Lists!$B$7,I64,0)))</f>
        <v/>
      </c>
      <c r="O64" s="53">
        <f>IF(COUNTA(A64:K64)=0,"",IF(OR(A64="",B64="",C64="",D64="",E64="",F64="",G64="",NOT(ISNUMBER(I64))),"Incomplete",IF(COUNTIF(Lists!$H$4:$AA$4,C64)=0,"Check category",IF(COUNTIF(INDEX(Lists!$H$6:$AA$45,0,MATCH(C64,Lists!$H$4:$AA$4,0)),D64)=0,"Check sub-category","OK"))))</f>
        <v/>
      </c>
      <c r="P64">
        <f>IF(ISNUMBER(I64),I64+ROW()/10000000,"")</f>
        <v/>
      </c>
      <c r="Q64">
        <f>IF(AND(ISNUMBER(P64),ISNUMBER(A64)),IF(AND(A64&gt;=Dashboard!$Q$3,A64&lt;=Dashboard!$Q$4,OR(J64&lt;&gt;"Yes",Dashboard!$Q$15="Yes")),P64,""),"")</f>
        <v/>
      </c>
    </row>
    <row r="65">
      <c r="A65" s="47" t="n"/>
      <c r="B65" s="48" t="n"/>
      <c r="C65" s="48" t="n"/>
      <c r="D65" s="48" t="n"/>
      <c r="E65" s="48" t="n"/>
      <c r="F65" s="48" t="n"/>
      <c r="G65" s="48" t="n"/>
      <c r="H65" s="48" t="n"/>
      <c r="I65" s="49" t="n"/>
      <c r="J65" s="50" t="n"/>
      <c r="K65" s="48" t="n"/>
      <c r="L65" s="51">
        <f>IF(A65="","",DATE(YEAR(A65),MONTH(A65),1))</f>
        <v/>
      </c>
      <c r="M65" s="52">
        <f>IF(OR(A65="",NOT(ISNUMBER(I65))),"",IF(G65=Lists!$B$5,I65/2,IF(G65=Lists!$B$6,I65,0)))</f>
        <v/>
      </c>
      <c r="N65" s="52">
        <f>IF(OR(A65="",NOT(ISNUMBER(I65))),"",IF(G65=Lists!$B$5,I65/2,IF(G65=Lists!$B$7,I65,0)))</f>
        <v/>
      </c>
      <c r="O65" s="53">
        <f>IF(COUNTA(A65:K65)=0,"",IF(OR(A65="",B65="",C65="",D65="",E65="",F65="",G65="",NOT(ISNUMBER(I65))),"Incomplete",IF(COUNTIF(Lists!$H$4:$AA$4,C65)=0,"Check category",IF(COUNTIF(INDEX(Lists!$H$6:$AA$45,0,MATCH(C65,Lists!$H$4:$AA$4,0)),D65)=0,"Check sub-category","OK"))))</f>
        <v/>
      </c>
      <c r="P65">
        <f>IF(ISNUMBER(I65),I65+ROW()/10000000,"")</f>
        <v/>
      </c>
      <c r="Q65">
        <f>IF(AND(ISNUMBER(P65),ISNUMBER(A65)),IF(AND(A65&gt;=Dashboard!$Q$3,A65&lt;=Dashboard!$Q$4,OR(J65&lt;&gt;"Yes",Dashboard!$Q$15="Yes")),P65,""),"")</f>
        <v/>
      </c>
    </row>
    <row r="66">
      <c r="A66" s="47" t="n"/>
      <c r="B66" s="48" t="n"/>
      <c r="C66" s="48" t="n"/>
      <c r="D66" s="48" t="n"/>
      <c r="E66" s="48" t="n"/>
      <c r="F66" s="48" t="n"/>
      <c r="G66" s="48" t="n"/>
      <c r="H66" s="48" t="n"/>
      <c r="I66" s="49" t="n"/>
      <c r="J66" s="50" t="n"/>
      <c r="K66" s="48" t="n"/>
      <c r="L66" s="51">
        <f>IF(A66="","",DATE(YEAR(A66),MONTH(A66),1))</f>
        <v/>
      </c>
      <c r="M66" s="52">
        <f>IF(OR(A66="",NOT(ISNUMBER(I66))),"",IF(G66=Lists!$B$5,I66/2,IF(G66=Lists!$B$6,I66,0)))</f>
        <v/>
      </c>
      <c r="N66" s="52">
        <f>IF(OR(A66="",NOT(ISNUMBER(I66))),"",IF(G66=Lists!$B$5,I66/2,IF(G66=Lists!$B$7,I66,0)))</f>
        <v/>
      </c>
      <c r="O66" s="53">
        <f>IF(COUNTA(A66:K66)=0,"",IF(OR(A66="",B66="",C66="",D66="",E66="",F66="",G66="",NOT(ISNUMBER(I66))),"Incomplete",IF(COUNTIF(Lists!$H$4:$AA$4,C66)=0,"Check category",IF(COUNTIF(INDEX(Lists!$H$6:$AA$45,0,MATCH(C66,Lists!$H$4:$AA$4,0)),D66)=0,"Check sub-category","OK"))))</f>
        <v/>
      </c>
      <c r="P66">
        <f>IF(ISNUMBER(I66),I66+ROW()/10000000,"")</f>
        <v/>
      </c>
      <c r="Q66">
        <f>IF(AND(ISNUMBER(P66),ISNUMBER(A66)),IF(AND(A66&gt;=Dashboard!$Q$3,A66&lt;=Dashboard!$Q$4,OR(J66&lt;&gt;"Yes",Dashboard!$Q$15="Yes")),P66,""),"")</f>
        <v/>
      </c>
    </row>
    <row r="67">
      <c r="A67" s="47" t="n"/>
      <c r="B67" s="48" t="n"/>
      <c r="C67" s="48" t="n"/>
      <c r="D67" s="48" t="n"/>
      <c r="E67" s="48" t="n"/>
      <c r="F67" s="48" t="n"/>
      <c r="G67" s="48" t="n"/>
      <c r="H67" s="48" t="n"/>
      <c r="I67" s="49" t="n"/>
      <c r="J67" s="50" t="n"/>
      <c r="K67" s="48" t="n"/>
      <c r="L67" s="51">
        <f>IF(A67="","",DATE(YEAR(A67),MONTH(A67),1))</f>
        <v/>
      </c>
      <c r="M67" s="52">
        <f>IF(OR(A67="",NOT(ISNUMBER(I67))),"",IF(G67=Lists!$B$5,I67/2,IF(G67=Lists!$B$6,I67,0)))</f>
        <v/>
      </c>
      <c r="N67" s="52">
        <f>IF(OR(A67="",NOT(ISNUMBER(I67))),"",IF(G67=Lists!$B$5,I67/2,IF(G67=Lists!$B$7,I67,0)))</f>
        <v/>
      </c>
      <c r="O67" s="53">
        <f>IF(COUNTA(A67:K67)=0,"",IF(OR(A67="",B67="",C67="",D67="",E67="",F67="",G67="",NOT(ISNUMBER(I67))),"Incomplete",IF(COUNTIF(Lists!$H$4:$AA$4,C67)=0,"Check category",IF(COUNTIF(INDEX(Lists!$H$6:$AA$45,0,MATCH(C67,Lists!$H$4:$AA$4,0)),D67)=0,"Check sub-category","OK"))))</f>
        <v/>
      </c>
      <c r="P67">
        <f>IF(ISNUMBER(I67),I67+ROW()/10000000,"")</f>
        <v/>
      </c>
      <c r="Q67">
        <f>IF(AND(ISNUMBER(P67),ISNUMBER(A67)),IF(AND(A67&gt;=Dashboard!$Q$3,A67&lt;=Dashboard!$Q$4,OR(J67&lt;&gt;"Yes",Dashboard!$Q$15="Yes")),P67,""),"")</f>
        <v/>
      </c>
    </row>
    <row r="68">
      <c r="A68" s="47" t="n"/>
      <c r="B68" s="48" t="n"/>
      <c r="C68" s="48" t="n"/>
      <c r="D68" s="48" t="n"/>
      <c r="E68" s="48" t="n"/>
      <c r="F68" s="48" t="n"/>
      <c r="G68" s="48" t="n"/>
      <c r="H68" s="48" t="n"/>
      <c r="I68" s="49" t="n"/>
      <c r="J68" s="50" t="n"/>
      <c r="K68" s="48" t="n"/>
      <c r="L68" s="51">
        <f>IF(A68="","",DATE(YEAR(A68),MONTH(A68),1))</f>
        <v/>
      </c>
      <c r="M68" s="52">
        <f>IF(OR(A68="",NOT(ISNUMBER(I68))),"",IF(G68=Lists!$B$5,I68/2,IF(G68=Lists!$B$6,I68,0)))</f>
        <v/>
      </c>
      <c r="N68" s="52">
        <f>IF(OR(A68="",NOT(ISNUMBER(I68))),"",IF(G68=Lists!$B$5,I68/2,IF(G68=Lists!$B$7,I68,0)))</f>
        <v/>
      </c>
      <c r="O68" s="53">
        <f>IF(COUNTA(A68:K68)=0,"",IF(OR(A68="",B68="",C68="",D68="",E68="",F68="",G68="",NOT(ISNUMBER(I68))),"Incomplete",IF(COUNTIF(Lists!$H$4:$AA$4,C68)=0,"Check category",IF(COUNTIF(INDEX(Lists!$H$6:$AA$45,0,MATCH(C68,Lists!$H$4:$AA$4,0)),D68)=0,"Check sub-category","OK"))))</f>
        <v/>
      </c>
      <c r="P68">
        <f>IF(ISNUMBER(I68),I68+ROW()/10000000,"")</f>
        <v/>
      </c>
      <c r="Q68">
        <f>IF(AND(ISNUMBER(P68),ISNUMBER(A68)),IF(AND(A68&gt;=Dashboard!$Q$3,A68&lt;=Dashboard!$Q$4,OR(J68&lt;&gt;"Yes",Dashboard!$Q$15="Yes")),P68,""),"")</f>
        <v/>
      </c>
    </row>
    <row r="69">
      <c r="A69" s="47" t="n"/>
      <c r="B69" s="48" t="n"/>
      <c r="C69" s="48" t="n"/>
      <c r="D69" s="48" t="n"/>
      <c r="E69" s="48" t="n"/>
      <c r="F69" s="48" t="n"/>
      <c r="G69" s="48" t="n"/>
      <c r="H69" s="48" t="n"/>
      <c r="I69" s="49" t="n"/>
      <c r="J69" s="50" t="n"/>
      <c r="K69" s="48" t="n"/>
      <c r="L69" s="51">
        <f>IF(A69="","",DATE(YEAR(A69),MONTH(A69),1))</f>
        <v/>
      </c>
      <c r="M69" s="52">
        <f>IF(OR(A69="",NOT(ISNUMBER(I69))),"",IF(G69=Lists!$B$5,I69/2,IF(G69=Lists!$B$6,I69,0)))</f>
        <v/>
      </c>
      <c r="N69" s="52">
        <f>IF(OR(A69="",NOT(ISNUMBER(I69))),"",IF(G69=Lists!$B$5,I69/2,IF(G69=Lists!$B$7,I69,0)))</f>
        <v/>
      </c>
      <c r="O69" s="53">
        <f>IF(COUNTA(A69:K69)=0,"",IF(OR(A69="",B69="",C69="",D69="",E69="",F69="",G69="",NOT(ISNUMBER(I69))),"Incomplete",IF(COUNTIF(Lists!$H$4:$AA$4,C69)=0,"Check category",IF(COUNTIF(INDEX(Lists!$H$6:$AA$45,0,MATCH(C69,Lists!$H$4:$AA$4,0)),D69)=0,"Check sub-category","OK"))))</f>
        <v/>
      </c>
      <c r="P69">
        <f>IF(ISNUMBER(I69),I69+ROW()/10000000,"")</f>
        <v/>
      </c>
      <c r="Q69">
        <f>IF(AND(ISNUMBER(P69),ISNUMBER(A69)),IF(AND(A69&gt;=Dashboard!$Q$3,A69&lt;=Dashboard!$Q$4,OR(J69&lt;&gt;"Yes",Dashboard!$Q$15="Yes")),P69,""),"")</f>
        <v/>
      </c>
    </row>
    <row r="70">
      <c r="A70" s="47" t="n"/>
      <c r="B70" s="48" t="n"/>
      <c r="C70" s="48" t="n"/>
      <c r="D70" s="48" t="n"/>
      <c r="E70" s="48" t="n"/>
      <c r="F70" s="48" t="n"/>
      <c r="G70" s="48" t="n"/>
      <c r="H70" s="48" t="n"/>
      <c r="I70" s="49" t="n"/>
      <c r="J70" s="50" t="n"/>
      <c r="K70" s="48" t="n"/>
      <c r="L70" s="51">
        <f>IF(A70="","",DATE(YEAR(A70),MONTH(A70),1))</f>
        <v/>
      </c>
      <c r="M70" s="52">
        <f>IF(OR(A70="",NOT(ISNUMBER(I70))),"",IF(G70=Lists!$B$5,I70/2,IF(G70=Lists!$B$6,I70,0)))</f>
        <v/>
      </c>
      <c r="N70" s="52">
        <f>IF(OR(A70="",NOT(ISNUMBER(I70))),"",IF(G70=Lists!$B$5,I70/2,IF(G70=Lists!$B$7,I70,0)))</f>
        <v/>
      </c>
      <c r="O70" s="53">
        <f>IF(COUNTA(A70:K70)=0,"",IF(OR(A70="",B70="",C70="",D70="",E70="",F70="",G70="",NOT(ISNUMBER(I70))),"Incomplete",IF(COUNTIF(Lists!$H$4:$AA$4,C70)=0,"Check category",IF(COUNTIF(INDEX(Lists!$H$6:$AA$45,0,MATCH(C70,Lists!$H$4:$AA$4,0)),D70)=0,"Check sub-category","OK"))))</f>
        <v/>
      </c>
      <c r="P70">
        <f>IF(ISNUMBER(I70),I70+ROW()/10000000,"")</f>
        <v/>
      </c>
      <c r="Q70">
        <f>IF(AND(ISNUMBER(P70),ISNUMBER(A70)),IF(AND(A70&gt;=Dashboard!$Q$3,A70&lt;=Dashboard!$Q$4,OR(J70&lt;&gt;"Yes",Dashboard!$Q$15="Yes")),P70,""),"")</f>
        <v/>
      </c>
    </row>
    <row r="71">
      <c r="A71" s="47" t="n"/>
      <c r="B71" s="48" t="n"/>
      <c r="C71" s="48" t="n"/>
      <c r="D71" s="48" t="n"/>
      <c r="E71" s="48" t="n"/>
      <c r="F71" s="48" t="n"/>
      <c r="G71" s="48" t="n"/>
      <c r="H71" s="48" t="n"/>
      <c r="I71" s="49" t="n"/>
      <c r="J71" s="50" t="n"/>
      <c r="K71" s="48" t="n"/>
      <c r="L71" s="51">
        <f>IF(A71="","",DATE(YEAR(A71),MONTH(A71),1))</f>
        <v/>
      </c>
      <c r="M71" s="52">
        <f>IF(OR(A71="",NOT(ISNUMBER(I71))),"",IF(G71=Lists!$B$5,I71/2,IF(G71=Lists!$B$6,I71,0)))</f>
        <v/>
      </c>
      <c r="N71" s="52">
        <f>IF(OR(A71="",NOT(ISNUMBER(I71))),"",IF(G71=Lists!$B$5,I71/2,IF(G71=Lists!$B$7,I71,0)))</f>
        <v/>
      </c>
      <c r="O71" s="53">
        <f>IF(COUNTA(A71:K71)=0,"",IF(OR(A71="",B71="",C71="",D71="",E71="",F71="",G71="",NOT(ISNUMBER(I71))),"Incomplete",IF(COUNTIF(Lists!$H$4:$AA$4,C71)=0,"Check category",IF(COUNTIF(INDEX(Lists!$H$6:$AA$45,0,MATCH(C71,Lists!$H$4:$AA$4,0)),D71)=0,"Check sub-category","OK"))))</f>
        <v/>
      </c>
      <c r="P71">
        <f>IF(ISNUMBER(I71),I71+ROW()/10000000,"")</f>
        <v/>
      </c>
      <c r="Q71">
        <f>IF(AND(ISNUMBER(P71),ISNUMBER(A71)),IF(AND(A71&gt;=Dashboard!$Q$3,A71&lt;=Dashboard!$Q$4,OR(J71&lt;&gt;"Yes",Dashboard!$Q$15="Yes")),P71,""),"")</f>
        <v/>
      </c>
    </row>
    <row r="72">
      <c r="A72" s="47" t="n"/>
      <c r="B72" s="48" t="n"/>
      <c r="C72" s="48" t="n"/>
      <c r="D72" s="48" t="n"/>
      <c r="E72" s="48" t="n"/>
      <c r="F72" s="48" t="n"/>
      <c r="G72" s="48" t="n"/>
      <c r="H72" s="48" t="n"/>
      <c r="I72" s="49" t="n"/>
      <c r="J72" s="50" t="n"/>
      <c r="K72" s="48" t="n"/>
      <c r="L72" s="51">
        <f>IF(A72="","",DATE(YEAR(A72),MONTH(A72),1))</f>
        <v/>
      </c>
      <c r="M72" s="52">
        <f>IF(OR(A72="",NOT(ISNUMBER(I72))),"",IF(G72=Lists!$B$5,I72/2,IF(G72=Lists!$B$6,I72,0)))</f>
        <v/>
      </c>
      <c r="N72" s="52">
        <f>IF(OR(A72="",NOT(ISNUMBER(I72))),"",IF(G72=Lists!$B$5,I72/2,IF(G72=Lists!$B$7,I72,0)))</f>
        <v/>
      </c>
      <c r="O72" s="53">
        <f>IF(COUNTA(A72:K72)=0,"",IF(OR(A72="",B72="",C72="",D72="",E72="",F72="",G72="",NOT(ISNUMBER(I72))),"Incomplete",IF(COUNTIF(Lists!$H$4:$AA$4,C72)=0,"Check category",IF(COUNTIF(INDEX(Lists!$H$6:$AA$45,0,MATCH(C72,Lists!$H$4:$AA$4,0)),D72)=0,"Check sub-category","OK"))))</f>
        <v/>
      </c>
      <c r="P72">
        <f>IF(ISNUMBER(I72),I72+ROW()/10000000,"")</f>
        <v/>
      </c>
      <c r="Q72">
        <f>IF(AND(ISNUMBER(P72),ISNUMBER(A72)),IF(AND(A72&gt;=Dashboard!$Q$3,A72&lt;=Dashboard!$Q$4,OR(J72&lt;&gt;"Yes",Dashboard!$Q$15="Yes")),P72,""),"")</f>
        <v/>
      </c>
    </row>
    <row r="73">
      <c r="A73" s="47" t="n"/>
      <c r="B73" s="48" t="n"/>
      <c r="C73" s="48" t="n"/>
      <c r="D73" s="48" t="n"/>
      <c r="E73" s="48" t="n"/>
      <c r="F73" s="48" t="n"/>
      <c r="G73" s="48" t="n"/>
      <c r="H73" s="48" t="n"/>
      <c r="I73" s="49" t="n"/>
      <c r="J73" s="50" t="n"/>
      <c r="K73" s="48" t="n"/>
      <c r="L73" s="51">
        <f>IF(A73="","",DATE(YEAR(A73),MONTH(A73),1))</f>
        <v/>
      </c>
      <c r="M73" s="52">
        <f>IF(OR(A73="",NOT(ISNUMBER(I73))),"",IF(G73=Lists!$B$5,I73/2,IF(G73=Lists!$B$6,I73,0)))</f>
        <v/>
      </c>
      <c r="N73" s="52">
        <f>IF(OR(A73="",NOT(ISNUMBER(I73))),"",IF(G73=Lists!$B$5,I73/2,IF(G73=Lists!$B$7,I73,0)))</f>
        <v/>
      </c>
      <c r="O73" s="53">
        <f>IF(COUNTA(A73:K73)=0,"",IF(OR(A73="",B73="",C73="",D73="",E73="",F73="",G73="",NOT(ISNUMBER(I73))),"Incomplete",IF(COUNTIF(Lists!$H$4:$AA$4,C73)=0,"Check category",IF(COUNTIF(INDEX(Lists!$H$6:$AA$45,0,MATCH(C73,Lists!$H$4:$AA$4,0)),D73)=0,"Check sub-category","OK"))))</f>
        <v/>
      </c>
      <c r="P73">
        <f>IF(ISNUMBER(I73),I73+ROW()/10000000,"")</f>
        <v/>
      </c>
      <c r="Q73">
        <f>IF(AND(ISNUMBER(P73),ISNUMBER(A73)),IF(AND(A73&gt;=Dashboard!$Q$3,A73&lt;=Dashboard!$Q$4,OR(J73&lt;&gt;"Yes",Dashboard!$Q$15="Yes")),P73,""),"")</f>
        <v/>
      </c>
    </row>
    <row r="74">
      <c r="A74" s="47" t="n"/>
      <c r="B74" s="48" t="n"/>
      <c r="C74" s="48" t="n"/>
      <c r="D74" s="48" t="n"/>
      <c r="E74" s="48" t="n"/>
      <c r="F74" s="48" t="n"/>
      <c r="G74" s="48" t="n"/>
      <c r="H74" s="48" t="n"/>
      <c r="I74" s="49" t="n"/>
      <c r="J74" s="50" t="n"/>
      <c r="K74" s="48" t="n"/>
      <c r="L74" s="51">
        <f>IF(A74="","",DATE(YEAR(A74),MONTH(A74),1))</f>
        <v/>
      </c>
      <c r="M74" s="52">
        <f>IF(OR(A74="",NOT(ISNUMBER(I74))),"",IF(G74=Lists!$B$5,I74/2,IF(G74=Lists!$B$6,I74,0)))</f>
        <v/>
      </c>
      <c r="N74" s="52">
        <f>IF(OR(A74="",NOT(ISNUMBER(I74))),"",IF(G74=Lists!$B$5,I74/2,IF(G74=Lists!$B$7,I74,0)))</f>
        <v/>
      </c>
      <c r="O74" s="53">
        <f>IF(COUNTA(A74:K74)=0,"",IF(OR(A74="",B74="",C74="",D74="",E74="",F74="",G74="",NOT(ISNUMBER(I74))),"Incomplete",IF(COUNTIF(Lists!$H$4:$AA$4,C74)=0,"Check category",IF(COUNTIF(INDEX(Lists!$H$6:$AA$45,0,MATCH(C74,Lists!$H$4:$AA$4,0)),D74)=0,"Check sub-category","OK"))))</f>
        <v/>
      </c>
      <c r="P74">
        <f>IF(ISNUMBER(I74),I74+ROW()/10000000,"")</f>
        <v/>
      </c>
      <c r="Q74">
        <f>IF(AND(ISNUMBER(P74),ISNUMBER(A74)),IF(AND(A74&gt;=Dashboard!$Q$3,A74&lt;=Dashboard!$Q$4,OR(J74&lt;&gt;"Yes",Dashboard!$Q$15="Yes")),P74,""),"")</f>
        <v/>
      </c>
    </row>
    <row r="75">
      <c r="A75" s="47" t="n"/>
      <c r="B75" s="48" t="n"/>
      <c r="C75" s="48" t="n"/>
      <c r="D75" s="48" t="n"/>
      <c r="E75" s="48" t="n"/>
      <c r="F75" s="48" t="n"/>
      <c r="G75" s="48" t="n"/>
      <c r="H75" s="48" t="n"/>
      <c r="I75" s="49" t="n"/>
      <c r="J75" s="50" t="n"/>
      <c r="K75" s="48" t="n"/>
      <c r="L75" s="51">
        <f>IF(A75="","",DATE(YEAR(A75),MONTH(A75),1))</f>
        <v/>
      </c>
      <c r="M75" s="52">
        <f>IF(OR(A75="",NOT(ISNUMBER(I75))),"",IF(G75=Lists!$B$5,I75/2,IF(G75=Lists!$B$6,I75,0)))</f>
        <v/>
      </c>
      <c r="N75" s="52">
        <f>IF(OR(A75="",NOT(ISNUMBER(I75))),"",IF(G75=Lists!$B$5,I75/2,IF(G75=Lists!$B$7,I75,0)))</f>
        <v/>
      </c>
      <c r="O75" s="53">
        <f>IF(COUNTA(A75:K75)=0,"",IF(OR(A75="",B75="",C75="",D75="",E75="",F75="",G75="",NOT(ISNUMBER(I75))),"Incomplete",IF(COUNTIF(Lists!$H$4:$AA$4,C75)=0,"Check category",IF(COUNTIF(INDEX(Lists!$H$6:$AA$45,0,MATCH(C75,Lists!$H$4:$AA$4,0)),D75)=0,"Check sub-category","OK"))))</f>
        <v/>
      </c>
      <c r="P75">
        <f>IF(ISNUMBER(I75),I75+ROW()/10000000,"")</f>
        <v/>
      </c>
      <c r="Q75">
        <f>IF(AND(ISNUMBER(P75),ISNUMBER(A75)),IF(AND(A75&gt;=Dashboard!$Q$3,A75&lt;=Dashboard!$Q$4,OR(J75&lt;&gt;"Yes",Dashboard!$Q$15="Yes")),P75,""),"")</f>
        <v/>
      </c>
    </row>
    <row r="76">
      <c r="A76" s="47" t="n"/>
      <c r="B76" s="48" t="n"/>
      <c r="C76" s="48" t="n"/>
      <c r="D76" s="48" t="n"/>
      <c r="E76" s="48" t="n"/>
      <c r="F76" s="48" t="n"/>
      <c r="G76" s="48" t="n"/>
      <c r="H76" s="48" t="n"/>
      <c r="I76" s="49" t="n"/>
      <c r="J76" s="50" t="n"/>
      <c r="K76" s="48" t="n"/>
      <c r="L76" s="51">
        <f>IF(A76="","",DATE(YEAR(A76),MONTH(A76),1))</f>
        <v/>
      </c>
      <c r="M76" s="52">
        <f>IF(OR(A76="",NOT(ISNUMBER(I76))),"",IF(G76=Lists!$B$5,I76/2,IF(G76=Lists!$B$6,I76,0)))</f>
        <v/>
      </c>
      <c r="N76" s="52">
        <f>IF(OR(A76="",NOT(ISNUMBER(I76))),"",IF(G76=Lists!$B$5,I76/2,IF(G76=Lists!$B$7,I76,0)))</f>
        <v/>
      </c>
      <c r="O76" s="53">
        <f>IF(COUNTA(A76:K76)=0,"",IF(OR(A76="",B76="",C76="",D76="",E76="",F76="",G76="",NOT(ISNUMBER(I76))),"Incomplete",IF(COUNTIF(Lists!$H$4:$AA$4,C76)=0,"Check category",IF(COUNTIF(INDEX(Lists!$H$6:$AA$45,0,MATCH(C76,Lists!$H$4:$AA$4,0)),D76)=0,"Check sub-category","OK"))))</f>
        <v/>
      </c>
      <c r="P76">
        <f>IF(ISNUMBER(I76),I76+ROW()/10000000,"")</f>
        <v/>
      </c>
      <c r="Q76">
        <f>IF(AND(ISNUMBER(P76),ISNUMBER(A76)),IF(AND(A76&gt;=Dashboard!$Q$3,A76&lt;=Dashboard!$Q$4,OR(J76&lt;&gt;"Yes",Dashboard!$Q$15="Yes")),P76,""),"")</f>
        <v/>
      </c>
    </row>
    <row r="77">
      <c r="A77" s="47" t="n"/>
      <c r="B77" s="48" t="n"/>
      <c r="C77" s="48" t="n"/>
      <c r="D77" s="48" t="n"/>
      <c r="E77" s="48" t="n"/>
      <c r="F77" s="48" t="n"/>
      <c r="G77" s="48" t="n"/>
      <c r="H77" s="48" t="n"/>
      <c r="I77" s="49" t="n"/>
      <c r="J77" s="50" t="n"/>
      <c r="K77" s="48" t="n"/>
      <c r="L77" s="51">
        <f>IF(A77="","",DATE(YEAR(A77),MONTH(A77),1))</f>
        <v/>
      </c>
      <c r="M77" s="52">
        <f>IF(OR(A77="",NOT(ISNUMBER(I77))),"",IF(G77=Lists!$B$5,I77/2,IF(G77=Lists!$B$6,I77,0)))</f>
        <v/>
      </c>
      <c r="N77" s="52">
        <f>IF(OR(A77="",NOT(ISNUMBER(I77))),"",IF(G77=Lists!$B$5,I77/2,IF(G77=Lists!$B$7,I77,0)))</f>
        <v/>
      </c>
      <c r="O77" s="53">
        <f>IF(COUNTA(A77:K77)=0,"",IF(OR(A77="",B77="",C77="",D77="",E77="",F77="",G77="",NOT(ISNUMBER(I77))),"Incomplete",IF(COUNTIF(Lists!$H$4:$AA$4,C77)=0,"Check category",IF(COUNTIF(INDEX(Lists!$H$6:$AA$45,0,MATCH(C77,Lists!$H$4:$AA$4,0)),D77)=0,"Check sub-category","OK"))))</f>
        <v/>
      </c>
      <c r="P77">
        <f>IF(ISNUMBER(I77),I77+ROW()/10000000,"")</f>
        <v/>
      </c>
      <c r="Q77">
        <f>IF(AND(ISNUMBER(P77),ISNUMBER(A77)),IF(AND(A77&gt;=Dashboard!$Q$3,A77&lt;=Dashboard!$Q$4,OR(J77&lt;&gt;"Yes",Dashboard!$Q$15="Yes")),P77,""),"")</f>
        <v/>
      </c>
    </row>
    <row r="78">
      <c r="A78" s="47" t="n"/>
      <c r="B78" s="48" t="n"/>
      <c r="C78" s="48" t="n"/>
      <c r="D78" s="48" t="n"/>
      <c r="E78" s="48" t="n"/>
      <c r="F78" s="48" t="n"/>
      <c r="G78" s="48" t="n"/>
      <c r="H78" s="48" t="n"/>
      <c r="I78" s="49" t="n"/>
      <c r="J78" s="50" t="n"/>
      <c r="K78" s="48" t="n"/>
      <c r="L78" s="51">
        <f>IF(A78="","",DATE(YEAR(A78),MONTH(A78),1))</f>
        <v/>
      </c>
      <c r="M78" s="52">
        <f>IF(OR(A78="",NOT(ISNUMBER(I78))),"",IF(G78=Lists!$B$5,I78/2,IF(G78=Lists!$B$6,I78,0)))</f>
        <v/>
      </c>
      <c r="N78" s="52">
        <f>IF(OR(A78="",NOT(ISNUMBER(I78))),"",IF(G78=Lists!$B$5,I78/2,IF(G78=Lists!$B$7,I78,0)))</f>
        <v/>
      </c>
      <c r="O78" s="53">
        <f>IF(COUNTA(A78:K78)=0,"",IF(OR(A78="",B78="",C78="",D78="",E78="",F78="",G78="",NOT(ISNUMBER(I78))),"Incomplete",IF(COUNTIF(Lists!$H$4:$AA$4,C78)=0,"Check category",IF(COUNTIF(INDEX(Lists!$H$6:$AA$45,0,MATCH(C78,Lists!$H$4:$AA$4,0)),D78)=0,"Check sub-category","OK"))))</f>
        <v/>
      </c>
      <c r="P78">
        <f>IF(ISNUMBER(I78),I78+ROW()/10000000,"")</f>
        <v/>
      </c>
      <c r="Q78">
        <f>IF(AND(ISNUMBER(P78),ISNUMBER(A78)),IF(AND(A78&gt;=Dashboard!$Q$3,A78&lt;=Dashboard!$Q$4,OR(J78&lt;&gt;"Yes",Dashboard!$Q$15="Yes")),P78,""),"")</f>
        <v/>
      </c>
    </row>
    <row r="79">
      <c r="A79" s="47" t="n"/>
      <c r="B79" s="48" t="n"/>
      <c r="C79" s="48" t="n"/>
      <c r="D79" s="48" t="n"/>
      <c r="E79" s="48" t="n"/>
      <c r="F79" s="48" t="n"/>
      <c r="G79" s="48" t="n"/>
      <c r="H79" s="48" t="n"/>
      <c r="I79" s="49" t="n"/>
      <c r="J79" s="50" t="n"/>
      <c r="K79" s="48" t="n"/>
      <c r="L79" s="51">
        <f>IF(A79="","",DATE(YEAR(A79),MONTH(A79),1))</f>
        <v/>
      </c>
      <c r="M79" s="52">
        <f>IF(OR(A79="",NOT(ISNUMBER(I79))),"",IF(G79=Lists!$B$5,I79/2,IF(G79=Lists!$B$6,I79,0)))</f>
        <v/>
      </c>
      <c r="N79" s="52">
        <f>IF(OR(A79="",NOT(ISNUMBER(I79))),"",IF(G79=Lists!$B$5,I79/2,IF(G79=Lists!$B$7,I79,0)))</f>
        <v/>
      </c>
      <c r="O79" s="53">
        <f>IF(COUNTA(A79:K79)=0,"",IF(OR(A79="",B79="",C79="",D79="",E79="",F79="",G79="",NOT(ISNUMBER(I79))),"Incomplete",IF(COUNTIF(Lists!$H$4:$AA$4,C79)=0,"Check category",IF(COUNTIF(INDEX(Lists!$H$6:$AA$45,0,MATCH(C79,Lists!$H$4:$AA$4,0)),D79)=0,"Check sub-category","OK"))))</f>
        <v/>
      </c>
      <c r="P79">
        <f>IF(ISNUMBER(I79),I79+ROW()/10000000,"")</f>
        <v/>
      </c>
      <c r="Q79">
        <f>IF(AND(ISNUMBER(P79),ISNUMBER(A79)),IF(AND(A79&gt;=Dashboard!$Q$3,A79&lt;=Dashboard!$Q$4,OR(J79&lt;&gt;"Yes",Dashboard!$Q$15="Yes")),P79,""),"")</f>
        <v/>
      </c>
    </row>
    <row r="80">
      <c r="A80" s="47" t="n"/>
      <c r="B80" s="48" t="n"/>
      <c r="C80" s="48" t="n"/>
      <c r="D80" s="48" t="n"/>
      <c r="E80" s="48" t="n"/>
      <c r="F80" s="48" t="n"/>
      <c r="G80" s="48" t="n"/>
      <c r="H80" s="48" t="n"/>
      <c r="I80" s="49" t="n"/>
      <c r="J80" s="50" t="n"/>
      <c r="K80" s="48" t="n"/>
      <c r="L80" s="51">
        <f>IF(A80="","",DATE(YEAR(A80),MONTH(A80),1))</f>
        <v/>
      </c>
      <c r="M80" s="52">
        <f>IF(OR(A80="",NOT(ISNUMBER(I80))),"",IF(G80=Lists!$B$5,I80/2,IF(G80=Lists!$B$6,I80,0)))</f>
        <v/>
      </c>
      <c r="N80" s="52">
        <f>IF(OR(A80="",NOT(ISNUMBER(I80))),"",IF(G80=Lists!$B$5,I80/2,IF(G80=Lists!$B$7,I80,0)))</f>
        <v/>
      </c>
      <c r="O80" s="53">
        <f>IF(COUNTA(A80:K80)=0,"",IF(OR(A80="",B80="",C80="",D80="",E80="",F80="",G80="",NOT(ISNUMBER(I80))),"Incomplete",IF(COUNTIF(Lists!$H$4:$AA$4,C80)=0,"Check category",IF(COUNTIF(INDEX(Lists!$H$6:$AA$45,0,MATCH(C80,Lists!$H$4:$AA$4,0)),D80)=0,"Check sub-category","OK"))))</f>
        <v/>
      </c>
      <c r="P80">
        <f>IF(ISNUMBER(I80),I80+ROW()/10000000,"")</f>
        <v/>
      </c>
      <c r="Q80">
        <f>IF(AND(ISNUMBER(P80),ISNUMBER(A80)),IF(AND(A80&gt;=Dashboard!$Q$3,A80&lt;=Dashboard!$Q$4,OR(J80&lt;&gt;"Yes",Dashboard!$Q$15="Yes")),P80,""),"")</f>
        <v/>
      </c>
    </row>
    <row r="81">
      <c r="A81" s="47" t="n"/>
      <c r="B81" s="48" t="n"/>
      <c r="C81" s="48" t="n"/>
      <c r="D81" s="48" t="n"/>
      <c r="E81" s="48" t="n"/>
      <c r="F81" s="48" t="n"/>
      <c r="G81" s="48" t="n"/>
      <c r="H81" s="48" t="n"/>
      <c r="I81" s="49" t="n"/>
      <c r="J81" s="50" t="n"/>
      <c r="K81" s="48" t="n"/>
      <c r="L81" s="51">
        <f>IF(A81="","",DATE(YEAR(A81),MONTH(A81),1))</f>
        <v/>
      </c>
      <c r="M81" s="52">
        <f>IF(OR(A81="",NOT(ISNUMBER(I81))),"",IF(G81=Lists!$B$5,I81/2,IF(G81=Lists!$B$6,I81,0)))</f>
        <v/>
      </c>
      <c r="N81" s="52">
        <f>IF(OR(A81="",NOT(ISNUMBER(I81))),"",IF(G81=Lists!$B$5,I81/2,IF(G81=Lists!$B$7,I81,0)))</f>
        <v/>
      </c>
      <c r="O81" s="53">
        <f>IF(COUNTA(A81:K81)=0,"",IF(OR(A81="",B81="",C81="",D81="",E81="",F81="",G81="",NOT(ISNUMBER(I81))),"Incomplete",IF(COUNTIF(Lists!$H$4:$AA$4,C81)=0,"Check category",IF(COUNTIF(INDEX(Lists!$H$6:$AA$45,0,MATCH(C81,Lists!$H$4:$AA$4,0)),D81)=0,"Check sub-category","OK"))))</f>
        <v/>
      </c>
      <c r="P81">
        <f>IF(ISNUMBER(I81),I81+ROW()/10000000,"")</f>
        <v/>
      </c>
      <c r="Q81">
        <f>IF(AND(ISNUMBER(P81),ISNUMBER(A81)),IF(AND(A81&gt;=Dashboard!$Q$3,A81&lt;=Dashboard!$Q$4,OR(J81&lt;&gt;"Yes",Dashboard!$Q$15="Yes")),P81,""),"")</f>
        <v/>
      </c>
    </row>
    <row r="82">
      <c r="A82" s="47" t="n"/>
      <c r="B82" s="48" t="n"/>
      <c r="C82" s="48" t="n"/>
      <c r="D82" s="48" t="n"/>
      <c r="E82" s="48" t="n"/>
      <c r="F82" s="48" t="n"/>
      <c r="G82" s="48" t="n"/>
      <c r="H82" s="48" t="n"/>
      <c r="I82" s="49" t="n"/>
      <c r="J82" s="50" t="n"/>
      <c r="K82" s="48" t="n"/>
      <c r="L82" s="51">
        <f>IF(A82="","",DATE(YEAR(A82),MONTH(A82),1))</f>
        <v/>
      </c>
      <c r="M82" s="52">
        <f>IF(OR(A82="",NOT(ISNUMBER(I82))),"",IF(G82=Lists!$B$5,I82/2,IF(G82=Lists!$B$6,I82,0)))</f>
        <v/>
      </c>
      <c r="N82" s="52">
        <f>IF(OR(A82="",NOT(ISNUMBER(I82))),"",IF(G82=Lists!$B$5,I82/2,IF(G82=Lists!$B$7,I82,0)))</f>
        <v/>
      </c>
      <c r="O82" s="53">
        <f>IF(COUNTA(A82:K82)=0,"",IF(OR(A82="",B82="",C82="",D82="",E82="",F82="",G82="",NOT(ISNUMBER(I82))),"Incomplete",IF(COUNTIF(Lists!$H$4:$AA$4,C82)=0,"Check category",IF(COUNTIF(INDEX(Lists!$H$6:$AA$45,0,MATCH(C82,Lists!$H$4:$AA$4,0)),D82)=0,"Check sub-category","OK"))))</f>
        <v/>
      </c>
      <c r="P82">
        <f>IF(ISNUMBER(I82),I82+ROW()/10000000,"")</f>
        <v/>
      </c>
      <c r="Q82">
        <f>IF(AND(ISNUMBER(P82),ISNUMBER(A82)),IF(AND(A82&gt;=Dashboard!$Q$3,A82&lt;=Dashboard!$Q$4,OR(J82&lt;&gt;"Yes",Dashboard!$Q$15="Yes")),P82,""),"")</f>
        <v/>
      </c>
    </row>
    <row r="83">
      <c r="A83" s="47" t="n"/>
      <c r="B83" s="48" t="n"/>
      <c r="C83" s="48" t="n"/>
      <c r="D83" s="48" t="n"/>
      <c r="E83" s="48" t="n"/>
      <c r="F83" s="48" t="n"/>
      <c r="G83" s="48" t="n"/>
      <c r="H83" s="48" t="n"/>
      <c r="I83" s="49" t="n"/>
      <c r="J83" s="50" t="n"/>
      <c r="K83" s="48" t="n"/>
      <c r="L83" s="51">
        <f>IF(A83="","",DATE(YEAR(A83),MONTH(A83),1))</f>
        <v/>
      </c>
      <c r="M83" s="52">
        <f>IF(OR(A83="",NOT(ISNUMBER(I83))),"",IF(G83=Lists!$B$5,I83/2,IF(G83=Lists!$B$6,I83,0)))</f>
        <v/>
      </c>
      <c r="N83" s="52">
        <f>IF(OR(A83="",NOT(ISNUMBER(I83))),"",IF(G83=Lists!$B$5,I83/2,IF(G83=Lists!$B$7,I83,0)))</f>
        <v/>
      </c>
      <c r="O83" s="53">
        <f>IF(COUNTA(A83:K83)=0,"",IF(OR(A83="",B83="",C83="",D83="",E83="",F83="",G83="",NOT(ISNUMBER(I83))),"Incomplete",IF(COUNTIF(Lists!$H$4:$AA$4,C83)=0,"Check category",IF(COUNTIF(INDEX(Lists!$H$6:$AA$45,0,MATCH(C83,Lists!$H$4:$AA$4,0)),D83)=0,"Check sub-category","OK"))))</f>
        <v/>
      </c>
      <c r="P83">
        <f>IF(ISNUMBER(I83),I83+ROW()/10000000,"")</f>
        <v/>
      </c>
      <c r="Q83">
        <f>IF(AND(ISNUMBER(P83),ISNUMBER(A83)),IF(AND(A83&gt;=Dashboard!$Q$3,A83&lt;=Dashboard!$Q$4,OR(J83&lt;&gt;"Yes",Dashboard!$Q$15="Yes")),P83,""),"")</f>
        <v/>
      </c>
    </row>
    <row r="84">
      <c r="A84" s="47" t="n"/>
      <c r="B84" s="48" t="n"/>
      <c r="C84" s="48" t="n"/>
      <c r="D84" s="48" t="n"/>
      <c r="E84" s="48" t="n"/>
      <c r="F84" s="48" t="n"/>
      <c r="G84" s="48" t="n"/>
      <c r="H84" s="48" t="n"/>
      <c r="I84" s="49" t="n"/>
      <c r="J84" s="50" t="n"/>
      <c r="K84" s="48" t="n"/>
      <c r="L84" s="51">
        <f>IF(A84="","",DATE(YEAR(A84),MONTH(A84),1))</f>
        <v/>
      </c>
      <c r="M84" s="52">
        <f>IF(OR(A84="",NOT(ISNUMBER(I84))),"",IF(G84=Lists!$B$5,I84/2,IF(G84=Lists!$B$6,I84,0)))</f>
        <v/>
      </c>
      <c r="N84" s="52">
        <f>IF(OR(A84="",NOT(ISNUMBER(I84))),"",IF(G84=Lists!$B$5,I84/2,IF(G84=Lists!$B$7,I84,0)))</f>
        <v/>
      </c>
      <c r="O84" s="53">
        <f>IF(COUNTA(A84:K84)=0,"",IF(OR(A84="",B84="",C84="",D84="",E84="",F84="",G84="",NOT(ISNUMBER(I84))),"Incomplete",IF(COUNTIF(Lists!$H$4:$AA$4,C84)=0,"Check category",IF(COUNTIF(INDEX(Lists!$H$6:$AA$45,0,MATCH(C84,Lists!$H$4:$AA$4,0)),D84)=0,"Check sub-category","OK"))))</f>
        <v/>
      </c>
      <c r="P84">
        <f>IF(ISNUMBER(I84),I84+ROW()/10000000,"")</f>
        <v/>
      </c>
      <c r="Q84">
        <f>IF(AND(ISNUMBER(P84),ISNUMBER(A84)),IF(AND(A84&gt;=Dashboard!$Q$3,A84&lt;=Dashboard!$Q$4,OR(J84&lt;&gt;"Yes",Dashboard!$Q$15="Yes")),P84,""),"")</f>
        <v/>
      </c>
    </row>
    <row r="85">
      <c r="A85" s="47" t="n"/>
      <c r="B85" s="48" t="n"/>
      <c r="C85" s="48" t="n"/>
      <c r="D85" s="48" t="n"/>
      <c r="E85" s="48" t="n"/>
      <c r="F85" s="48" t="n"/>
      <c r="G85" s="48" t="n"/>
      <c r="H85" s="48" t="n"/>
      <c r="I85" s="49" t="n"/>
      <c r="J85" s="50" t="n"/>
      <c r="K85" s="48" t="n"/>
      <c r="L85" s="51">
        <f>IF(A85="","",DATE(YEAR(A85),MONTH(A85),1))</f>
        <v/>
      </c>
      <c r="M85" s="52">
        <f>IF(OR(A85="",NOT(ISNUMBER(I85))),"",IF(G85=Lists!$B$5,I85/2,IF(G85=Lists!$B$6,I85,0)))</f>
        <v/>
      </c>
      <c r="N85" s="52">
        <f>IF(OR(A85="",NOT(ISNUMBER(I85))),"",IF(G85=Lists!$B$5,I85/2,IF(G85=Lists!$B$7,I85,0)))</f>
        <v/>
      </c>
      <c r="O85" s="53">
        <f>IF(COUNTA(A85:K85)=0,"",IF(OR(A85="",B85="",C85="",D85="",E85="",F85="",G85="",NOT(ISNUMBER(I85))),"Incomplete",IF(COUNTIF(Lists!$H$4:$AA$4,C85)=0,"Check category",IF(COUNTIF(INDEX(Lists!$H$6:$AA$45,0,MATCH(C85,Lists!$H$4:$AA$4,0)),D85)=0,"Check sub-category","OK"))))</f>
        <v/>
      </c>
      <c r="P85">
        <f>IF(ISNUMBER(I85),I85+ROW()/10000000,"")</f>
        <v/>
      </c>
      <c r="Q85">
        <f>IF(AND(ISNUMBER(P85),ISNUMBER(A85)),IF(AND(A85&gt;=Dashboard!$Q$3,A85&lt;=Dashboard!$Q$4,OR(J85&lt;&gt;"Yes",Dashboard!$Q$15="Yes")),P85,""),"")</f>
        <v/>
      </c>
    </row>
    <row r="86">
      <c r="A86" s="47" t="n"/>
      <c r="B86" s="48" t="n"/>
      <c r="C86" s="48" t="n"/>
      <c r="D86" s="48" t="n"/>
      <c r="E86" s="48" t="n"/>
      <c r="F86" s="48" t="n"/>
      <c r="G86" s="48" t="n"/>
      <c r="H86" s="48" t="n"/>
      <c r="I86" s="49" t="n"/>
      <c r="J86" s="50" t="n"/>
      <c r="K86" s="48" t="n"/>
      <c r="L86" s="51">
        <f>IF(A86="","",DATE(YEAR(A86),MONTH(A86),1))</f>
        <v/>
      </c>
      <c r="M86" s="52">
        <f>IF(OR(A86="",NOT(ISNUMBER(I86))),"",IF(G86=Lists!$B$5,I86/2,IF(G86=Lists!$B$6,I86,0)))</f>
        <v/>
      </c>
      <c r="N86" s="52">
        <f>IF(OR(A86="",NOT(ISNUMBER(I86))),"",IF(G86=Lists!$B$5,I86/2,IF(G86=Lists!$B$7,I86,0)))</f>
        <v/>
      </c>
      <c r="O86" s="53">
        <f>IF(COUNTA(A86:K86)=0,"",IF(OR(A86="",B86="",C86="",D86="",E86="",F86="",G86="",NOT(ISNUMBER(I86))),"Incomplete",IF(COUNTIF(Lists!$H$4:$AA$4,C86)=0,"Check category",IF(COUNTIF(INDEX(Lists!$H$6:$AA$45,0,MATCH(C86,Lists!$H$4:$AA$4,0)),D86)=0,"Check sub-category","OK"))))</f>
        <v/>
      </c>
      <c r="P86">
        <f>IF(ISNUMBER(I86),I86+ROW()/10000000,"")</f>
        <v/>
      </c>
      <c r="Q86">
        <f>IF(AND(ISNUMBER(P86),ISNUMBER(A86)),IF(AND(A86&gt;=Dashboard!$Q$3,A86&lt;=Dashboard!$Q$4,OR(J86&lt;&gt;"Yes",Dashboard!$Q$15="Yes")),P86,""),"")</f>
        <v/>
      </c>
    </row>
    <row r="87">
      <c r="A87" s="47" t="n"/>
      <c r="B87" s="48" t="n"/>
      <c r="C87" s="48" t="n"/>
      <c r="D87" s="48" t="n"/>
      <c r="E87" s="48" t="n"/>
      <c r="F87" s="48" t="n"/>
      <c r="G87" s="48" t="n"/>
      <c r="H87" s="48" t="n"/>
      <c r="I87" s="49" t="n"/>
      <c r="J87" s="50" t="n"/>
      <c r="K87" s="48" t="n"/>
      <c r="L87" s="51">
        <f>IF(A87="","",DATE(YEAR(A87),MONTH(A87),1))</f>
        <v/>
      </c>
      <c r="M87" s="52">
        <f>IF(OR(A87="",NOT(ISNUMBER(I87))),"",IF(G87=Lists!$B$5,I87/2,IF(G87=Lists!$B$6,I87,0)))</f>
        <v/>
      </c>
      <c r="N87" s="52">
        <f>IF(OR(A87="",NOT(ISNUMBER(I87))),"",IF(G87=Lists!$B$5,I87/2,IF(G87=Lists!$B$7,I87,0)))</f>
        <v/>
      </c>
      <c r="O87" s="53">
        <f>IF(COUNTA(A87:K87)=0,"",IF(OR(A87="",B87="",C87="",D87="",E87="",F87="",G87="",NOT(ISNUMBER(I87))),"Incomplete",IF(COUNTIF(Lists!$H$4:$AA$4,C87)=0,"Check category",IF(COUNTIF(INDEX(Lists!$H$6:$AA$45,0,MATCH(C87,Lists!$H$4:$AA$4,0)),D87)=0,"Check sub-category","OK"))))</f>
        <v/>
      </c>
      <c r="P87">
        <f>IF(ISNUMBER(I87),I87+ROW()/10000000,"")</f>
        <v/>
      </c>
      <c r="Q87">
        <f>IF(AND(ISNUMBER(P87),ISNUMBER(A87)),IF(AND(A87&gt;=Dashboard!$Q$3,A87&lt;=Dashboard!$Q$4,OR(J87&lt;&gt;"Yes",Dashboard!$Q$15="Yes")),P87,""),"")</f>
        <v/>
      </c>
    </row>
    <row r="88">
      <c r="A88" s="47" t="n"/>
      <c r="B88" s="48" t="n"/>
      <c r="C88" s="48" t="n"/>
      <c r="D88" s="48" t="n"/>
      <c r="E88" s="48" t="n"/>
      <c r="F88" s="48" t="n"/>
      <c r="G88" s="48" t="n"/>
      <c r="H88" s="48" t="n"/>
      <c r="I88" s="49" t="n"/>
      <c r="J88" s="50" t="n"/>
      <c r="K88" s="48" t="n"/>
      <c r="L88" s="51">
        <f>IF(A88="","",DATE(YEAR(A88),MONTH(A88),1))</f>
        <v/>
      </c>
      <c r="M88" s="52">
        <f>IF(OR(A88="",NOT(ISNUMBER(I88))),"",IF(G88=Lists!$B$5,I88/2,IF(G88=Lists!$B$6,I88,0)))</f>
        <v/>
      </c>
      <c r="N88" s="52">
        <f>IF(OR(A88="",NOT(ISNUMBER(I88))),"",IF(G88=Lists!$B$5,I88/2,IF(G88=Lists!$B$7,I88,0)))</f>
        <v/>
      </c>
      <c r="O88" s="53">
        <f>IF(COUNTA(A88:K88)=0,"",IF(OR(A88="",B88="",C88="",D88="",E88="",F88="",G88="",NOT(ISNUMBER(I88))),"Incomplete",IF(COUNTIF(Lists!$H$4:$AA$4,C88)=0,"Check category",IF(COUNTIF(INDEX(Lists!$H$6:$AA$45,0,MATCH(C88,Lists!$H$4:$AA$4,0)),D88)=0,"Check sub-category","OK"))))</f>
        <v/>
      </c>
      <c r="P88">
        <f>IF(ISNUMBER(I88),I88+ROW()/10000000,"")</f>
        <v/>
      </c>
      <c r="Q88">
        <f>IF(AND(ISNUMBER(P88),ISNUMBER(A88)),IF(AND(A88&gt;=Dashboard!$Q$3,A88&lt;=Dashboard!$Q$4,OR(J88&lt;&gt;"Yes",Dashboard!$Q$15="Yes")),P88,""),"")</f>
        <v/>
      </c>
    </row>
    <row r="89">
      <c r="A89" s="47" t="n"/>
      <c r="B89" s="48" t="n"/>
      <c r="C89" s="48" t="n"/>
      <c r="D89" s="48" t="n"/>
      <c r="E89" s="48" t="n"/>
      <c r="F89" s="48" t="n"/>
      <c r="G89" s="48" t="n"/>
      <c r="H89" s="48" t="n"/>
      <c r="I89" s="49" t="n"/>
      <c r="J89" s="50" t="n"/>
      <c r="K89" s="48" t="n"/>
      <c r="L89" s="51">
        <f>IF(A89="","",DATE(YEAR(A89),MONTH(A89),1))</f>
        <v/>
      </c>
      <c r="M89" s="52">
        <f>IF(OR(A89="",NOT(ISNUMBER(I89))),"",IF(G89=Lists!$B$5,I89/2,IF(G89=Lists!$B$6,I89,0)))</f>
        <v/>
      </c>
      <c r="N89" s="52">
        <f>IF(OR(A89="",NOT(ISNUMBER(I89))),"",IF(G89=Lists!$B$5,I89/2,IF(G89=Lists!$B$7,I89,0)))</f>
        <v/>
      </c>
      <c r="O89" s="53">
        <f>IF(COUNTA(A89:K89)=0,"",IF(OR(A89="",B89="",C89="",D89="",E89="",F89="",G89="",NOT(ISNUMBER(I89))),"Incomplete",IF(COUNTIF(Lists!$H$4:$AA$4,C89)=0,"Check category",IF(COUNTIF(INDEX(Lists!$H$6:$AA$45,0,MATCH(C89,Lists!$H$4:$AA$4,0)),D89)=0,"Check sub-category","OK"))))</f>
        <v/>
      </c>
      <c r="P89">
        <f>IF(ISNUMBER(I89),I89+ROW()/10000000,"")</f>
        <v/>
      </c>
      <c r="Q89">
        <f>IF(AND(ISNUMBER(P89),ISNUMBER(A89)),IF(AND(A89&gt;=Dashboard!$Q$3,A89&lt;=Dashboard!$Q$4,OR(J89&lt;&gt;"Yes",Dashboard!$Q$15="Yes")),P89,""),"")</f>
        <v/>
      </c>
    </row>
    <row r="90">
      <c r="A90" s="47" t="n"/>
      <c r="B90" s="48" t="n"/>
      <c r="C90" s="48" t="n"/>
      <c r="D90" s="48" t="n"/>
      <c r="E90" s="48" t="n"/>
      <c r="F90" s="48" t="n"/>
      <c r="G90" s="48" t="n"/>
      <c r="H90" s="48" t="n"/>
      <c r="I90" s="49" t="n"/>
      <c r="J90" s="50" t="n"/>
      <c r="K90" s="48" t="n"/>
      <c r="L90" s="51">
        <f>IF(A90="","",DATE(YEAR(A90),MONTH(A90),1))</f>
        <v/>
      </c>
      <c r="M90" s="52">
        <f>IF(OR(A90="",NOT(ISNUMBER(I90))),"",IF(G90=Lists!$B$5,I90/2,IF(G90=Lists!$B$6,I90,0)))</f>
        <v/>
      </c>
      <c r="N90" s="52">
        <f>IF(OR(A90="",NOT(ISNUMBER(I90))),"",IF(G90=Lists!$B$5,I90/2,IF(G90=Lists!$B$7,I90,0)))</f>
        <v/>
      </c>
      <c r="O90" s="53">
        <f>IF(COUNTA(A90:K90)=0,"",IF(OR(A90="",B90="",C90="",D90="",E90="",F90="",G90="",NOT(ISNUMBER(I90))),"Incomplete",IF(COUNTIF(Lists!$H$4:$AA$4,C90)=0,"Check category",IF(COUNTIF(INDEX(Lists!$H$6:$AA$45,0,MATCH(C90,Lists!$H$4:$AA$4,0)),D90)=0,"Check sub-category","OK"))))</f>
        <v/>
      </c>
      <c r="P90">
        <f>IF(ISNUMBER(I90),I90+ROW()/10000000,"")</f>
        <v/>
      </c>
      <c r="Q90">
        <f>IF(AND(ISNUMBER(P90),ISNUMBER(A90)),IF(AND(A90&gt;=Dashboard!$Q$3,A90&lt;=Dashboard!$Q$4,OR(J90&lt;&gt;"Yes",Dashboard!$Q$15="Yes")),P90,""),"")</f>
        <v/>
      </c>
    </row>
    <row r="91">
      <c r="A91" s="47" t="n"/>
      <c r="B91" s="48" t="n"/>
      <c r="C91" s="48" t="n"/>
      <c r="D91" s="48" t="n"/>
      <c r="E91" s="48" t="n"/>
      <c r="F91" s="48" t="n"/>
      <c r="G91" s="48" t="n"/>
      <c r="H91" s="48" t="n"/>
      <c r="I91" s="49" t="n"/>
      <c r="J91" s="50" t="n"/>
      <c r="K91" s="48" t="n"/>
      <c r="L91" s="51">
        <f>IF(A91="","",DATE(YEAR(A91),MONTH(A91),1))</f>
        <v/>
      </c>
      <c r="M91" s="52">
        <f>IF(OR(A91="",NOT(ISNUMBER(I91))),"",IF(G91=Lists!$B$5,I91/2,IF(G91=Lists!$B$6,I91,0)))</f>
        <v/>
      </c>
      <c r="N91" s="52">
        <f>IF(OR(A91="",NOT(ISNUMBER(I91))),"",IF(G91=Lists!$B$5,I91/2,IF(G91=Lists!$B$7,I91,0)))</f>
        <v/>
      </c>
      <c r="O91" s="53">
        <f>IF(COUNTA(A91:K91)=0,"",IF(OR(A91="",B91="",C91="",D91="",E91="",F91="",G91="",NOT(ISNUMBER(I91))),"Incomplete",IF(COUNTIF(Lists!$H$4:$AA$4,C91)=0,"Check category",IF(COUNTIF(INDEX(Lists!$H$6:$AA$45,0,MATCH(C91,Lists!$H$4:$AA$4,0)),D91)=0,"Check sub-category","OK"))))</f>
        <v/>
      </c>
      <c r="P91">
        <f>IF(ISNUMBER(I91),I91+ROW()/10000000,"")</f>
        <v/>
      </c>
      <c r="Q91">
        <f>IF(AND(ISNUMBER(P91),ISNUMBER(A91)),IF(AND(A91&gt;=Dashboard!$Q$3,A91&lt;=Dashboard!$Q$4,OR(J91&lt;&gt;"Yes",Dashboard!$Q$15="Yes")),P91,""),"")</f>
        <v/>
      </c>
    </row>
    <row r="92">
      <c r="A92" s="47" t="n"/>
      <c r="B92" s="48" t="n"/>
      <c r="C92" s="48" t="n"/>
      <c r="D92" s="48" t="n"/>
      <c r="E92" s="48" t="n"/>
      <c r="F92" s="48" t="n"/>
      <c r="G92" s="48" t="n"/>
      <c r="H92" s="48" t="n"/>
      <c r="I92" s="49" t="n"/>
      <c r="J92" s="50" t="n"/>
      <c r="K92" s="48" t="n"/>
      <c r="L92" s="51">
        <f>IF(A92="","",DATE(YEAR(A92),MONTH(A92),1))</f>
        <v/>
      </c>
      <c r="M92" s="52">
        <f>IF(OR(A92="",NOT(ISNUMBER(I92))),"",IF(G92=Lists!$B$5,I92/2,IF(G92=Lists!$B$6,I92,0)))</f>
        <v/>
      </c>
      <c r="N92" s="52">
        <f>IF(OR(A92="",NOT(ISNUMBER(I92))),"",IF(G92=Lists!$B$5,I92/2,IF(G92=Lists!$B$7,I92,0)))</f>
        <v/>
      </c>
      <c r="O92" s="53">
        <f>IF(COUNTA(A92:K92)=0,"",IF(OR(A92="",B92="",C92="",D92="",E92="",F92="",G92="",NOT(ISNUMBER(I92))),"Incomplete",IF(COUNTIF(Lists!$H$4:$AA$4,C92)=0,"Check category",IF(COUNTIF(INDEX(Lists!$H$6:$AA$45,0,MATCH(C92,Lists!$H$4:$AA$4,0)),D92)=0,"Check sub-category","OK"))))</f>
        <v/>
      </c>
      <c r="P92">
        <f>IF(ISNUMBER(I92),I92+ROW()/10000000,"")</f>
        <v/>
      </c>
      <c r="Q92">
        <f>IF(AND(ISNUMBER(P92),ISNUMBER(A92)),IF(AND(A92&gt;=Dashboard!$Q$3,A92&lt;=Dashboard!$Q$4,OR(J92&lt;&gt;"Yes",Dashboard!$Q$15="Yes")),P92,""),"")</f>
        <v/>
      </c>
    </row>
    <row r="93">
      <c r="A93" s="47" t="n"/>
      <c r="B93" s="48" t="n"/>
      <c r="C93" s="48" t="n"/>
      <c r="D93" s="48" t="n"/>
      <c r="E93" s="48" t="n"/>
      <c r="F93" s="48" t="n"/>
      <c r="G93" s="48" t="n"/>
      <c r="H93" s="48" t="n"/>
      <c r="I93" s="49" t="n"/>
      <c r="J93" s="50" t="n"/>
      <c r="K93" s="48" t="n"/>
      <c r="L93" s="51">
        <f>IF(A93="","",DATE(YEAR(A93),MONTH(A93),1))</f>
        <v/>
      </c>
      <c r="M93" s="52">
        <f>IF(OR(A93="",NOT(ISNUMBER(I93))),"",IF(G93=Lists!$B$5,I93/2,IF(G93=Lists!$B$6,I93,0)))</f>
        <v/>
      </c>
      <c r="N93" s="52">
        <f>IF(OR(A93="",NOT(ISNUMBER(I93))),"",IF(G93=Lists!$B$5,I93/2,IF(G93=Lists!$B$7,I93,0)))</f>
        <v/>
      </c>
      <c r="O93" s="53">
        <f>IF(COUNTA(A93:K93)=0,"",IF(OR(A93="",B93="",C93="",D93="",E93="",F93="",G93="",NOT(ISNUMBER(I93))),"Incomplete",IF(COUNTIF(Lists!$H$4:$AA$4,C93)=0,"Check category",IF(COUNTIF(INDEX(Lists!$H$6:$AA$45,0,MATCH(C93,Lists!$H$4:$AA$4,0)),D93)=0,"Check sub-category","OK"))))</f>
        <v/>
      </c>
      <c r="P93">
        <f>IF(ISNUMBER(I93),I93+ROW()/10000000,"")</f>
        <v/>
      </c>
      <c r="Q93">
        <f>IF(AND(ISNUMBER(P93),ISNUMBER(A93)),IF(AND(A93&gt;=Dashboard!$Q$3,A93&lt;=Dashboard!$Q$4,OR(J93&lt;&gt;"Yes",Dashboard!$Q$15="Yes")),P93,""),"")</f>
        <v/>
      </c>
    </row>
    <row r="94">
      <c r="A94" s="47" t="n"/>
      <c r="B94" s="48" t="n"/>
      <c r="C94" s="48" t="n"/>
      <c r="D94" s="48" t="n"/>
      <c r="E94" s="48" t="n"/>
      <c r="F94" s="48" t="n"/>
      <c r="G94" s="48" t="n"/>
      <c r="H94" s="48" t="n"/>
      <c r="I94" s="49" t="n"/>
      <c r="J94" s="50" t="n"/>
      <c r="K94" s="48" t="n"/>
      <c r="L94" s="51">
        <f>IF(A94="","",DATE(YEAR(A94),MONTH(A94),1))</f>
        <v/>
      </c>
      <c r="M94" s="52">
        <f>IF(OR(A94="",NOT(ISNUMBER(I94))),"",IF(G94=Lists!$B$5,I94/2,IF(G94=Lists!$B$6,I94,0)))</f>
        <v/>
      </c>
      <c r="N94" s="52">
        <f>IF(OR(A94="",NOT(ISNUMBER(I94))),"",IF(G94=Lists!$B$5,I94/2,IF(G94=Lists!$B$7,I94,0)))</f>
        <v/>
      </c>
      <c r="O94" s="53">
        <f>IF(COUNTA(A94:K94)=0,"",IF(OR(A94="",B94="",C94="",D94="",E94="",F94="",G94="",NOT(ISNUMBER(I94))),"Incomplete",IF(COUNTIF(Lists!$H$4:$AA$4,C94)=0,"Check category",IF(COUNTIF(INDEX(Lists!$H$6:$AA$45,0,MATCH(C94,Lists!$H$4:$AA$4,0)),D94)=0,"Check sub-category","OK"))))</f>
        <v/>
      </c>
      <c r="P94">
        <f>IF(ISNUMBER(I94),I94+ROW()/10000000,"")</f>
        <v/>
      </c>
      <c r="Q94">
        <f>IF(AND(ISNUMBER(P94),ISNUMBER(A94)),IF(AND(A94&gt;=Dashboard!$Q$3,A94&lt;=Dashboard!$Q$4,OR(J94&lt;&gt;"Yes",Dashboard!$Q$15="Yes")),P94,""),"")</f>
        <v/>
      </c>
    </row>
    <row r="95">
      <c r="A95" s="47" t="n"/>
      <c r="B95" s="48" t="n"/>
      <c r="C95" s="48" t="n"/>
      <c r="D95" s="48" t="n"/>
      <c r="E95" s="48" t="n"/>
      <c r="F95" s="48" t="n"/>
      <c r="G95" s="48" t="n"/>
      <c r="H95" s="48" t="n"/>
      <c r="I95" s="49" t="n"/>
      <c r="J95" s="50" t="n"/>
      <c r="K95" s="48" t="n"/>
      <c r="L95" s="51">
        <f>IF(A95="","",DATE(YEAR(A95),MONTH(A95),1))</f>
        <v/>
      </c>
      <c r="M95" s="52">
        <f>IF(OR(A95="",NOT(ISNUMBER(I95))),"",IF(G95=Lists!$B$5,I95/2,IF(G95=Lists!$B$6,I95,0)))</f>
        <v/>
      </c>
      <c r="N95" s="52">
        <f>IF(OR(A95="",NOT(ISNUMBER(I95))),"",IF(G95=Lists!$B$5,I95/2,IF(G95=Lists!$B$7,I95,0)))</f>
        <v/>
      </c>
      <c r="O95" s="53">
        <f>IF(COUNTA(A95:K95)=0,"",IF(OR(A95="",B95="",C95="",D95="",E95="",F95="",G95="",NOT(ISNUMBER(I95))),"Incomplete",IF(COUNTIF(Lists!$H$4:$AA$4,C95)=0,"Check category",IF(COUNTIF(INDEX(Lists!$H$6:$AA$45,0,MATCH(C95,Lists!$H$4:$AA$4,0)),D95)=0,"Check sub-category","OK"))))</f>
        <v/>
      </c>
      <c r="P95">
        <f>IF(ISNUMBER(I95),I95+ROW()/10000000,"")</f>
        <v/>
      </c>
      <c r="Q95">
        <f>IF(AND(ISNUMBER(P95),ISNUMBER(A95)),IF(AND(A95&gt;=Dashboard!$Q$3,A95&lt;=Dashboard!$Q$4,OR(J95&lt;&gt;"Yes",Dashboard!$Q$15="Yes")),P95,""),"")</f>
        <v/>
      </c>
    </row>
    <row r="96">
      <c r="A96" s="47" t="n"/>
      <c r="B96" s="48" t="n"/>
      <c r="C96" s="48" t="n"/>
      <c r="D96" s="48" t="n"/>
      <c r="E96" s="48" t="n"/>
      <c r="F96" s="48" t="n"/>
      <c r="G96" s="48" t="n"/>
      <c r="H96" s="48" t="n"/>
      <c r="I96" s="49" t="n"/>
      <c r="J96" s="50" t="n"/>
      <c r="K96" s="48" t="n"/>
      <c r="L96" s="51">
        <f>IF(A96="","",DATE(YEAR(A96),MONTH(A96),1))</f>
        <v/>
      </c>
      <c r="M96" s="52">
        <f>IF(OR(A96="",NOT(ISNUMBER(I96))),"",IF(G96=Lists!$B$5,I96/2,IF(G96=Lists!$B$6,I96,0)))</f>
        <v/>
      </c>
      <c r="N96" s="52">
        <f>IF(OR(A96="",NOT(ISNUMBER(I96))),"",IF(G96=Lists!$B$5,I96/2,IF(G96=Lists!$B$7,I96,0)))</f>
        <v/>
      </c>
      <c r="O96" s="53">
        <f>IF(COUNTA(A96:K96)=0,"",IF(OR(A96="",B96="",C96="",D96="",E96="",F96="",G96="",NOT(ISNUMBER(I96))),"Incomplete",IF(COUNTIF(Lists!$H$4:$AA$4,C96)=0,"Check category",IF(COUNTIF(INDEX(Lists!$H$6:$AA$45,0,MATCH(C96,Lists!$H$4:$AA$4,0)),D96)=0,"Check sub-category","OK"))))</f>
        <v/>
      </c>
      <c r="P96">
        <f>IF(ISNUMBER(I96),I96+ROW()/10000000,"")</f>
        <v/>
      </c>
      <c r="Q96">
        <f>IF(AND(ISNUMBER(P96),ISNUMBER(A96)),IF(AND(A96&gt;=Dashboard!$Q$3,A96&lt;=Dashboard!$Q$4,OR(J96&lt;&gt;"Yes",Dashboard!$Q$15="Yes")),P96,""),"")</f>
        <v/>
      </c>
    </row>
    <row r="97">
      <c r="A97" s="47" t="n"/>
      <c r="B97" s="48" t="n"/>
      <c r="C97" s="48" t="n"/>
      <c r="D97" s="48" t="n"/>
      <c r="E97" s="48" t="n"/>
      <c r="F97" s="48" t="n"/>
      <c r="G97" s="48" t="n"/>
      <c r="H97" s="48" t="n"/>
      <c r="I97" s="49" t="n"/>
      <c r="J97" s="50" t="n"/>
      <c r="K97" s="48" t="n"/>
      <c r="L97" s="51">
        <f>IF(A97="","",DATE(YEAR(A97),MONTH(A97),1))</f>
        <v/>
      </c>
      <c r="M97" s="52">
        <f>IF(OR(A97="",NOT(ISNUMBER(I97))),"",IF(G97=Lists!$B$5,I97/2,IF(G97=Lists!$B$6,I97,0)))</f>
        <v/>
      </c>
      <c r="N97" s="52">
        <f>IF(OR(A97="",NOT(ISNUMBER(I97))),"",IF(G97=Lists!$B$5,I97/2,IF(G97=Lists!$B$7,I97,0)))</f>
        <v/>
      </c>
      <c r="O97" s="53">
        <f>IF(COUNTA(A97:K97)=0,"",IF(OR(A97="",B97="",C97="",D97="",E97="",F97="",G97="",NOT(ISNUMBER(I97))),"Incomplete",IF(COUNTIF(Lists!$H$4:$AA$4,C97)=0,"Check category",IF(COUNTIF(INDEX(Lists!$H$6:$AA$45,0,MATCH(C97,Lists!$H$4:$AA$4,0)),D97)=0,"Check sub-category","OK"))))</f>
        <v/>
      </c>
      <c r="P97">
        <f>IF(ISNUMBER(I97),I97+ROW()/10000000,"")</f>
        <v/>
      </c>
      <c r="Q97">
        <f>IF(AND(ISNUMBER(P97),ISNUMBER(A97)),IF(AND(A97&gt;=Dashboard!$Q$3,A97&lt;=Dashboard!$Q$4,OR(J97&lt;&gt;"Yes",Dashboard!$Q$15="Yes")),P97,""),"")</f>
        <v/>
      </c>
    </row>
    <row r="98">
      <c r="A98" s="47" t="n"/>
      <c r="B98" s="48" t="n"/>
      <c r="C98" s="48" t="n"/>
      <c r="D98" s="48" t="n"/>
      <c r="E98" s="48" t="n"/>
      <c r="F98" s="48" t="n"/>
      <c r="G98" s="48" t="n"/>
      <c r="H98" s="48" t="n"/>
      <c r="I98" s="49" t="n"/>
      <c r="J98" s="50" t="n"/>
      <c r="K98" s="48" t="n"/>
      <c r="L98" s="51">
        <f>IF(A98="","",DATE(YEAR(A98),MONTH(A98),1))</f>
        <v/>
      </c>
      <c r="M98" s="52">
        <f>IF(OR(A98="",NOT(ISNUMBER(I98))),"",IF(G98=Lists!$B$5,I98/2,IF(G98=Lists!$B$6,I98,0)))</f>
        <v/>
      </c>
      <c r="N98" s="52">
        <f>IF(OR(A98="",NOT(ISNUMBER(I98))),"",IF(G98=Lists!$B$5,I98/2,IF(G98=Lists!$B$7,I98,0)))</f>
        <v/>
      </c>
      <c r="O98" s="53">
        <f>IF(COUNTA(A98:K98)=0,"",IF(OR(A98="",B98="",C98="",D98="",E98="",F98="",G98="",NOT(ISNUMBER(I98))),"Incomplete",IF(COUNTIF(Lists!$H$4:$AA$4,C98)=0,"Check category",IF(COUNTIF(INDEX(Lists!$H$6:$AA$45,0,MATCH(C98,Lists!$H$4:$AA$4,0)),D98)=0,"Check sub-category","OK"))))</f>
        <v/>
      </c>
      <c r="P98">
        <f>IF(ISNUMBER(I98),I98+ROW()/10000000,"")</f>
        <v/>
      </c>
      <c r="Q98">
        <f>IF(AND(ISNUMBER(P98),ISNUMBER(A98)),IF(AND(A98&gt;=Dashboard!$Q$3,A98&lt;=Dashboard!$Q$4,OR(J98&lt;&gt;"Yes",Dashboard!$Q$15="Yes")),P98,""),"")</f>
        <v/>
      </c>
    </row>
    <row r="99">
      <c r="A99" s="47" t="n"/>
      <c r="B99" s="48" t="n"/>
      <c r="C99" s="48" t="n"/>
      <c r="D99" s="48" t="n"/>
      <c r="E99" s="48" t="n"/>
      <c r="F99" s="48" t="n"/>
      <c r="G99" s="48" t="n"/>
      <c r="H99" s="48" t="n"/>
      <c r="I99" s="49" t="n"/>
      <c r="J99" s="50" t="n"/>
      <c r="K99" s="48" t="n"/>
      <c r="L99" s="51">
        <f>IF(A99="","",DATE(YEAR(A99),MONTH(A99),1))</f>
        <v/>
      </c>
      <c r="M99" s="52">
        <f>IF(OR(A99="",NOT(ISNUMBER(I99))),"",IF(G99=Lists!$B$5,I99/2,IF(G99=Lists!$B$6,I99,0)))</f>
        <v/>
      </c>
      <c r="N99" s="52">
        <f>IF(OR(A99="",NOT(ISNUMBER(I99))),"",IF(G99=Lists!$B$5,I99/2,IF(G99=Lists!$B$7,I99,0)))</f>
        <v/>
      </c>
      <c r="O99" s="53">
        <f>IF(COUNTA(A99:K99)=0,"",IF(OR(A99="",B99="",C99="",D99="",E99="",F99="",G99="",NOT(ISNUMBER(I99))),"Incomplete",IF(COUNTIF(Lists!$H$4:$AA$4,C99)=0,"Check category",IF(COUNTIF(INDEX(Lists!$H$6:$AA$45,0,MATCH(C99,Lists!$H$4:$AA$4,0)),D99)=0,"Check sub-category","OK"))))</f>
        <v/>
      </c>
      <c r="P99">
        <f>IF(ISNUMBER(I99),I99+ROW()/10000000,"")</f>
        <v/>
      </c>
      <c r="Q99">
        <f>IF(AND(ISNUMBER(P99),ISNUMBER(A99)),IF(AND(A99&gt;=Dashboard!$Q$3,A99&lt;=Dashboard!$Q$4,OR(J99&lt;&gt;"Yes",Dashboard!$Q$15="Yes")),P99,""),"")</f>
        <v/>
      </c>
    </row>
    <row r="100">
      <c r="A100" s="47" t="n"/>
      <c r="B100" s="48" t="n"/>
      <c r="C100" s="48" t="n"/>
      <c r="D100" s="48" t="n"/>
      <c r="E100" s="48" t="n"/>
      <c r="F100" s="48" t="n"/>
      <c r="G100" s="48" t="n"/>
      <c r="H100" s="48" t="n"/>
      <c r="I100" s="49" t="n"/>
      <c r="J100" s="50" t="n"/>
      <c r="K100" s="48" t="n"/>
      <c r="L100" s="51">
        <f>IF(A100="","",DATE(YEAR(A100),MONTH(A100),1))</f>
        <v/>
      </c>
      <c r="M100" s="52">
        <f>IF(OR(A100="",NOT(ISNUMBER(I100))),"",IF(G100=Lists!$B$5,I100/2,IF(G100=Lists!$B$6,I100,0)))</f>
        <v/>
      </c>
      <c r="N100" s="52">
        <f>IF(OR(A100="",NOT(ISNUMBER(I100))),"",IF(G100=Lists!$B$5,I100/2,IF(G100=Lists!$B$7,I100,0)))</f>
        <v/>
      </c>
      <c r="O100" s="53">
        <f>IF(COUNTA(A100:K100)=0,"",IF(OR(A100="",B100="",C100="",D100="",E100="",F100="",G100="",NOT(ISNUMBER(I100))),"Incomplete",IF(COUNTIF(Lists!$H$4:$AA$4,C100)=0,"Check category",IF(COUNTIF(INDEX(Lists!$H$6:$AA$45,0,MATCH(C100,Lists!$H$4:$AA$4,0)),D100)=0,"Check sub-category","OK"))))</f>
        <v/>
      </c>
      <c r="P100">
        <f>IF(ISNUMBER(I100),I100+ROW()/10000000,"")</f>
        <v/>
      </c>
      <c r="Q100">
        <f>IF(AND(ISNUMBER(P100),ISNUMBER(A100)),IF(AND(A100&gt;=Dashboard!$Q$3,A100&lt;=Dashboard!$Q$4,OR(J100&lt;&gt;"Yes",Dashboard!$Q$15="Yes")),P100,""),"")</f>
        <v/>
      </c>
    </row>
    <row r="101">
      <c r="A101" s="47" t="n"/>
      <c r="B101" s="48" t="n"/>
      <c r="C101" s="48" t="n"/>
      <c r="D101" s="48" t="n"/>
      <c r="E101" s="48" t="n"/>
      <c r="F101" s="48" t="n"/>
      <c r="G101" s="48" t="n"/>
      <c r="H101" s="48" t="n"/>
      <c r="I101" s="49" t="n"/>
      <c r="J101" s="50" t="n"/>
      <c r="K101" s="48" t="n"/>
      <c r="L101" s="51">
        <f>IF(A101="","",DATE(YEAR(A101),MONTH(A101),1))</f>
        <v/>
      </c>
      <c r="M101" s="52">
        <f>IF(OR(A101="",NOT(ISNUMBER(I101))),"",IF(G101=Lists!$B$5,I101/2,IF(G101=Lists!$B$6,I101,0)))</f>
        <v/>
      </c>
      <c r="N101" s="52">
        <f>IF(OR(A101="",NOT(ISNUMBER(I101))),"",IF(G101=Lists!$B$5,I101/2,IF(G101=Lists!$B$7,I101,0)))</f>
        <v/>
      </c>
      <c r="O101" s="53">
        <f>IF(COUNTA(A101:K101)=0,"",IF(OR(A101="",B101="",C101="",D101="",E101="",F101="",G101="",NOT(ISNUMBER(I101))),"Incomplete",IF(COUNTIF(Lists!$H$4:$AA$4,C101)=0,"Check category",IF(COUNTIF(INDEX(Lists!$H$6:$AA$45,0,MATCH(C101,Lists!$H$4:$AA$4,0)),D101)=0,"Check sub-category","OK"))))</f>
        <v/>
      </c>
      <c r="P101">
        <f>IF(ISNUMBER(I101),I101+ROW()/10000000,"")</f>
        <v/>
      </c>
      <c r="Q101">
        <f>IF(AND(ISNUMBER(P101),ISNUMBER(A101)),IF(AND(A101&gt;=Dashboard!$Q$3,A101&lt;=Dashboard!$Q$4,OR(J101&lt;&gt;"Yes",Dashboard!$Q$15="Yes")),P101,""),"")</f>
        <v/>
      </c>
    </row>
    <row r="102">
      <c r="A102" s="47" t="n"/>
      <c r="B102" s="48" t="n"/>
      <c r="C102" s="48" t="n"/>
      <c r="D102" s="48" t="n"/>
      <c r="E102" s="48" t="n"/>
      <c r="F102" s="48" t="n"/>
      <c r="G102" s="48" t="n"/>
      <c r="H102" s="48" t="n"/>
      <c r="I102" s="49" t="n"/>
      <c r="J102" s="50" t="n"/>
      <c r="K102" s="48" t="n"/>
      <c r="L102" s="51">
        <f>IF(A102="","",DATE(YEAR(A102),MONTH(A102),1))</f>
        <v/>
      </c>
      <c r="M102" s="52">
        <f>IF(OR(A102="",NOT(ISNUMBER(I102))),"",IF(G102=Lists!$B$5,I102/2,IF(G102=Lists!$B$6,I102,0)))</f>
        <v/>
      </c>
      <c r="N102" s="52">
        <f>IF(OR(A102="",NOT(ISNUMBER(I102))),"",IF(G102=Lists!$B$5,I102/2,IF(G102=Lists!$B$7,I102,0)))</f>
        <v/>
      </c>
      <c r="O102" s="53">
        <f>IF(COUNTA(A102:K102)=0,"",IF(OR(A102="",B102="",C102="",D102="",E102="",F102="",G102="",NOT(ISNUMBER(I102))),"Incomplete",IF(COUNTIF(Lists!$H$4:$AA$4,C102)=0,"Check category",IF(COUNTIF(INDEX(Lists!$H$6:$AA$45,0,MATCH(C102,Lists!$H$4:$AA$4,0)),D102)=0,"Check sub-category","OK"))))</f>
        <v/>
      </c>
      <c r="P102">
        <f>IF(ISNUMBER(I102),I102+ROW()/10000000,"")</f>
        <v/>
      </c>
      <c r="Q102">
        <f>IF(AND(ISNUMBER(P102),ISNUMBER(A102)),IF(AND(A102&gt;=Dashboard!$Q$3,A102&lt;=Dashboard!$Q$4,OR(J102&lt;&gt;"Yes",Dashboard!$Q$15="Yes")),P102,""),"")</f>
        <v/>
      </c>
    </row>
    <row r="103">
      <c r="A103" s="47" t="n"/>
      <c r="B103" s="48" t="n"/>
      <c r="C103" s="48" t="n"/>
      <c r="D103" s="48" t="n"/>
      <c r="E103" s="48" t="n"/>
      <c r="F103" s="48" t="n"/>
      <c r="G103" s="48" t="n"/>
      <c r="H103" s="48" t="n"/>
      <c r="I103" s="49" t="n"/>
      <c r="J103" s="50" t="n"/>
      <c r="K103" s="48" t="n"/>
      <c r="L103" s="51">
        <f>IF(A103="","",DATE(YEAR(A103),MONTH(A103),1))</f>
        <v/>
      </c>
      <c r="M103" s="52">
        <f>IF(OR(A103="",NOT(ISNUMBER(I103))),"",IF(G103=Lists!$B$5,I103/2,IF(G103=Lists!$B$6,I103,0)))</f>
        <v/>
      </c>
      <c r="N103" s="52">
        <f>IF(OR(A103="",NOT(ISNUMBER(I103))),"",IF(G103=Lists!$B$5,I103/2,IF(G103=Lists!$B$7,I103,0)))</f>
        <v/>
      </c>
      <c r="O103" s="53">
        <f>IF(COUNTA(A103:K103)=0,"",IF(OR(A103="",B103="",C103="",D103="",E103="",F103="",G103="",NOT(ISNUMBER(I103))),"Incomplete",IF(COUNTIF(Lists!$H$4:$AA$4,C103)=0,"Check category",IF(COUNTIF(INDEX(Lists!$H$6:$AA$45,0,MATCH(C103,Lists!$H$4:$AA$4,0)),D103)=0,"Check sub-category","OK"))))</f>
        <v/>
      </c>
      <c r="P103">
        <f>IF(ISNUMBER(I103),I103+ROW()/10000000,"")</f>
        <v/>
      </c>
      <c r="Q103">
        <f>IF(AND(ISNUMBER(P103),ISNUMBER(A103)),IF(AND(A103&gt;=Dashboard!$Q$3,A103&lt;=Dashboard!$Q$4,OR(J103&lt;&gt;"Yes",Dashboard!$Q$15="Yes")),P103,""),"")</f>
        <v/>
      </c>
    </row>
    <row r="104">
      <c r="A104" s="47" t="n"/>
      <c r="B104" s="48" t="n"/>
      <c r="C104" s="48" t="n"/>
      <c r="D104" s="48" t="n"/>
      <c r="E104" s="48" t="n"/>
      <c r="F104" s="48" t="n"/>
      <c r="G104" s="48" t="n"/>
      <c r="H104" s="48" t="n"/>
      <c r="I104" s="49" t="n"/>
      <c r="J104" s="50" t="n"/>
      <c r="K104" s="48" t="n"/>
      <c r="L104" s="51">
        <f>IF(A104="","",DATE(YEAR(A104),MONTH(A104),1))</f>
        <v/>
      </c>
      <c r="M104" s="52">
        <f>IF(OR(A104="",NOT(ISNUMBER(I104))),"",IF(G104=Lists!$B$5,I104/2,IF(G104=Lists!$B$6,I104,0)))</f>
        <v/>
      </c>
      <c r="N104" s="52">
        <f>IF(OR(A104="",NOT(ISNUMBER(I104))),"",IF(G104=Lists!$B$5,I104/2,IF(G104=Lists!$B$7,I104,0)))</f>
        <v/>
      </c>
      <c r="O104" s="53">
        <f>IF(COUNTA(A104:K104)=0,"",IF(OR(A104="",B104="",C104="",D104="",E104="",F104="",G104="",NOT(ISNUMBER(I104))),"Incomplete",IF(COUNTIF(Lists!$H$4:$AA$4,C104)=0,"Check category",IF(COUNTIF(INDEX(Lists!$H$6:$AA$45,0,MATCH(C104,Lists!$H$4:$AA$4,0)),D104)=0,"Check sub-category","OK"))))</f>
        <v/>
      </c>
      <c r="P104">
        <f>IF(ISNUMBER(I104),I104+ROW()/10000000,"")</f>
        <v/>
      </c>
      <c r="Q104">
        <f>IF(AND(ISNUMBER(P104),ISNUMBER(A104)),IF(AND(A104&gt;=Dashboard!$Q$3,A104&lt;=Dashboard!$Q$4,OR(J104&lt;&gt;"Yes",Dashboard!$Q$15="Yes")),P104,""),"")</f>
        <v/>
      </c>
    </row>
    <row r="105">
      <c r="A105" s="47" t="n"/>
      <c r="B105" s="48" t="n"/>
      <c r="C105" s="48" t="n"/>
      <c r="D105" s="48" t="n"/>
      <c r="E105" s="48" t="n"/>
      <c r="F105" s="48" t="n"/>
      <c r="G105" s="48" t="n"/>
      <c r="H105" s="48" t="n"/>
      <c r="I105" s="49" t="n"/>
      <c r="J105" s="50" t="n"/>
      <c r="K105" s="48" t="n"/>
      <c r="L105" s="51">
        <f>IF(A105="","",DATE(YEAR(A105),MONTH(A105),1))</f>
        <v/>
      </c>
      <c r="M105" s="52">
        <f>IF(OR(A105="",NOT(ISNUMBER(I105))),"",IF(G105=Lists!$B$5,I105/2,IF(G105=Lists!$B$6,I105,0)))</f>
        <v/>
      </c>
      <c r="N105" s="52">
        <f>IF(OR(A105="",NOT(ISNUMBER(I105))),"",IF(G105=Lists!$B$5,I105/2,IF(G105=Lists!$B$7,I105,0)))</f>
        <v/>
      </c>
      <c r="O105" s="53">
        <f>IF(COUNTA(A105:K105)=0,"",IF(OR(A105="",B105="",C105="",D105="",E105="",F105="",G105="",NOT(ISNUMBER(I105))),"Incomplete",IF(COUNTIF(Lists!$H$4:$AA$4,C105)=0,"Check category",IF(COUNTIF(INDEX(Lists!$H$6:$AA$45,0,MATCH(C105,Lists!$H$4:$AA$4,0)),D105)=0,"Check sub-category","OK"))))</f>
        <v/>
      </c>
      <c r="P105">
        <f>IF(ISNUMBER(I105),I105+ROW()/10000000,"")</f>
        <v/>
      </c>
      <c r="Q105">
        <f>IF(AND(ISNUMBER(P105),ISNUMBER(A105)),IF(AND(A105&gt;=Dashboard!$Q$3,A105&lt;=Dashboard!$Q$4,OR(J105&lt;&gt;"Yes",Dashboard!$Q$15="Yes")),P105,""),"")</f>
        <v/>
      </c>
    </row>
    <row r="106">
      <c r="A106" s="47" t="n"/>
      <c r="B106" s="48" t="n"/>
      <c r="C106" s="48" t="n"/>
      <c r="D106" s="48" t="n"/>
      <c r="E106" s="48" t="n"/>
      <c r="F106" s="48" t="n"/>
      <c r="G106" s="48" t="n"/>
      <c r="H106" s="48" t="n"/>
      <c r="I106" s="49" t="n"/>
      <c r="J106" s="50" t="n"/>
      <c r="K106" s="48" t="n"/>
      <c r="L106" s="51">
        <f>IF(A106="","",DATE(YEAR(A106),MONTH(A106),1))</f>
        <v/>
      </c>
      <c r="M106" s="52">
        <f>IF(OR(A106="",NOT(ISNUMBER(I106))),"",IF(G106=Lists!$B$5,I106/2,IF(G106=Lists!$B$6,I106,0)))</f>
        <v/>
      </c>
      <c r="N106" s="52">
        <f>IF(OR(A106="",NOT(ISNUMBER(I106))),"",IF(G106=Lists!$B$5,I106/2,IF(G106=Lists!$B$7,I106,0)))</f>
        <v/>
      </c>
      <c r="O106" s="53">
        <f>IF(COUNTA(A106:K106)=0,"",IF(OR(A106="",B106="",C106="",D106="",E106="",F106="",G106="",NOT(ISNUMBER(I106))),"Incomplete",IF(COUNTIF(Lists!$H$4:$AA$4,C106)=0,"Check category",IF(COUNTIF(INDEX(Lists!$H$6:$AA$45,0,MATCH(C106,Lists!$H$4:$AA$4,0)),D106)=0,"Check sub-category","OK"))))</f>
        <v/>
      </c>
      <c r="P106">
        <f>IF(ISNUMBER(I106),I106+ROW()/10000000,"")</f>
        <v/>
      </c>
      <c r="Q106">
        <f>IF(AND(ISNUMBER(P106),ISNUMBER(A106)),IF(AND(A106&gt;=Dashboard!$Q$3,A106&lt;=Dashboard!$Q$4,OR(J106&lt;&gt;"Yes",Dashboard!$Q$15="Yes")),P106,""),"")</f>
        <v/>
      </c>
    </row>
    <row r="107">
      <c r="A107" s="47" t="n"/>
      <c r="B107" s="48" t="n"/>
      <c r="C107" s="48" t="n"/>
      <c r="D107" s="48" t="n"/>
      <c r="E107" s="48" t="n"/>
      <c r="F107" s="48" t="n"/>
      <c r="G107" s="48" t="n"/>
      <c r="H107" s="48" t="n"/>
      <c r="I107" s="49" t="n"/>
      <c r="J107" s="50" t="n"/>
      <c r="K107" s="48" t="n"/>
      <c r="L107" s="51">
        <f>IF(A107="","",DATE(YEAR(A107),MONTH(A107),1))</f>
        <v/>
      </c>
      <c r="M107" s="52">
        <f>IF(OR(A107="",NOT(ISNUMBER(I107))),"",IF(G107=Lists!$B$5,I107/2,IF(G107=Lists!$B$6,I107,0)))</f>
        <v/>
      </c>
      <c r="N107" s="52">
        <f>IF(OR(A107="",NOT(ISNUMBER(I107))),"",IF(G107=Lists!$B$5,I107/2,IF(G107=Lists!$B$7,I107,0)))</f>
        <v/>
      </c>
      <c r="O107" s="53">
        <f>IF(COUNTA(A107:K107)=0,"",IF(OR(A107="",B107="",C107="",D107="",E107="",F107="",G107="",NOT(ISNUMBER(I107))),"Incomplete",IF(COUNTIF(Lists!$H$4:$AA$4,C107)=0,"Check category",IF(COUNTIF(INDEX(Lists!$H$6:$AA$45,0,MATCH(C107,Lists!$H$4:$AA$4,0)),D107)=0,"Check sub-category","OK"))))</f>
        <v/>
      </c>
      <c r="P107">
        <f>IF(ISNUMBER(I107),I107+ROW()/10000000,"")</f>
        <v/>
      </c>
      <c r="Q107">
        <f>IF(AND(ISNUMBER(P107),ISNUMBER(A107)),IF(AND(A107&gt;=Dashboard!$Q$3,A107&lt;=Dashboard!$Q$4,OR(J107&lt;&gt;"Yes",Dashboard!$Q$15="Yes")),P107,""),"")</f>
        <v/>
      </c>
    </row>
    <row r="108">
      <c r="A108" s="47" t="n"/>
      <c r="B108" s="48" t="n"/>
      <c r="C108" s="48" t="n"/>
      <c r="D108" s="48" t="n"/>
      <c r="E108" s="48" t="n"/>
      <c r="F108" s="48" t="n"/>
      <c r="G108" s="48" t="n"/>
      <c r="H108" s="48" t="n"/>
      <c r="I108" s="49" t="n"/>
      <c r="J108" s="50" t="n"/>
      <c r="K108" s="48" t="n"/>
      <c r="L108" s="51">
        <f>IF(A108="","",DATE(YEAR(A108),MONTH(A108),1))</f>
        <v/>
      </c>
      <c r="M108" s="52">
        <f>IF(OR(A108="",NOT(ISNUMBER(I108))),"",IF(G108=Lists!$B$5,I108/2,IF(G108=Lists!$B$6,I108,0)))</f>
        <v/>
      </c>
      <c r="N108" s="52">
        <f>IF(OR(A108="",NOT(ISNUMBER(I108))),"",IF(G108=Lists!$B$5,I108/2,IF(G108=Lists!$B$7,I108,0)))</f>
        <v/>
      </c>
      <c r="O108" s="53">
        <f>IF(COUNTA(A108:K108)=0,"",IF(OR(A108="",B108="",C108="",D108="",E108="",F108="",G108="",NOT(ISNUMBER(I108))),"Incomplete",IF(COUNTIF(Lists!$H$4:$AA$4,C108)=0,"Check category",IF(COUNTIF(INDEX(Lists!$H$6:$AA$45,0,MATCH(C108,Lists!$H$4:$AA$4,0)),D108)=0,"Check sub-category","OK"))))</f>
        <v/>
      </c>
      <c r="P108">
        <f>IF(ISNUMBER(I108),I108+ROW()/10000000,"")</f>
        <v/>
      </c>
      <c r="Q108">
        <f>IF(AND(ISNUMBER(P108),ISNUMBER(A108)),IF(AND(A108&gt;=Dashboard!$Q$3,A108&lt;=Dashboard!$Q$4,OR(J108&lt;&gt;"Yes",Dashboard!$Q$15="Yes")),P108,""),"")</f>
        <v/>
      </c>
    </row>
    <row r="109">
      <c r="A109" s="47" t="n"/>
      <c r="B109" s="48" t="n"/>
      <c r="C109" s="48" t="n"/>
      <c r="D109" s="48" t="n"/>
      <c r="E109" s="48" t="n"/>
      <c r="F109" s="48" t="n"/>
      <c r="G109" s="48" t="n"/>
      <c r="H109" s="48" t="n"/>
      <c r="I109" s="49" t="n"/>
      <c r="J109" s="50" t="n"/>
      <c r="K109" s="48" t="n"/>
      <c r="L109" s="51">
        <f>IF(A109="","",DATE(YEAR(A109),MONTH(A109),1))</f>
        <v/>
      </c>
      <c r="M109" s="52">
        <f>IF(OR(A109="",NOT(ISNUMBER(I109))),"",IF(G109=Lists!$B$5,I109/2,IF(G109=Lists!$B$6,I109,0)))</f>
        <v/>
      </c>
      <c r="N109" s="52">
        <f>IF(OR(A109="",NOT(ISNUMBER(I109))),"",IF(G109=Lists!$B$5,I109/2,IF(G109=Lists!$B$7,I109,0)))</f>
        <v/>
      </c>
      <c r="O109" s="53">
        <f>IF(COUNTA(A109:K109)=0,"",IF(OR(A109="",B109="",C109="",D109="",E109="",F109="",G109="",NOT(ISNUMBER(I109))),"Incomplete",IF(COUNTIF(Lists!$H$4:$AA$4,C109)=0,"Check category",IF(COUNTIF(INDEX(Lists!$H$6:$AA$45,0,MATCH(C109,Lists!$H$4:$AA$4,0)),D109)=0,"Check sub-category","OK"))))</f>
        <v/>
      </c>
      <c r="P109">
        <f>IF(ISNUMBER(I109),I109+ROW()/10000000,"")</f>
        <v/>
      </c>
      <c r="Q109">
        <f>IF(AND(ISNUMBER(P109),ISNUMBER(A109)),IF(AND(A109&gt;=Dashboard!$Q$3,A109&lt;=Dashboard!$Q$4,OR(J109&lt;&gt;"Yes",Dashboard!$Q$15="Yes")),P109,""),"")</f>
        <v/>
      </c>
    </row>
    <row r="110">
      <c r="A110" s="47" t="n"/>
      <c r="B110" s="48" t="n"/>
      <c r="C110" s="48" t="n"/>
      <c r="D110" s="48" t="n"/>
      <c r="E110" s="48" t="n"/>
      <c r="F110" s="48" t="n"/>
      <c r="G110" s="48" t="n"/>
      <c r="H110" s="48" t="n"/>
      <c r="I110" s="49" t="n"/>
      <c r="J110" s="50" t="n"/>
      <c r="K110" s="48" t="n"/>
      <c r="L110" s="51">
        <f>IF(A110="","",DATE(YEAR(A110),MONTH(A110),1))</f>
        <v/>
      </c>
      <c r="M110" s="52">
        <f>IF(OR(A110="",NOT(ISNUMBER(I110))),"",IF(G110=Lists!$B$5,I110/2,IF(G110=Lists!$B$6,I110,0)))</f>
        <v/>
      </c>
      <c r="N110" s="52">
        <f>IF(OR(A110="",NOT(ISNUMBER(I110))),"",IF(G110=Lists!$B$5,I110/2,IF(G110=Lists!$B$7,I110,0)))</f>
        <v/>
      </c>
      <c r="O110" s="53">
        <f>IF(COUNTA(A110:K110)=0,"",IF(OR(A110="",B110="",C110="",D110="",E110="",F110="",G110="",NOT(ISNUMBER(I110))),"Incomplete",IF(COUNTIF(Lists!$H$4:$AA$4,C110)=0,"Check category",IF(COUNTIF(INDEX(Lists!$H$6:$AA$45,0,MATCH(C110,Lists!$H$4:$AA$4,0)),D110)=0,"Check sub-category","OK"))))</f>
        <v/>
      </c>
      <c r="P110">
        <f>IF(ISNUMBER(I110),I110+ROW()/10000000,"")</f>
        <v/>
      </c>
      <c r="Q110">
        <f>IF(AND(ISNUMBER(P110),ISNUMBER(A110)),IF(AND(A110&gt;=Dashboard!$Q$3,A110&lt;=Dashboard!$Q$4,OR(J110&lt;&gt;"Yes",Dashboard!$Q$15="Yes")),P110,""),"")</f>
        <v/>
      </c>
    </row>
    <row r="111">
      <c r="A111" s="47" t="n"/>
      <c r="B111" s="48" t="n"/>
      <c r="C111" s="48" t="n"/>
      <c r="D111" s="48" t="n"/>
      <c r="E111" s="48" t="n"/>
      <c r="F111" s="48" t="n"/>
      <c r="G111" s="48" t="n"/>
      <c r="H111" s="48" t="n"/>
      <c r="I111" s="49" t="n"/>
      <c r="J111" s="50" t="n"/>
      <c r="K111" s="48" t="n"/>
      <c r="L111" s="51">
        <f>IF(A111="","",DATE(YEAR(A111),MONTH(A111),1))</f>
        <v/>
      </c>
      <c r="M111" s="52">
        <f>IF(OR(A111="",NOT(ISNUMBER(I111))),"",IF(G111=Lists!$B$5,I111/2,IF(G111=Lists!$B$6,I111,0)))</f>
        <v/>
      </c>
      <c r="N111" s="52">
        <f>IF(OR(A111="",NOT(ISNUMBER(I111))),"",IF(G111=Lists!$B$5,I111/2,IF(G111=Lists!$B$7,I111,0)))</f>
        <v/>
      </c>
      <c r="O111" s="53">
        <f>IF(COUNTA(A111:K111)=0,"",IF(OR(A111="",B111="",C111="",D111="",E111="",F111="",G111="",NOT(ISNUMBER(I111))),"Incomplete",IF(COUNTIF(Lists!$H$4:$AA$4,C111)=0,"Check category",IF(COUNTIF(INDEX(Lists!$H$6:$AA$45,0,MATCH(C111,Lists!$H$4:$AA$4,0)),D111)=0,"Check sub-category","OK"))))</f>
        <v/>
      </c>
      <c r="P111">
        <f>IF(ISNUMBER(I111),I111+ROW()/10000000,"")</f>
        <v/>
      </c>
      <c r="Q111">
        <f>IF(AND(ISNUMBER(P111),ISNUMBER(A111)),IF(AND(A111&gt;=Dashboard!$Q$3,A111&lt;=Dashboard!$Q$4,OR(J111&lt;&gt;"Yes",Dashboard!$Q$15="Yes")),P111,""),"")</f>
        <v/>
      </c>
    </row>
    <row r="112">
      <c r="A112" s="47" t="n"/>
      <c r="B112" s="48" t="n"/>
      <c r="C112" s="48" t="n"/>
      <c r="D112" s="48" t="n"/>
      <c r="E112" s="48" t="n"/>
      <c r="F112" s="48" t="n"/>
      <c r="G112" s="48" t="n"/>
      <c r="H112" s="48" t="n"/>
      <c r="I112" s="49" t="n"/>
      <c r="J112" s="50" t="n"/>
      <c r="K112" s="48" t="n"/>
      <c r="L112" s="51">
        <f>IF(A112="","",DATE(YEAR(A112),MONTH(A112),1))</f>
        <v/>
      </c>
      <c r="M112" s="52">
        <f>IF(OR(A112="",NOT(ISNUMBER(I112))),"",IF(G112=Lists!$B$5,I112/2,IF(G112=Lists!$B$6,I112,0)))</f>
        <v/>
      </c>
      <c r="N112" s="52">
        <f>IF(OR(A112="",NOT(ISNUMBER(I112))),"",IF(G112=Lists!$B$5,I112/2,IF(G112=Lists!$B$7,I112,0)))</f>
        <v/>
      </c>
      <c r="O112" s="53">
        <f>IF(COUNTA(A112:K112)=0,"",IF(OR(A112="",B112="",C112="",D112="",E112="",F112="",G112="",NOT(ISNUMBER(I112))),"Incomplete",IF(COUNTIF(Lists!$H$4:$AA$4,C112)=0,"Check category",IF(COUNTIF(INDEX(Lists!$H$6:$AA$45,0,MATCH(C112,Lists!$H$4:$AA$4,0)),D112)=0,"Check sub-category","OK"))))</f>
        <v/>
      </c>
      <c r="P112">
        <f>IF(ISNUMBER(I112),I112+ROW()/10000000,"")</f>
        <v/>
      </c>
      <c r="Q112">
        <f>IF(AND(ISNUMBER(P112),ISNUMBER(A112)),IF(AND(A112&gt;=Dashboard!$Q$3,A112&lt;=Dashboard!$Q$4,OR(J112&lt;&gt;"Yes",Dashboard!$Q$15="Yes")),P112,""),"")</f>
        <v/>
      </c>
    </row>
    <row r="113">
      <c r="A113" s="47" t="n"/>
      <c r="B113" s="48" t="n"/>
      <c r="C113" s="48" t="n"/>
      <c r="D113" s="48" t="n"/>
      <c r="E113" s="48" t="n"/>
      <c r="F113" s="48" t="n"/>
      <c r="G113" s="48" t="n"/>
      <c r="H113" s="48" t="n"/>
      <c r="I113" s="49" t="n"/>
      <c r="J113" s="50" t="n"/>
      <c r="K113" s="48" t="n"/>
      <c r="L113" s="51">
        <f>IF(A113="","",DATE(YEAR(A113),MONTH(A113),1))</f>
        <v/>
      </c>
      <c r="M113" s="52">
        <f>IF(OR(A113="",NOT(ISNUMBER(I113))),"",IF(G113=Lists!$B$5,I113/2,IF(G113=Lists!$B$6,I113,0)))</f>
        <v/>
      </c>
      <c r="N113" s="52">
        <f>IF(OR(A113="",NOT(ISNUMBER(I113))),"",IF(G113=Lists!$B$5,I113/2,IF(G113=Lists!$B$7,I113,0)))</f>
        <v/>
      </c>
      <c r="O113" s="53">
        <f>IF(COUNTA(A113:K113)=0,"",IF(OR(A113="",B113="",C113="",D113="",E113="",F113="",G113="",NOT(ISNUMBER(I113))),"Incomplete",IF(COUNTIF(Lists!$H$4:$AA$4,C113)=0,"Check category",IF(COUNTIF(INDEX(Lists!$H$6:$AA$45,0,MATCH(C113,Lists!$H$4:$AA$4,0)),D113)=0,"Check sub-category","OK"))))</f>
        <v/>
      </c>
      <c r="P113">
        <f>IF(ISNUMBER(I113),I113+ROW()/10000000,"")</f>
        <v/>
      </c>
      <c r="Q113">
        <f>IF(AND(ISNUMBER(P113),ISNUMBER(A113)),IF(AND(A113&gt;=Dashboard!$Q$3,A113&lt;=Dashboard!$Q$4,OR(J113&lt;&gt;"Yes",Dashboard!$Q$15="Yes")),P113,""),"")</f>
        <v/>
      </c>
    </row>
    <row r="114">
      <c r="A114" s="47" t="n"/>
      <c r="B114" s="48" t="n"/>
      <c r="C114" s="48" t="n"/>
      <c r="D114" s="48" t="n"/>
      <c r="E114" s="48" t="n"/>
      <c r="F114" s="48" t="n"/>
      <c r="G114" s="48" t="n"/>
      <c r="H114" s="48" t="n"/>
      <c r="I114" s="49" t="n"/>
      <c r="J114" s="50" t="n"/>
      <c r="K114" s="48" t="n"/>
      <c r="L114" s="51">
        <f>IF(A114="","",DATE(YEAR(A114),MONTH(A114),1))</f>
        <v/>
      </c>
      <c r="M114" s="52">
        <f>IF(OR(A114="",NOT(ISNUMBER(I114))),"",IF(G114=Lists!$B$5,I114/2,IF(G114=Lists!$B$6,I114,0)))</f>
        <v/>
      </c>
      <c r="N114" s="52">
        <f>IF(OR(A114="",NOT(ISNUMBER(I114))),"",IF(G114=Lists!$B$5,I114/2,IF(G114=Lists!$B$7,I114,0)))</f>
        <v/>
      </c>
      <c r="O114" s="53">
        <f>IF(COUNTA(A114:K114)=0,"",IF(OR(A114="",B114="",C114="",D114="",E114="",F114="",G114="",NOT(ISNUMBER(I114))),"Incomplete",IF(COUNTIF(Lists!$H$4:$AA$4,C114)=0,"Check category",IF(COUNTIF(INDEX(Lists!$H$6:$AA$45,0,MATCH(C114,Lists!$H$4:$AA$4,0)),D114)=0,"Check sub-category","OK"))))</f>
        <v/>
      </c>
      <c r="P114">
        <f>IF(ISNUMBER(I114),I114+ROW()/10000000,"")</f>
        <v/>
      </c>
      <c r="Q114">
        <f>IF(AND(ISNUMBER(P114),ISNUMBER(A114)),IF(AND(A114&gt;=Dashboard!$Q$3,A114&lt;=Dashboard!$Q$4,OR(J114&lt;&gt;"Yes",Dashboard!$Q$15="Yes")),P114,""),"")</f>
        <v/>
      </c>
    </row>
    <row r="115">
      <c r="A115" s="47" t="n"/>
      <c r="B115" s="48" t="n"/>
      <c r="C115" s="48" t="n"/>
      <c r="D115" s="48" t="n"/>
      <c r="E115" s="48" t="n"/>
      <c r="F115" s="48" t="n"/>
      <c r="G115" s="48" t="n"/>
      <c r="H115" s="48" t="n"/>
      <c r="I115" s="49" t="n"/>
      <c r="J115" s="50" t="n"/>
      <c r="K115" s="48" t="n"/>
      <c r="L115" s="51">
        <f>IF(A115="","",DATE(YEAR(A115),MONTH(A115),1))</f>
        <v/>
      </c>
      <c r="M115" s="52">
        <f>IF(OR(A115="",NOT(ISNUMBER(I115))),"",IF(G115=Lists!$B$5,I115/2,IF(G115=Lists!$B$6,I115,0)))</f>
        <v/>
      </c>
      <c r="N115" s="52">
        <f>IF(OR(A115="",NOT(ISNUMBER(I115))),"",IF(G115=Lists!$B$5,I115/2,IF(G115=Lists!$B$7,I115,0)))</f>
        <v/>
      </c>
      <c r="O115" s="53">
        <f>IF(COUNTA(A115:K115)=0,"",IF(OR(A115="",B115="",C115="",D115="",E115="",F115="",G115="",NOT(ISNUMBER(I115))),"Incomplete",IF(COUNTIF(Lists!$H$4:$AA$4,C115)=0,"Check category",IF(COUNTIF(INDEX(Lists!$H$6:$AA$45,0,MATCH(C115,Lists!$H$4:$AA$4,0)),D115)=0,"Check sub-category","OK"))))</f>
        <v/>
      </c>
      <c r="P115">
        <f>IF(ISNUMBER(I115),I115+ROW()/10000000,"")</f>
        <v/>
      </c>
      <c r="Q115">
        <f>IF(AND(ISNUMBER(P115),ISNUMBER(A115)),IF(AND(A115&gt;=Dashboard!$Q$3,A115&lt;=Dashboard!$Q$4,OR(J115&lt;&gt;"Yes",Dashboard!$Q$15="Yes")),P115,""),"")</f>
        <v/>
      </c>
    </row>
    <row r="116">
      <c r="A116" s="47" t="n"/>
      <c r="B116" s="48" t="n"/>
      <c r="C116" s="48" t="n"/>
      <c r="D116" s="48" t="n"/>
      <c r="E116" s="48" t="n"/>
      <c r="F116" s="48" t="n"/>
      <c r="G116" s="48" t="n"/>
      <c r="H116" s="48" t="n"/>
      <c r="I116" s="49" t="n"/>
      <c r="J116" s="50" t="n"/>
      <c r="K116" s="48" t="n"/>
      <c r="L116" s="51">
        <f>IF(A116="","",DATE(YEAR(A116),MONTH(A116),1))</f>
        <v/>
      </c>
      <c r="M116" s="52">
        <f>IF(OR(A116="",NOT(ISNUMBER(I116))),"",IF(G116=Lists!$B$5,I116/2,IF(G116=Lists!$B$6,I116,0)))</f>
        <v/>
      </c>
      <c r="N116" s="52">
        <f>IF(OR(A116="",NOT(ISNUMBER(I116))),"",IF(G116=Lists!$B$5,I116/2,IF(G116=Lists!$B$7,I116,0)))</f>
        <v/>
      </c>
      <c r="O116" s="53">
        <f>IF(COUNTA(A116:K116)=0,"",IF(OR(A116="",B116="",C116="",D116="",E116="",F116="",G116="",NOT(ISNUMBER(I116))),"Incomplete",IF(COUNTIF(Lists!$H$4:$AA$4,C116)=0,"Check category",IF(COUNTIF(INDEX(Lists!$H$6:$AA$45,0,MATCH(C116,Lists!$H$4:$AA$4,0)),D116)=0,"Check sub-category","OK"))))</f>
        <v/>
      </c>
      <c r="P116">
        <f>IF(ISNUMBER(I116),I116+ROW()/10000000,"")</f>
        <v/>
      </c>
      <c r="Q116">
        <f>IF(AND(ISNUMBER(P116),ISNUMBER(A116)),IF(AND(A116&gt;=Dashboard!$Q$3,A116&lt;=Dashboard!$Q$4,OR(J116&lt;&gt;"Yes",Dashboard!$Q$15="Yes")),P116,""),"")</f>
        <v/>
      </c>
    </row>
    <row r="117">
      <c r="A117" s="47" t="n"/>
      <c r="B117" s="48" t="n"/>
      <c r="C117" s="48" t="n"/>
      <c r="D117" s="48" t="n"/>
      <c r="E117" s="48" t="n"/>
      <c r="F117" s="48" t="n"/>
      <c r="G117" s="48" t="n"/>
      <c r="H117" s="48" t="n"/>
      <c r="I117" s="49" t="n"/>
      <c r="J117" s="50" t="n"/>
      <c r="K117" s="48" t="n"/>
      <c r="L117" s="51">
        <f>IF(A117="","",DATE(YEAR(A117),MONTH(A117),1))</f>
        <v/>
      </c>
      <c r="M117" s="52">
        <f>IF(OR(A117="",NOT(ISNUMBER(I117))),"",IF(G117=Lists!$B$5,I117/2,IF(G117=Lists!$B$6,I117,0)))</f>
        <v/>
      </c>
      <c r="N117" s="52">
        <f>IF(OR(A117="",NOT(ISNUMBER(I117))),"",IF(G117=Lists!$B$5,I117/2,IF(G117=Lists!$B$7,I117,0)))</f>
        <v/>
      </c>
      <c r="O117" s="53">
        <f>IF(COUNTA(A117:K117)=0,"",IF(OR(A117="",B117="",C117="",D117="",E117="",F117="",G117="",NOT(ISNUMBER(I117))),"Incomplete",IF(COUNTIF(Lists!$H$4:$AA$4,C117)=0,"Check category",IF(COUNTIF(INDEX(Lists!$H$6:$AA$45,0,MATCH(C117,Lists!$H$4:$AA$4,0)),D117)=0,"Check sub-category","OK"))))</f>
        <v/>
      </c>
      <c r="P117">
        <f>IF(ISNUMBER(I117),I117+ROW()/10000000,"")</f>
        <v/>
      </c>
      <c r="Q117">
        <f>IF(AND(ISNUMBER(P117),ISNUMBER(A117)),IF(AND(A117&gt;=Dashboard!$Q$3,A117&lt;=Dashboard!$Q$4,OR(J117&lt;&gt;"Yes",Dashboard!$Q$15="Yes")),P117,""),"")</f>
        <v/>
      </c>
    </row>
    <row r="118">
      <c r="A118" s="47" t="n"/>
      <c r="B118" s="48" t="n"/>
      <c r="C118" s="48" t="n"/>
      <c r="D118" s="48" t="n"/>
      <c r="E118" s="48" t="n"/>
      <c r="F118" s="48" t="n"/>
      <c r="G118" s="48" t="n"/>
      <c r="H118" s="48" t="n"/>
      <c r="I118" s="49" t="n"/>
      <c r="J118" s="50" t="n"/>
      <c r="K118" s="48" t="n"/>
      <c r="L118" s="51">
        <f>IF(A118="","",DATE(YEAR(A118),MONTH(A118),1))</f>
        <v/>
      </c>
      <c r="M118" s="52">
        <f>IF(OR(A118="",NOT(ISNUMBER(I118))),"",IF(G118=Lists!$B$5,I118/2,IF(G118=Lists!$B$6,I118,0)))</f>
        <v/>
      </c>
      <c r="N118" s="52">
        <f>IF(OR(A118="",NOT(ISNUMBER(I118))),"",IF(G118=Lists!$B$5,I118/2,IF(G118=Lists!$B$7,I118,0)))</f>
        <v/>
      </c>
      <c r="O118" s="53">
        <f>IF(COUNTA(A118:K118)=0,"",IF(OR(A118="",B118="",C118="",D118="",E118="",F118="",G118="",NOT(ISNUMBER(I118))),"Incomplete",IF(COUNTIF(Lists!$H$4:$AA$4,C118)=0,"Check category",IF(COUNTIF(INDEX(Lists!$H$6:$AA$45,0,MATCH(C118,Lists!$H$4:$AA$4,0)),D118)=0,"Check sub-category","OK"))))</f>
        <v/>
      </c>
      <c r="P118">
        <f>IF(ISNUMBER(I118),I118+ROW()/10000000,"")</f>
        <v/>
      </c>
      <c r="Q118">
        <f>IF(AND(ISNUMBER(P118),ISNUMBER(A118)),IF(AND(A118&gt;=Dashboard!$Q$3,A118&lt;=Dashboard!$Q$4,OR(J118&lt;&gt;"Yes",Dashboard!$Q$15="Yes")),P118,""),"")</f>
        <v/>
      </c>
    </row>
    <row r="119">
      <c r="A119" s="47" t="n"/>
      <c r="B119" s="48" t="n"/>
      <c r="C119" s="48" t="n"/>
      <c r="D119" s="48" t="n"/>
      <c r="E119" s="48" t="n"/>
      <c r="F119" s="48" t="n"/>
      <c r="G119" s="48" t="n"/>
      <c r="H119" s="48" t="n"/>
      <c r="I119" s="49" t="n"/>
      <c r="J119" s="50" t="n"/>
      <c r="K119" s="48" t="n"/>
      <c r="L119" s="51">
        <f>IF(A119="","",DATE(YEAR(A119),MONTH(A119),1))</f>
        <v/>
      </c>
      <c r="M119" s="52">
        <f>IF(OR(A119="",NOT(ISNUMBER(I119))),"",IF(G119=Lists!$B$5,I119/2,IF(G119=Lists!$B$6,I119,0)))</f>
        <v/>
      </c>
      <c r="N119" s="52">
        <f>IF(OR(A119="",NOT(ISNUMBER(I119))),"",IF(G119=Lists!$B$5,I119/2,IF(G119=Lists!$B$7,I119,0)))</f>
        <v/>
      </c>
      <c r="O119" s="53">
        <f>IF(COUNTA(A119:K119)=0,"",IF(OR(A119="",B119="",C119="",D119="",E119="",F119="",G119="",NOT(ISNUMBER(I119))),"Incomplete",IF(COUNTIF(Lists!$H$4:$AA$4,C119)=0,"Check category",IF(COUNTIF(INDEX(Lists!$H$6:$AA$45,0,MATCH(C119,Lists!$H$4:$AA$4,0)),D119)=0,"Check sub-category","OK"))))</f>
        <v/>
      </c>
      <c r="P119">
        <f>IF(ISNUMBER(I119),I119+ROW()/10000000,"")</f>
        <v/>
      </c>
      <c r="Q119">
        <f>IF(AND(ISNUMBER(P119),ISNUMBER(A119)),IF(AND(A119&gt;=Dashboard!$Q$3,A119&lt;=Dashboard!$Q$4,OR(J119&lt;&gt;"Yes",Dashboard!$Q$15="Yes")),P119,""),"")</f>
        <v/>
      </c>
    </row>
    <row r="120">
      <c r="A120" s="47" t="n"/>
      <c r="B120" s="48" t="n"/>
      <c r="C120" s="48" t="n"/>
      <c r="D120" s="48" t="n"/>
      <c r="E120" s="48" t="n"/>
      <c r="F120" s="48" t="n"/>
      <c r="G120" s="48" t="n"/>
      <c r="H120" s="48" t="n"/>
      <c r="I120" s="49" t="n"/>
      <c r="J120" s="50" t="n"/>
      <c r="K120" s="48" t="n"/>
      <c r="L120" s="51">
        <f>IF(A120="","",DATE(YEAR(A120),MONTH(A120),1))</f>
        <v/>
      </c>
      <c r="M120" s="52">
        <f>IF(OR(A120="",NOT(ISNUMBER(I120))),"",IF(G120=Lists!$B$5,I120/2,IF(G120=Lists!$B$6,I120,0)))</f>
        <v/>
      </c>
      <c r="N120" s="52">
        <f>IF(OR(A120="",NOT(ISNUMBER(I120))),"",IF(G120=Lists!$B$5,I120/2,IF(G120=Lists!$B$7,I120,0)))</f>
        <v/>
      </c>
      <c r="O120" s="53">
        <f>IF(COUNTA(A120:K120)=0,"",IF(OR(A120="",B120="",C120="",D120="",E120="",F120="",G120="",NOT(ISNUMBER(I120))),"Incomplete",IF(COUNTIF(Lists!$H$4:$AA$4,C120)=0,"Check category",IF(COUNTIF(INDEX(Lists!$H$6:$AA$45,0,MATCH(C120,Lists!$H$4:$AA$4,0)),D120)=0,"Check sub-category","OK"))))</f>
        <v/>
      </c>
      <c r="P120">
        <f>IF(ISNUMBER(I120),I120+ROW()/10000000,"")</f>
        <v/>
      </c>
      <c r="Q120">
        <f>IF(AND(ISNUMBER(P120),ISNUMBER(A120)),IF(AND(A120&gt;=Dashboard!$Q$3,A120&lt;=Dashboard!$Q$4,OR(J120&lt;&gt;"Yes",Dashboard!$Q$15="Yes")),P120,""),"")</f>
        <v/>
      </c>
    </row>
    <row r="121">
      <c r="A121" s="47" t="n"/>
      <c r="B121" s="48" t="n"/>
      <c r="C121" s="48" t="n"/>
      <c r="D121" s="48" t="n"/>
      <c r="E121" s="48" t="n"/>
      <c r="F121" s="48" t="n"/>
      <c r="G121" s="48" t="n"/>
      <c r="H121" s="48" t="n"/>
      <c r="I121" s="49" t="n"/>
      <c r="J121" s="50" t="n"/>
      <c r="K121" s="48" t="n"/>
      <c r="L121" s="51">
        <f>IF(A121="","",DATE(YEAR(A121),MONTH(A121),1))</f>
        <v/>
      </c>
      <c r="M121" s="52">
        <f>IF(OR(A121="",NOT(ISNUMBER(I121))),"",IF(G121=Lists!$B$5,I121/2,IF(G121=Lists!$B$6,I121,0)))</f>
        <v/>
      </c>
      <c r="N121" s="52">
        <f>IF(OR(A121="",NOT(ISNUMBER(I121))),"",IF(G121=Lists!$B$5,I121/2,IF(G121=Lists!$B$7,I121,0)))</f>
        <v/>
      </c>
      <c r="O121" s="53">
        <f>IF(COUNTA(A121:K121)=0,"",IF(OR(A121="",B121="",C121="",D121="",E121="",F121="",G121="",NOT(ISNUMBER(I121))),"Incomplete",IF(COUNTIF(Lists!$H$4:$AA$4,C121)=0,"Check category",IF(COUNTIF(INDEX(Lists!$H$6:$AA$45,0,MATCH(C121,Lists!$H$4:$AA$4,0)),D121)=0,"Check sub-category","OK"))))</f>
        <v/>
      </c>
      <c r="P121">
        <f>IF(ISNUMBER(I121),I121+ROW()/10000000,"")</f>
        <v/>
      </c>
      <c r="Q121">
        <f>IF(AND(ISNUMBER(P121),ISNUMBER(A121)),IF(AND(A121&gt;=Dashboard!$Q$3,A121&lt;=Dashboard!$Q$4,OR(J121&lt;&gt;"Yes",Dashboard!$Q$15="Yes")),P121,""),"")</f>
        <v/>
      </c>
    </row>
    <row r="122">
      <c r="A122" s="47" t="n"/>
      <c r="B122" s="48" t="n"/>
      <c r="C122" s="48" t="n"/>
      <c r="D122" s="48" t="n"/>
      <c r="E122" s="48" t="n"/>
      <c r="F122" s="48" t="n"/>
      <c r="G122" s="48" t="n"/>
      <c r="H122" s="48" t="n"/>
      <c r="I122" s="49" t="n"/>
      <c r="J122" s="50" t="n"/>
      <c r="K122" s="48" t="n"/>
      <c r="L122" s="51">
        <f>IF(A122="","",DATE(YEAR(A122),MONTH(A122),1))</f>
        <v/>
      </c>
      <c r="M122" s="52">
        <f>IF(OR(A122="",NOT(ISNUMBER(I122))),"",IF(G122=Lists!$B$5,I122/2,IF(G122=Lists!$B$6,I122,0)))</f>
        <v/>
      </c>
      <c r="N122" s="52">
        <f>IF(OR(A122="",NOT(ISNUMBER(I122))),"",IF(G122=Lists!$B$5,I122/2,IF(G122=Lists!$B$7,I122,0)))</f>
        <v/>
      </c>
      <c r="O122" s="53">
        <f>IF(COUNTA(A122:K122)=0,"",IF(OR(A122="",B122="",C122="",D122="",E122="",F122="",G122="",NOT(ISNUMBER(I122))),"Incomplete",IF(COUNTIF(Lists!$H$4:$AA$4,C122)=0,"Check category",IF(COUNTIF(INDEX(Lists!$H$6:$AA$45,0,MATCH(C122,Lists!$H$4:$AA$4,0)),D122)=0,"Check sub-category","OK"))))</f>
        <v/>
      </c>
      <c r="P122">
        <f>IF(ISNUMBER(I122),I122+ROW()/10000000,"")</f>
        <v/>
      </c>
      <c r="Q122">
        <f>IF(AND(ISNUMBER(P122),ISNUMBER(A122)),IF(AND(A122&gt;=Dashboard!$Q$3,A122&lt;=Dashboard!$Q$4,OR(J122&lt;&gt;"Yes",Dashboard!$Q$15="Yes")),P122,""),"")</f>
        <v/>
      </c>
    </row>
    <row r="123">
      <c r="A123" s="47" t="n"/>
      <c r="B123" s="48" t="n"/>
      <c r="C123" s="48" t="n"/>
      <c r="D123" s="48" t="n"/>
      <c r="E123" s="48" t="n"/>
      <c r="F123" s="48" t="n"/>
      <c r="G123" s="48" t="n"/>
      <c r="H123" s="48" t="n"/>
      <c r="I123" s="49" t="n"/>
      <c r="J123" s="50" t="n"/>
      <c r="K123" s="48" t="n"/>
      <c r="L123" s="51">
        <f>IF(A123="","",DATE(YEAR(A123),MONTH(A123),1))</f>
        <v/>
      </c>
      <c r="M123" s="52">
        <f>IF(OR(A123="",NOT(ISNUMBER(I123))),"",IF(G123=Lists!$B$5,I123/2,IF(G123=Lists!$B$6,I123,0)))</f>
        <v/>
      </c>
      <c r="N123" s="52">
        <f>IF(OR(A123="",NOT(ISNUMBER(I123))),"",IF(G123=Lists!$B$5,I123/2,IF(G123=Lists!$B$7,I123,0)))</f>
        <v/>
      </c>
      <c r="O123" s="53">
        <f>IF(COUNTA(A123:K123)=0,"",IF(OR(A123="",B123="",C123="",D123="",E123="",F123="",G123="",NOT(ISNUMBER(I123))),"Incomplete",IF(COUNTIF(Lists!$H$4:$AA$4,C123)=0,"Check category",IF(COUNTIF(INDEX(Lists!$H$6:$AA$45,0,MATCH(C123,Lists!$H$4:$AA$4,0)),D123)=0,"Check sub-category","OK"))))</f>
        <v/>
      </c>
      <c r="P123">
        <f>IF(ISNUMBER(I123),I123+ROW()/10000000,"")</f>
        <v/>
      </c>
      <c r="Q123">
        <f>IF(AND(ISNUMBER(P123),ISNUMBER(A123)),IF(AND(A123&gt;=Dashboard!$Q$3,A123&lt;=Dashboard!$Q$4,OR(J123&lt;&gt;"Yes",Dashboard!$Q$15="Yes")),P123,""),"")</f>
        <v/>
      </c>
    </row>
    <row r="124">
      <c r="A124" s="47" t="n"/>
      <c r="B124" s="48" t="n"/>
      <c r="C124" s="48" t="n"/>
      <c r="D124" s="48" t="n"/>
      <c r="E124" s="48" t="n"/>
      <c r="F124" s="48" t="n"/>
      <c r="G124" s="48" t="n"/>
      <c r="H124" s="48" t="n"/>
      <c r="I124" s="49" t="n"/>
      <c r="J124" s="50" t="n"/>
      <c r="K124" s="48" t="n"/>
      <c r="L124" s="51">
        <f>IF(A124="","",DATE(YEAR(A124),MONTH(A124),1))</f>
        <v/>
      </c>
      <c r="M124" s="52">
        <f>IF(OR(A124="",NOT(ISNUMBER(I124))),"",IF(G124=Lists!$B$5,I124/2,IF(G124=Lists!$B$6,I124,0)))</f>
        <v/>
      </c>
      <c r="N124" s="52">
        <f>IF(OR(A124="",NOT(ISNUMBER(I124))),"",IF(G124=Lists!$B$5,I124/2,IF(G124=Lists!$B$7,I124,0)))</f>
        <v/>
      </c>
      <c r="O124" s="53">
        <f>IF(COUNTA(A124:K124)=0,"",IF(OR(A124="",B124="",C124="",D124="",E124="",F124="",G124="",NOT(ISNUMBER(I124))),"Incomplete",IF(COUNTIF(Lists!$H$4:$AA$4,C124)=0,"Check category",IF(COUNTIF(INDEX(Lists!$H$6:$AA$45,0,MATCH(C124,Lists!$H$4:$AA$4,0)),D124)=0,"Check sub-category","OK"))))</f>
        <v/>
      </c>
      <c r="P124">
        <f>IF(ISNUMBER(I124),I124+ROW()/10000000,"")</f>
        <v/>
      </c>
      <c r="Q124">
        <f>IF(AND(ISNUMBER(P124),ISNUMBER(A124)),IF(AND(A124&gt;=Dashboard!$Q$3,A124&lt;=Dashboard!$Q$4,OR(J124&lt;&gt;"Yes",Dashboard!$Q$15="Yes")),P124,""),"")</f>
        <v/>
      </c>
    </row>
    <row r="125">
      <c r="A125" s="47" t="n"/>
      <c r="B125" s="48" t="n"/>
      <c r="C125" s="48" t="n"/>
      <c r="D125" s="48" t="n"/>
      <c r="E125" s="48" t="n"/>
      <c r="F125" s="48" t="n"/>
      <c r="G125" s="48" t="n"/>
      <c r="H125" s="48" t="n"/>
      <c r="I125" s="49" t="n"/>
      <c r="J125" s="50" t="n"/>
      <c r="K125" s="48" t="n"/>
      <c r="L125" s="51">
        <f>IF(A125="","",DATE(YEAR(A125),MONTH(A125),1))</f>
        <v/>
      </c>
      <c r="M125" s="52">
        <f>IF(OR(A125="",NOT(ISNUMBER(I125))),"",IF(G125=Lists!$B$5,I125/2,IF(G125=Lists!$B$6,I125,0)))</f>
        <v/>
      </c>
      <c r="N125" s="52">
        <f>IF(OR(A125="",NOT(ISNUMBER(I125))),"",IF(G125=Lists!$B$5,I125/2,IF(G125=Lists!$B$7,I125,0)))</f>
        <v/>
      </c>
      <c r="O125" s="53">
        <f>IF(COUNTA(A125:K125)=0,"",IF(OR(A125="",B125="",C125="",D125="",E125="",F125="",G125="",NOT(ISNUMBER(I125))),"Incomplete",IF(COUNTIF(Lists!$H$4:$AA$4,C125)=0,"Check category",IF(COUNTIF(INDEX(Lists!$H$6:$AA$45,0,MATCH(C125,Lists!$H$4:$AA$4,0)),D125)=0,"Check sub-category","OK"))))</f>
        <v/>
      </c>
      <c r="P125">
        <f>IF(ISNUMBER(I125),I125+ROW()/10000000,"")</f>
        <v/>
      </c>
      <c r="Q125">
        <f>IF(AND(ISNUMBER(P125),ISNUMBER(A125)),IF(AND(A125&gt;=Dashboard!$Q$3,A125&lt;=Dashboard!$Q$4,OR(J125&lt;&gt;"Yes",Dashboard!$Q$15="Yes")),P125,""),"")</f>
        <v/>
      </c>
    </row>
    <row r="126">
      <c r="A126" s="47" t="n"/>
      <c r="B126" s="48" t="n"/>
      <c r="C126" s="48" t="n"/>
      <c r="D126" s="48" t="n"/>
      <c r="E126" s="48" t="n"/>
      <c r="F126" s="48" t="n"/>
      <c r="G126" s="48" t="n"/>
      <c r="H126" s="48" t="n"/>
      <c r="I126" s="49" t="n"/>
      <c r="J126" s="50" t="n"/>
      <c r="K126" s="48" t="n"/>
      <c r="L126" s="51">
        <f>IF(A126="","",DATE(YEAR(A126),MONTH(A126),1))</f>
        <v/>
      </c>
      <c r="M126" s="52">
        <f>IF(OR(A126="",NOT(ISNUMBER(I126))),"",IF(G126=Lists!$B$5,I126/2,IF(G126=Lists!$B$6,I126,0)))</f>
        <v/>
      </c>
      <c r="N126" s="52">
        <f>IF(OR(A126="",NOT(ISNUMBER(I126))),"",IF(G126=Lists!$B$5,I126/2,IF(G126=Lists!$B$7,I126,0)))</f>
        <v/>
      </c>
      <c r="O126" s="53">
        <f>IF(COUNTA(A126:K126)=0,"",IF(OR(A126="",B126="",C126="",D126="",E126="",F126="",G126="",NOT(ISNUMBER(I126))),"Incomplete",IF(COUNTIF(Lists!$H$4:$AA$4,C126)=0,"Check category",IF(COUNTIF(INDEX(Lists!$H$6:$AA$45,0,MATCH(C126,Lists!$H$4:$AA$4,0)),D126)=0,"Check sub-category","OK"))))</f>
        <v/>
      </c>
      <c r="P126">
        <f>IF(ISNUMBER(I126),I126+ROW()/10000000,"")</f>
        <v/>
      </c>
      <c r="Q126">
        <f>IF(AND(ISNUMBER(P126),ISNUMBER(A126)),IF(AND(A126&gt;=Dashboard!$Q$3,A126&lt;=Dashboard!$Q$4,OR(J126&lt;&gt;"Yes",Dashboard!$Q$15="Yes")),P126,""),"")</f>
        <v/>
      </c>
    </row>
    <row r="127">
      <c r="A127" s="47" t="n"/>
      <c r="B127" s="48" t="n"/>
      <c r="C127" s="48" t="n"/>
      <c r="D127" s="48" t="n"/>
      <c r="E127" s="48" t="n"/>
      <c r="F127" s="48" t="n"/>
      <c r="G127" s="48" t="n"/>
      <c r="H127" s="48" t="n"/>
      <c r="I127" s="49" t="n"/>
      <c r="J127" s="50" t="n"/>
      <c r="K127" s="48" t="n"/>
      <c r="L127" s="51">
        <f>IF(A127="","",DATE(YEAR(A127),MONTH(A127),1))</f>
        <v/>
      </c>
      <c r="M127" s="52">
        <f>IF(OR(A127="",NOT(ISNUMBER(I127))),"",IF(G127=Lists!$B$5,I127/2,IF(G127=Lists!$B$6,I127,0)))</f>
        <v/>
      </c>
      <c r="N127" s="52">
        <f>IF(OR(A127="",NOT(ISNUMBER(I127))),"",IF(G127=Lists!$B$5,I127/2,IF(G127=Lists!$B$7,I127,0)))</f>
        <v/>
      </c>
      <c r="O127" s="53">
        <f>IF(COUNTA(A127:K127)=0,"",IF(OR(A127="",B127="",C127="",D127="",E127="",F127="",G127="",NOT(ISNUMBER(I127))),"Incomplete",IF(COUNTIF(Lists!$H$4:$AA$4,C127)=0,"Check category",IF(COUNTIF(INDEX(Lists!$H$6:$AA$45,0,MATCH(C127,Lists!$H$4:$AA$4,0)),D127)=0,"Check sub-category","OK"))))</f>
        <v/>
      </c>
      <c r="P127">
        <f>IF(ISNUMBER(I127),I127+ROW()/10000000,"")</f>
        <v/>
      </c>
      <c r="Q127">
        <f>IF(AND(ISNUMBER(P127),ISNUMBER(A127)),IF(AND(A127&gt;=Dashboard!$Q$3,A127&lt;=Dashboard!$Q$4,OR(J127&lt;&gt;"Yes",Dashboard!$Q$15="Yes")),P127,""),"")</f>
        <v/>
      </c>
    </row>
    <row r="128">
      <c r="A128" s="47" t="n"/>
      <c r="B128" s="48" t="n"/>
      <c r="C128" s="48" t="n"/>
      <c r="D128" s="48" t="n"/>
      <c r="E128" s="48" t="n"/>
      <c r="F128" s="48" t="n"/>
      <c r="G128" s="48" t="n"/>
      <c r="H128" s="48" t="n"/>
      <c r="I128" s="49" t="n"/>
      <c r="J128" s="50" t="n"/>
      <c r="K128" s="48" t="n"/>
      <c r="L128" s="51">
        <f>IF(A128="","",DATE(YEAR(A128),MONTH(A128),1))</f>
        <v/>
      </c>
      <c r="M128" s="52">
        <f>IF(OR(A128="",NOT(ISNUMBER(I128))),"",IF(G128=Lists!$B$5,I128/2,IF(G128=Lists!$B$6,I128,0)))</f>
        <v/>
      </c>
      <c r="N128" s="52">
        <f>IF(OR(A128="",NOT(ISNUMBER(I128))),"",IF(G128=Lists!$B$5,I128/2,IF(G128=Lists!$B$7,I128,0)))</f>
        <v/>
      </c>
      <c r="O128" s="53">
        <f>IF(COUNTA(A128:K128)=0,"",IF(OR(A128="",B128="",C128="",D128="",E128="",F128="",G128="",NOT(ISNUMBER(I128))),"Incomplete",IF(COUNTIF(Lists!$H$4:$AA$4,C128)=0,"Check category",IF(COUNTIF(INDEX(Lists!$H$6:$AA$45,0,MATCH(C128,Lists!$H$4:$AA$4,0)),D128)=0,"Check sub-category","OK"))))</f>
        <v/>
      </c>
      <c r="P128">
        <f>IF(ISNUMBER(I128),I128+ROW()/10000000,"")</f>
        <v/>
      </c>
      <c r="Q128">
        <f>IF(AND(ISNUMBER(P128),ISNUMBER(A128)),IF(AND(A128&gt;=Dashboard!$Q$3,A128&lt;=Dashboard!$Q$4,OR(J128&lt;&gt;"Yes",Dashboard!$Q$15="Yes")),P128,""),"")</f>
        <v/>
      </c>
    </row>
    <row r="129">
      <c r="A129" s="47" t="n"/>
      <c r="B129" s="48" t="n"/>
      <c r="C129" s="48" t="n"/>
      <c r="D129" s="48" t="n"/>
      <c r="E129" s="48" t="n"/>
      <c r="F129" s="48" t="n"/>
      <c r="G129" s="48" t="n"/>
      <c r="H129" s="48" t="n"/>
      <c r="I129" s="49" t="n"/>
      <c r="J129" s="50" t="n"/>
      <c r="K129" s="48" t="n"/>
      <c r="L129" s="51">
        <f>IF(A129="","",DATE(YEAR(A129),MONTH(A129),1))</f>
        <v/>
      </c>
      <c r="M129" s="52">
        <f>IF(OR(A129="",NOT(ISNUMBER(I129))),"",IF(G129=Lists!$B$5,I129/2,IF(G129=Lists!$B$6,I129,0)))</f>
        <v/>
      </c>
      <c r="N129" s="52">
        <f>IF(OR(A129="",NOT(ISNUMBER(I129))),"",IF(G129=Lists!$B$5,I129/2,IF(G129=Lists!$B$7,I129,0)))</f>
        <v/>
      </c>
      <c r="O129" s="53">
        <f>IF(COUNTA(A129:K129)=0,"",IF(OR(A129="",B129="",C129="",D129="",E129="",F129="",G129="",NOT(ISNUMBER(I129))),"Incomplete",IF(COUNTIF(Lists!$H$4:$AA$4,C129)=0,"Check category",IF(COUNTIF(INDEX(Lists!$H$6:$AA$45,0,MATCH(C129,Lists!$H$4:$AA$4,0)),D129)=0,"Check sub-category","OK"))))</f>
        <v/>
      </c>
      <c r="P129">
        <f>IF(ISNUMBER(I129),I129+ROW()/10000000,"")</f>
        <v/>
      </c>
      <c r="Q129">
        <f>IF(AND(ISNUMBER(P129),ISNUMBER(A129)),IF(AND(A129&gt;=Dashboard!$Q$3,A129&lt;=Dashboard!$Q$4,OR(J129&lt;&gt;"Yes",Dashboard!$Q$15="Yes")),P129,""),"")</f>
        <v/>
      </c>
    </row>
    <row r="130">
      <c r="A130" s="47" t="n"/>
      <c r="B130" s="48" t="n"/>
      <c r="C130" s="48" t="n"/>
      <c r="D130" s="48" t="n"/>
      <c r="E130" s="48" t="n"/>
      <c r="F130" s="48" t="n"/>
      <c r="G130" s="48" t="n"/>
      <c r="H130" s="48" t="n"/>
      <c r="I130" s="49" t="n"/>
      <c r="J130" s="50" t="n"/>
      <c r="K130" s="48" t="n"/>
      <c r="L130" s="51">
        <f>IF(A130="","",DATE(YEAR(A130),MONTH(A130),1))</f>
        <v/>
      </c>
      <c r="M130" s="52">
        <f>IF(OR(A130="",NOT(ISNUMBER(I130))),"",IF(G130=Lists!$B$5,I130/2,IF(G130=Lists!$B$6,I130,0)))</f>
        <v/>
      </c>
      <c r="N130" s="52">
        <f>IF(OR(A130="",NOT(ISNUMBER(I130))),"",IF(G130=Lists!$B$5,I130/2,IF(G130=Lists!$B$7,I130,0)))</f>
        <v/>
      </c>
      <c r="O130" s="53">
        <f>IF(COUNTA(A130:K130)=0,"",IF(OR(A130="",B130="",C130="",D130="",E130="",F130="",G130="",NOT(ISNUMBER(I130))),"Incomplete",IF(COUNTIF(Lists!$H$4:$AA$4,C130)=0,"Check category",IF(COUNTIF(INDEX(Lists!$H$6:$AA$45,0,MATCH(C130,Lists!$H$4:$AA$4,0)),D130)=0,"Check sub-category","OK"))))</f>
        <v/>
      </c>
      <c r="P130">
        <f>IF(ISNUMBER(I130),I130+ROW()/10000000,"")</f>
        <v/>
      </c>
      <c r="Q130">
        <f>IF(AND(ISNUMBER(P130),ISNUMBER(A130)),IF(AND(A130&gt;=Dashboard!$Q$3,A130&lt;=Dashboard!$Q$4,OR(J130&lt;&gt;"Yes",Dashboard!$Q$15="Yes")),P130,""),"")</f>
        <v/>
      </c>
    </row>
    <row r="131">
      <c r="A131" s="47" t="n"/>
      <c r="B131" s="48" t="n"/>
      <c r="C131" s="48" t="n"/>
      <c r="D131" s="48" t="n"/>
      <c r="E131" s="48" t="n"/>
      <c r="F131" s="48" t="n"/>
      <c r="G131" s="48" t="n"/>
      <c r="H131" s="48" t="n"/>
      <c r="I131" s="49" t="n"/>
      <c r="J131" s="50" t="n"/>
      <c r="K131" s="48" t="n"/>
      <c r="L131" s="51">
        <f>IF(A131="","",DATE(YEAR(A131),MONTH(A131),1))</f>
        <v/>
      </c>
      <c r="M131" s="52">
        <f>IF(OR(A131="",NOT(ISNUMBER(I131))),"",IF(G131=Lists!$B$5,I131/2,IF(G131=Lists!$B$6,I131,0)))</f>
        <v/>
      </c>
      <c r="N131" s="52">
        <f>IF(OR(A131="",NOT(ISNUMBER(I131))),"",IF(G131=Lists!$B$5,I131/2,IF(G131=Lists!$B$7,I131,0)))</f>
        <v/>
      </c>
      <c r="O131" s="53">
        <f>IF(COUNTA(A131:K131)=0,"",IF(OR(A131="",B131="",C131="",D131="",E131="",F131="",G131="",NOT(ISNUMBER(I131))),"Incomplete",IF(COUNTIF(Lists!$H$4:$AA$4,C131)=0,"Check category",IF(COUNTIF(INDEX(Lists!$H$6:$AA$45,0,MATCH(C131,Lists!$H$4:$AA$4,0)),D131)=0,"Check sub-category","OK"))))</f>
        <v/>
      </c>
      <c r="P131">
        <f>IF(ISNUMBER(I131),I131+ROW()/10000000,"")</f>
        <v/>
      </c>
      <c r="Q131">
        <f>IF(AND(ISNUMBER(P131),ISNUMBER(A131)),IF(AND(A131&gt;=Dashboard!$Q$3,A131&lt;=Dashboard!$Q$4,OR(J131&lt;&gt;"Yes",Dashboard!$Q$15="Yes")),P131,""),"")</f>
        <v/>
      </c>
    </row>
    <row r="132">
      <c r="A132" s="47" t="n"/>
      <c r="B132" s="48" t="n"/>
      <c r="C132" s="48" t="n"/>
      <c r="D132" s="48" t="n"/>
      <c r="E132" s="48" t="n"/>
      <c r="F132" s="48" t="n"/>
      <c r="G132" s="48" t="n"/>
      <c r="H132" s="48" t="n"/>
      <c r="I132" s="49" t="n"/>
      <c r="J132" s="50" t="n"/>
      <c r="K132" s="48" t="n"/>
      <c r="L132" s="51">
        <f>IF(A132="","",DATE(YEAR(A132),MONTH(A132),1))</f>
        <v/>
      </c>
      <c r="M132" s="52">
        <f>IF(OR(A132="",NOT(ISNUMBER(I132))),"",IF(G132=Lists!$B$5,I132/2,IF(G132=Lists!$B$6,I132,0)))</f>
        <v/>
      </c>
      <c r="N132" s="52">
        <f>IF(OR(A132="",NOT(ISNUMBER(I132))),"",IF(G132=Lists!$B$5,I132/2,IF(G132=Lists!$B$7,I132,0)))</f>
        <v/>
      </c>
      <c r="O132" s="53">
        <f>IF(COUNTA(A132:K132)=0,"",IF(OR(A132="",B132="",C132="",D132="",E132="",F132="",G132="",NOT(ISNUMBER(I132))),"Incomplete",IF(COUNTIF(Lists!$H$4:$AA$4,C132)=0,"Check category",IF(COUNTIF(INDEX(Lists!$H$6:$AA$45,0,MATCH(C132,Lists!$H$4:$AA$4,0)),D132)=0,"Check sub-category","OK"))))</f>
        <v/>
      </c>
      <c r="P132">
        <f>IF(ISNUMBER(I132),I132+ROW()/10000000,"")</f>
        <v/>
      </c>
      <c r="Q132">
        <f>IF(AND(ISNUMBER(P132),ISNUMBER(A132)),IF(AND(A132&gt;=Dashboard!$Q$3,A132&lt;=Dashboard!$Q$4,OR(J132&lt;&gt;"Yes",Dashboard!$Q$15="Yes")),P132,""),"")</f>
        <v/>
      </c>
    </row>
    <row r="133">
      <c r="A133" s="47" t="n"/>
      <c r="B133" s="48" t="n"/>
      <c r="C133" s="48" t="n"/>
      <c r="D133" s="48" t="n"/>
      <c r="E133" s="48" t="n"/>
      <c r="F133" s="48" t="n"/>
      <c r="G133" s="48" t="n"/>
      <c r="H133" s="48" t="n"/>
      <c r="I133" s="49" t="n"/>
      <c r="J133" s="50" t="n"/>
      <c r="K133" s="48" t="n"/>
      <c r="L133" s="51">
        <f>IF(A133="","",DATE(YEAR(A133),MONTH(A133),1))</f>
        <v/>
      </c>
      <c r="M133" s="52">
        <f>IF(OR(A133="",NOT(ISNUMBER(I133))),"",IF(G133=Lists!$B$5,I133/2,IF(G133=Lists!$B$6,I133,0)))</f>
        <v/>
      </c>
      <c r="N133" s="52">
        <f>IF(OR(A133="",NOT(ISNUMBER(I133))),"",IF(G133=Lists!$B$5,I133/2,IF(G133=Lists!$B$7,I133,0)))</f>
        <v/>
      </c>
      <c r="O133" s="53">
        <f>IF(COUNTA(A133:K133)=0,"",IF(OR(A133="",B133="",C133="",D133="",E133="",F133="",G133="",NOT(ISNUMBER(I133))),"Incomplete",IF(COUNTIF(Lists!$H$4:$AA$4,C133)=0,"Check category",IF(COUNTIF(INDEX(Lists!$H$6:$AA$45,0,MATCH(C133,Lists!$H$4:$AA$4,0)),D133)=0,"Check sub-category","OK"))))</f>
        <v/>
      </c>
      <c r="P133">
        <f>IF(ISNUMBER(I133),I133+ROW()/10000000,"")</f>
        <v/>
      </c>
      <c r="Q133">
        <f>IF(AND(ISNUMBER(P133),ISNUMBER(A133)),IF(AND(A133&gt;=Dashboard!$Q$3,A133&lt;=Dashboard!$Q$4,OR(J133&lt;&gt;"Yes",Dashboard!$Q$15="Yes")),P133,""),"")</f>
        <v/>
      </c>
    </row>
    <row r="134">
      <c r="A134" s="47" t="n"/>
      <c r="B134" s="48" t="n"/>
      <c r="C134" s="48" t="n"/>
      <c r="D134" s="48" t="n"/>
      <c r="E134" s="48" t="n"/>
      <c r="F134" s="48" t="n"/>
      <c r="G134" s="48" t="n"/>
      <c r="H134" s="48" t="n"/>
      <c r="I134" s="49" t="n"/>
      <c r="J134" s="50" t="n"/>
      <c r="K134" s="48" t="n"/>
      <c r="L134" s="51">
        <f>IF(A134="","",DATE(YEAR(A134),MONTH(A134),1))</f>
        <v/>
      </c>
      <c r="M134" s="52">
        <f>IF(OR(A134="",NOT(ISNUMBER(I134))),"",IF(G134=Lists!$B$5,I134/2,IF(G134=Lists!$B$6,I134,0)))</f>
        <v/>
      </c>
      <c r="N134" s="52">
        <f>IF(OR(A134="",NOT(ISNUMBER(I134))),"",IF(G134=Lists!$B$5,I134/2,IF(G134=Lists!$B$7,I134,0)))</f>
        <v/>
      </c>
      <c r="O134" s="53">
        <f>IF(COUNTA(A134:K134)=0,"",IF(OR(A134="",B134="",C134="",D134="",E134="",F134="",G134="",NOT(ISNUMBER(I134))),"Incomplete",IF(COUNTIF(Lists!$H$4:$AA$4,C134)=0,"Check category",IF(COUNTIF(INDEX(Lists!$H$6:$AA$45,0,MATCH(C134,Lists!$H$4:$AA$4,0)),D134)=0,"Check sub-category","OK"))))</f>
        <v/>
      </c>
      <c r="P134">
        <f>IF(ISNUMBER(I134),I134+ROW()/10000000,"")</f>
        <v/>
      </c>
      <c r="Q134">
        <f>IF(AND(ISNUMBER(P134),ISNUMBER(A134)),IF(AND(A134&gt;=Dashboard!$Q$3,A134&lt;=Dashboard!$Q$4,OR(J134&lt;&gt;"Yes",Dashboard!$Q$15="Yes")),P134,""),"")</f>
        <v/>
      </c>
    </row>
    <row r="135">
      <c r="A135" s="47" t="n"/>
      <c r="B135" s="48" t="n"/>
      <c r="C135" s="48" t="n"/>
      <c r="D135" s="48" t="n"/>
      <c r="E135" s="48" t="n"/>
      <c r="F135" s="48" t="n"/>
      <c r="G135" s="48" t="n"/>
      <c r="H135" s="48" t="n"/>
      <c r="I135" s="49" t="n"/>
      <c r="J135" s="50" t="n"/>
      <c r="K135" s="48" t="n"/>
      <c r="L135" s="51">
        <f>IF(A135="","",DATE(YEAR(A135),MONTH(A135),1))</f>
        <v/>
      </c>
      <c r="M135" s="52">
        <f>IF(OR(A135="",NOT(ISNUMBER(I135))),"",IF(G135=Lists!$B$5,I135/2,IF(G135=Lists!$B$6,I135,0)))</f>
        <v/>
      </c>
      <c r="N135" s="52">
        <f>IF(OR(A135="",NOT(ISNUMBER(I135))),"",IF(G135=Lists!$B$5,I135/2,IF(G135=Lists!$B$7,I135,0)))</f>
        <v/>
      </c>
      <c r="O135" s="53">
        <f>IF(COUNTA(A135:K135)=0,"",IF(OR(A135="",B135="",C135="",D135="",E135="",F135="",G135="",NOT(ISNUMBER(I135))),"Incomplete",IF(COUNTIF(Lists!$H$4:$AA$4,C135)=0,"Check category",IF(COUNTIF(INDEX(Lists!$H$6:$AA$45,0,MATCH(C135,Lists!$H$4:$AA$4,0)),D135)=0,"Check sub-category","OK"))))</f>
        <v/>
      </c>
      <c r="P135">
        <f>IF(ISNUMBER(I135),I135+ROW()/10000000,"")</f>
        <v/>
      </c>
      <c r="Q135">
        <f>IF(AND(ISNUMBER(P135),ISNUMBER(A135)),IF(AND(A135&gt;=Dashboard!$Q$3,A135&lt;=Dashboard!$Q$4,OR(J135&lt;&gt;"Yes",Dashboard!$Q$15="Yes")),P135,""),"")</f>
        <v/>
      </c>
    </row>
    <row r="136">
      <c r="A136" s="47" t="n"/>
      <c r="B136" s="48" t="n"/>
      <c r="C136" s="48" t="n"/>
      <c r="D136" s="48" t="n"/>
      <c r="E136" s="48" t="n"/>
      <c r="F136" s="48" t="n"/>
      <c r="G136" s="48" t="n"/>
      <c r="H136" s="48" t="n"/>
      <c r="I136" s="49" t="n"/>
      <c r="J136" s="50" t="n"/>
      <c r="K136" s="48" t="n"/>
      <c r="L136" s="51">
        <f>IF(A136="","",DATE(YEAR(A136),MONTH(A136),1))</f>
        <v/>
      </c>
      <c r="M136" s="52">
        <f>IF(OR(A136="",NOT(ISNUMBER(I136))),"",IF(G136=Lists!$B$5,I136/2,IF(G136=Lists!$B$6,I136,0)))</f>
        <v/>
      </c>
      <c r="N136" s="52">
        <f>IF(OR(A136="",NOT(ISNUMBER(I136))),"",IF(G136=Lists!$B$5,I136/2,IF(G136=Lists!$B$7,I136,0)))</f>
        <v/>
      </c>
      <c r="O136" s="53">
        <f>IF(COUNTA(A136:K136)=0,"",IF(OR(A136="",B136="",C136="",D136="",E136="",F136="",G136="",NOT(ISNUMBER(I136))),"Incomplete",IF(COUNTIF(Lists!$H$4:$AA$4,C136)=0,"Check category",IF(COUNTIF(INDEX(Lists!$H$6:$AA$45,0,MATCH(C136,Lists!$H$4:$AA$4,0)),D136)=0,"Check sub-category","OK"))))</f>
        <v/>
      </c>
      <c r="P136">
        <f>IF(ISNUMBER(I136),I136+ROW()/10000000,"")</f>
        <v/>
      </c>
      <c r="Q136">
        <f>IF(AND(ISNUMBER(P136),ISNUMBER(A136)),IF(AND(A136&gt;=Dashboard!$Q$3,A136&lt;=Dashboard!$Q$4,OR(J136&lt;&gt;"Yes",Dashboard!$Q$15="Yes")),P136,""),"")</f>
        <v/>
      </c>
    </row>
    <row r="137">
      <c r="A137" s="47" t="n"/>
      <c r="B137" s="48" t="n"/>
      <c r="C137" s="48" t="n"/>
      <c r="D137" s="48" t="n"/>
      <c r="E137" s="48" t="n"/>
      <c r="F137" s="48" t="n"/>
      <c r="G137" s="48" t="n"/>
      <c r="H137" s="48" t="n"/>
      <c r="I137" s="49" t="n"/>
      <c r="J137" s="50" t="n"/>
      <c r="K137" s="48" t="n"/>
      <c r="L137" s="51">
        <f>IF(A137="","",DATE(YEAR(A137),MONTH(A137),1))</f>
        <v/>
      </c>
      <c r="M137" s="52">
        <f>IF(OR(A137="",NOT(ISNUMBER(I137))),"",IF(G137=Lists!$B$5,I137/2,IF(G137=Lists!$B$6,I137,0)))</f>
        <v/>
      </c>
      <c r="N137" s="52">
        <f>IF(OR(A137="",NOT(ISNUMBER(I137))),"",IF(G137=Lists!$B$5,I137/2,IF(G137=Lists!$B$7,I137,0)))</f>
        <v/>
      </c>
      <c r="O137" s="53">
        <f>IF(COUNTA(A137:K137)=0,"",IF(OR(A137="",B137="",C137="",D137="",E137="",F137="",G137="",NOT(ISNUMBER(I137))),"Incomplete",IF(COUNTIF(Lists!$H$4:$AA$4,C137)=0,"Check category",IF(COUNTIF(INDEX(Lists!$H$6:$AA$45,0,MATCH(C137,Lists!$H$4:$AA$4,0)),D137)=0,"Check sub-category","OK"))))</f>
        <v/>
      </c>
      <c r="P137">
        <f>IF(ISNUMBER(I137),I137+ROW()/10000000,"")</f>
        <v/>
      </c>
      <c r="Q137">
        <f>IF(AND(ISNUMBER(P137),ISNUMBER(A137)),IF(AND(A137&gt;=Dashboard!$Q$3,A137&lt;=Dashboard!$Q$4,OR(J137&lt;&gt;"Yes",Dashboard!$Q$15="Yes")),P137,""),"")</f>
        <v/>
      </c>
    </row>
    <row r="138">
      <c r="A138" s="47" t="n"/>
      <c r="B138" s="48" t="n"/>
      <c r="C138" s="48" t="n"/>
      <c r="D138" s="48" t="n"/>
      <c r="E138" s="48" t="n"/>
      <c r="F138" s="48" t="n"/>
      <c r="G138" s="48" t="n"/>
      <c r="H138" s="48" t="n"/>
      <c r="I138" s="49" t="n"/>
      <c r="J138" s="50" t="n"/>
      <c r="K138" s="48" t="n"/>
      <c r="L138" s="51">
        <f>IF(A138="","",DATE(YEAR(A138),MONTH(A138),1))</f>
        <v/>
      </c>
      <c r="M138" s="52">
        <f>IF(OR(A138="",NOT(ISNUMBER(I138))),"",IF(G138=Lists!$B$5,I138/2,IF(G138=Lists!$B$6,I138,0)))</f>
        <v/>
      </c>
      <c r="N138" s="52">
        <f>IF(OR(A138="",NOT(ISNUMBER(I138))),"",IF(G138=Lists!$B$5,I138/2,IF(G138=Lists!$B$7,I138,0)))</f>
        <v/>
      </c>
      <c r="O138" s="53">
        <f>IF(COUNTA(A138:K138)=0,"",IF(OR(A138="",B138="",C138="",D138="",E138="",F138="",G138="",NOT(ISNUMBER(I138))),"Incomplete",IF(COUNTIF(Lists!$H$4:$AA$4,C138)=0,"Check category",IF(COUNTIF(INDEX(Lists!$H$6:$AA$45,0,MATCH(C138,Lists!$H$4:$AA$4,0)),D138)=0,"Check sub-category","OK"))))</f>
        <v/>
      </c>
      <c r="P138">
        <f>IF(ISNUMBER(I138),I138+ROW()/10000000,"")</f>
        <v/>
      </c>
      <c r="Q138">
        <f>IF(AND(ISNUMBER(P138),ISNUMBER(A138)),IF(AND(A138&gt;=Dashboard!$Q$3,A138&lt;=Dashboard!$Q$4,OR(J138&lt;&gt;"Yes",Dashboard!$Q$15="Yes")),P138,""),"")</f>
        <v/>
      </c>
    </row>
    <row r="139">
      <c r="A139" s="47" t="n"/>
      <c r="B139" s="48" t="n"/>
      <c r="C139" s="48" t="n"/>
      <c r="D139" s="48" t="n"/>
      <c r="E139" s="48" t="n"/>
      <c r="F139" s="48" t="n"/>
      <c r="G139" s="48" t="n"/>
      <c r="H139" s="48" t="n"/>
      <c r="I139" s="49" t="n"/>
      <c r="J139" s="50" t="n"/>
      <c r="K139" s="48" t="n"/>
      <c r="L139" s="51">
        <f>IF(A139="","",DATE(YEAR(A139),MONTH(A139),1))</f>
        <v/>
      </c>
      <c r="M139" s="52">
        <f>IF(OR(A139="",NOT(ISNUMBER(I139))),"",IF(G139=Lists!$B$5,I139/2,IF(G139=Lists!$B$6,I139,0)))</f>
        <v/>
      </c>
      <c r="N139" s="52">
        <f>IF(OR(A139="",NOT(ISNUMBER(I139))),"",IF(G139=Lists!$B$5,I139/2,IF(G139=Lists!$B$7,I139,0)))</f>
        <v/>
      </c>
      <c r="O139" s="53">
        <f>IF(COUNTA(A139:K139)=0,"",IF(OR(A139="",B139="",C139="",D139="",E139="",F139="",G139="",NOT(ISNUMBER(I139))),"Incomplete",IF(COUNTIF(Lists!$H$4:$AA$4,C139)=0,"Check category",IF(COUNTIF(INDEX(Lists!$H$6:$AA$45,0,MATCH(C139,Lists!$H$4:$AA$4,0)),D139)=0,"Check sub-category","OK"))))</f>
        <v/>
      </c>
      <c r="P139">
        <f>IF(ISNUMBER(I139),I139+ROW()/10000000,"")</f>
        <v/>
      </c>
      <c r="Q139">
        <f>IF(AND(ISNUMBER(P139),ISNUMBER(A139)),IF(AND(A139&gt;=Dashboard!$Q$3,A139&lt;=Dashboard!$Q$4,OR(J139&lt;&gt;"Yes",Dashboard!$Q$15="Yes")),P139,""),"")</f>
        <v/>
      </c>
    </row>
    <row r="140">
      <c r="A140" s="47" t="n"/>
      <c r="B140" s="48" t="n"/>
      <c r="C140" s="48" t="n"/>
      <c r="D140" s="48" t="n"/>
      <c r="E140" s="48" t="n"/>
      <c r="F140" s="48" t="n"/>
      <c r="G140" s="48" t="n"/>
      <c r="H140" s="48" t="n"/>
      <c r="I140" s="49" t="n"/>
      <c r="J140" s="50" t="n"/>
      <c r="K140" s="48" t="n"/>
      <c r="L140" s="51">
        <f>IF(A140="","",DATE(YEAR(A140),MONTH(A140),1))</f>
        <v/>
      </c>
      <c r="M140" s="52">
        <f>IF(OR(A140="",NOT(ISNUMBER(I140))),"",IF(G140=Lists!$B$5,I140/2,IF(G140=Lists!$B$6,I140,0)))</f>
        <v/>
      </c>
      <c r="N140" s="52">
        <f>IF(OR(A140="",NOT(ISNUMBER(I140))),"",IF(G140=Lists!$B$5,I140/2,IF(G140=Lists!$B$7,I140,0)))</f>
        <v/>
      </c>
      <c r="O140" s="53">
        <f>IF(COUNTA(A140:K140)=0,"",IF(OR(A140="",B140="",C140="",D140="",E140="",F140="",G140="",NOT(ISNUMBER(I140))),"Incomplete",IF(COUNTIF(Lists!$H$4:$AA$4,C140)=0,"Check category",IF(COUNTIF(INDEX(Lists!$H$6:$AA$45,0,MATCH(C140,Lists!$H$4:$AA$4,0)),D140)=0,"Check sub-category","OK"))))</f>
        <v/>
      </c>
      <c r="P140">
        <f>IF(ISNUMBER(I140),I140+ROW()/10000000,"")</f>
        <v/>
      </c>
      <c r="Q140">
        <f>IF(AND(ISNUMBER(P140),ISNUMBER(A140)),IF(AND(A140&gt;=Dashboard!$Q$3,A140&lt;=Dashboard!$Q$4,OR(J140&lt;&gt;"Yes",Dashboard!$Q$15="Yes")),P140,""),"")</f>
        <v/>
      </c>
    </row>
    <row r="141">
      <c r="A141" s="47" t="n"/>
      <c r="B141" s="48" t="n"/>
      <c r="C141" s="48" t="n"/>
      <c r="D141" s="48" t="n"/>
      <c r="E141" s="48" t="n"/>
      <c r="F141" s="48" t="n"/>
      <c r="G141" s="48" t="n"/>
      <c r="H141" s="48" t="n"/>
      <c r="I141" s="49" t="n"/>
      <c r="J141" s="50" t="n"/>
      <c r="K141" s="48" t="n"/>
      <c r="L141" s="51">
        <f>IF(A141="","",DATE(YEAR(A141),MONTH(A141),1))</f>
        <v/>
      </c>
      <c r="M141" s="52">
        <f>IF(OR(A141="",NOT(ISNUMBER(I141))),"",IF(G141=Lists!$B$5,I141/2,IF(G141=Lists!$B$6,I141,0)))</f>
        <v/>
      </c>
      <c r="N141" s="52">
        <f>IF(OR(A141="",NOT(ISNUMBER(I141))),"",IF(G141=Lists!$B$5,I141/2,IF(G141=Lists!$B$7,I141,0)))</f>
        <v/>
      </c>
      <c r="O141" s="53">
        <f>IF(COUNTA(A141:K141)=0,"",IF(OR(A141="",B141="",C141="",D141="",E141="",F141="",G141="",NOT(ISNUMBER(I141))),"Incomplete",IF(COUNTIF(Lists!$H$4:$AA$4,C141)=0,"Check category",IF(COUNTIF(INDEX(Lists!$H$6:$AA$45,0,MATCH(C141,Lists!$H$4:$AA$4,0)),D141)=0,"Check sub-category","OK"))))</f>
        <v/>
      </c>
      <c r="P141">
        <f>IF(ISNUMBER(I141),I141+ROW()/10000000,"")</f>
        <v/>
      </c>
      <c r="Q141">
        <f>IF(AND(ISNUMBER(P141),ISNUMBER(A141)),IF(AND(A141&gt;=Dashboard!$Q$3,A141&lt;=Dashboard!$Q$4,OR(J141&lt;&gt;"Yes",Dashboard!$Q$15="Yes")),P141,""),"")</f>
        <v/>
      </c>
    </row>
    <row r="142">
      <c r="A142" s="47" t="n"/>
      <c r="B142" s="48" t="n"/>
      <c r="C142" s="48" t="n"/>
      <c r="D142" s="48" t="n"/>
      <c r="E142" s="48" t="n"/>
      <c r="F142" s="48" t="n"/>
      <c r="G142" s="48" t="n"/>
      <c r="H142" s="48" t="n"/>
      <c r="I142" s="49" t="n"/>
      <c r="J142" s="50" t="n"/>
      <c r="K142" s="48" t="n"/>
      <c r="L142" s="51">
        <f>IF(A142="","",DATE(YEAR(A142),MONTH(A142),1))</f>
        <v/>
      </c>
      <c r="M142" s="52">
        <f>IF(OR(A142="",NOT(ISNUMBER(I142))),"",IF(G142=Lists!$B$5,I142/2,IF(G142=Lists!$B$6,I142,0)))</f>
        <v/>
      </c>
      <c r="N142" s="52">
        <f>IF(OR(A142="",NOT(ISNUMBER(I142))),"",IF(G142=Lists!$B$5,I142/2,IF(G142=Lists!$B$7,I142,0)))</f>
        <v/>
      </c>
      <c r="O142" s="53">
        <f>IF(COUNTA(A142:K142)=0,"",IF(OR(A142="",B142="",C142="",D142="",E142="",F142="",G142="",NOT(ISNUMBER(I142))),"Incomplete",IF(COUNTIF(Lists!$H$4:$AA$4,C142)=0,"Check category",IF(COUNTIF(INDEX(Lists!$H$6:$AA$45,0,MATCH(C142,Lists!$H$4:$AA$4,0)),D142)=0,"Check sub-category","OK"))))</f>
        <v/>
      </c>
      <c r="P142">
        <f>IF(ISNUMBER(I142),I142+ROW()/10000000,"")</f>
        <v/>
      </c>
      <c r="Q142">
        <f>IF(AND(ISNUMBER(P142),ISNUMBER(A142)),IF(AND(A142&gt;=Dashboard!$Q$3,A142&lt;=Dashboard!$Q$4,OR(J142&lt;&gt;"Yes",Dashboard!$Q$15="Yes")),P142,""),"")</f>
        <v/>
      </c>
    </row>
    <row r="143">
      <c r="A143" s="47" t="n"/>
      <c r="B143" s="48" t="n"/>
      <c r="C143" s="48" t="n"/>
      <c r="D143" s="48" t="n"/>
      <c r="E143" s="48" t="n"/>
      <c r="F143" s="48" t="n"/>
      <c r="G143" s="48" t="n"/>
      <c r="H143" s="48" t="n"/>
      <c r="I143" s="49" t="n"/>
      <c r="J143" s="50" t="n"/>
      <c r="K143" s="48" t="n"/>
      <c r="L143" s="51">
        <f>IF(A143="","",DATE(YEAR(A143),MONTH(A143),1))</f>
        <v/>
      </c>
      <c r="M143" s="52">
        <f>IF(OR(A143="",NOT(ISNUMBER(I143))),"",IF(G143=Lists!$B$5,I143/2,IF(G143=Lists!$B$6,I143,0)))</f>
        <v/>
      </c>
      <c r="N143" s="52">
        <f>IF(OR(A143="",NOT(ISNUMBER(I143))),"",IF(G143=Lists!$B$5,I143/2,IF(G143=Lists!$B$7,I143,0)))</f>
        <v/>
      </c>
      <c r="O143" s="53">
        <f>IF(COUNTA(A143:K143)=0,"",IF(OR(A143="",B143="",C143="",D143="",E143="",F143="",G143="",NOT(ISNUMBER(I143))),"Incomplete",IF(COUNTIF(Lists!$H$4:$AA$4,C143)=0,"Check category",IF(COUNTIF(INDEX(Lists!$H$6:$AA$45,0,MATCH(C143,Lists!$H$4:$AA$4,0)),D143)=0,"Check sub-category","OK"))))</f>
        <v/>
      </c>
      <c r="P143">
        <f>IF(ISNUMBER(I143),I143+ROW()/10000000,"")</f>
        <v/>
      </c>
      <c r="Q143">
        <f>IF(AND(ISNUMBER(P143),ISNUMBER(A143)),IF(AND(A143&gt;=Dashboard!$Q$3,A143&lt;=Dashboard!$Q$4,OR(J143&lt;&gt;"Yes",Dashboard!$Q$15="Yes")),P143,""),"")</f>
        <v/>
      </c>
    </row>
    <row r="144">
      <c r="A144" s="47" t="n"/>
      <c r="B144" s="48" t="n"/>
      <c r="C144" s="48" t="n"/>
      <c r="D144" s="48" t="n"/>
      <c r="E144" s="48" t="n"/>
      <c r="F144" s="48" t="n"/>
      <c r="G144" s="48" t="n"/>
      <c r="H144" s="48" t="n"/>
      <c r="I144" s="49" t="n"/>
      <c r="J144" s="50" t="n"/>
      <c r="K144" s="48" t="n"/>
      <c r="L144" s="51">
        <f>IF(A144="","",DATE(YEAR(A144),MONTH(A144),1))</f>
        <v/>
      </c>
      <c r="M144" s="52">
        <f>IF(OR(A144="",NOT(ISNUMBER(I144))),"",IF(G144=Lists!$B$5,I144/2,IF(G144=Lists!$B$6,I144,0)))</f>
        <v/>
      </c>
      <c r="N144" s="52">
        <f>IF(OR(A144="",NOT(ISNUMBER(I144))),"",IF(G144=Lists!$B$5,I144/2,IF(G144=Lists!$B$7,I144,0)))</f>
        <v/>
      </c>
      <c r="O144" s="53">
        <f>IF(COUNTA(A144:K144)=0,"",IF(OR(A144="",B144="",C144="",D144="",E144="",F144="",G144="",NOT(ISNUMBER(I144))),"Incomplete",IF(COUNTIF(Lists!$H$4:$AA$4,C144)=0,"Check category",IF(COUNTIF(INDEX(Lists!$H$6:$AA$45,0,MATCH(C144,Lists!$H$4:$AA$4,0)),D144)=0,"Check sub-category","OK"))))</f>
        <v/>
      </c>
      <c r="P144">
        <f>IF(ISNUMBER(I144),I144+ROW()/10000000,"")</f>
        <v/>
      </c>
      <c r="Q144">
        <f>IF(AND(ISNUMBER(P144),ISNUMBER(A144)),IF(AND(A144&gt;=Dashboard!$Q$3,A144&lt;=Dashboard!$Q$4,OR(J144&lt;&gt;"Yes",Dashboard!$Q$15="Yes")),P144,""),"")</f>
        <v/>
      </c>
    </row>
    <row r="145">
      <c r="A145" s="47" t="n"/>
      <c r="B145" s="48" t="n"/>
      <c r="C145" s="48" t="n"/>
      <c r="D145" s="48" t="n"/>
      <c r="E145" s="48" t="n"/>
      <c r="F145" s="48" t="n"/>
      <c r="G145" s="48" t="n"/>
      <c r="H145" s="48" t="n"/>
      <c r="I145" s="49" t="n"/>
      <c r="J145" s="50" t="n"/>
      <c r="K145" s="48" t="n"/>
      <c r="L145" s="51">
        <f>IF(A145="","",DATE(YEAR(A145),MONTH(A145),1))</f>
        <v/>
      </c>
      <c r="M145" s="52">
        <f>IF(OR(A145="",NOT(ISNUMBER(I145))),"",IF(G145=Lists!$B$5,I145/2,IF(G145=Lists!$B$6,I145,0)))</f>
        <v/>
      </c>
      <c r="N145" s="52">
        <f>IF(OR(A145="",NOT(ISNUMBER(I145))),"",IF(G145=Lists!$B$5,I145/2,IF(G145=Lists!$B$7,I145,0)))</f>
        <v/>
      </c>
      <c r="O145" s="53">
        <f>IF(COUNTA(A145:K145)=0,"",IF(OR(A145="",B145="",C145="",D145="",E145="",F145="",G145="",NOT(ISNUMBER(I145))),"Incomplete",IF(COUNTIF(Lists!$H$4:$AA$4,C145)=0,"Check category",IF(COUNTIF(INDEX(Lists!$H$6:$AA$45,0,MATCH(C145,Lists!$H$4:$AA$4,0)),D145)=0,"Check sub-category","OK"))))</f>
        <v/>
      </c>
      <c r="P145">
        <f>IF(ISNUMBER(I145),I145+ROW()/10000000,"")</f>
        <v/>
      </c>
      <c r="Q145">
        <f>IF(AND(ISNUMBER(P145),ISNUMBER(A145)),IF(AND(A145&gt;=Dashboard!$Q$3,A145&lt;=Dashboard!$Q$4,OR(J145&lt;&gt;"Yes",Dashboard!$Q$15="Yes")),P145,""),"")</f>
        <v/>
      </c>
    </row>
    <row r="146">
      <c r="A146" s="47" t="n"/>
      <c r="B146" s="48" t="n"/>
      <c r="C146" s="48" t="n"/>
      <c r="D146" s="48" t="n"/>
      <c r="E146" s="48" t="n"/>
      <c r="F146" s="48" t="n"/>
      <c r="G146" s="48" t="n"/>
      <c r="H146" s="48" t="n"/>
      <c r="I146" s="49" t="n"/>
      <c r="J146" s="50" t="n"/>
      <c r="K146" s="48" t="n"/>
      <c r="L146" s="51">
        <f>IF(A146="","",DATE(YEAR(A146),MONTH(A146),1))</f>
        <v/>
      </c>
      <c r="M146" s="52">
        <f>IF(OR(A146="",NOT(ISNUMBER(I146))),"",IF(G146=Lists!$B$5,I146/2,IF(G146=Lists!$B$6,I146,0)))</f>
        <v/>
      </c>
      <c r="N146" s="52">
        <f>IF(OR(A146="",NOT(ISNUMBER(I146))),"",IF(G146=Lists!$B$5,I146/2,IF(G146=Lists!$B$7,I146,0)))</f>
        <v/>
      </c>
      <c r="O146" s="53">
        <f>IF(COUNTA(A146:K146)=0,"",IF(OR(A146="",B146="",C146="",D146="",E146="",F146="",G146="",NOT(ISNUMBER(I146))),"Incomplete",IF(COUNTIF(Lists!$H$4:$AA$4,C146)=0,"Check category",IF(COUNTIF(INDEX(Lists!$H$6:$AA$45,0,MATCH(C146,Lists!$H$4:$AA$4,0)),D146)=0,"Check sub-category","OK"))))</f>
        <v/>
      </c>
      <c r="P146">
        <f>IF(ISNUMBER(I146),I146+ROW()/10000000,"")</f>
        <v/>
      </c>
      <c r="Q146">
        <f>IF(AND(ISNUMBER(P146),ISNUMBER(A146)),IF(AND(A146&gt;=Dashboard!$Q$3,A146&lt;=Dashboard!$Q$4,OR(J146&lt;&gt;"Yes",Dashboard!$Q$15="Yes")),P146,""),"")</f>
        <v/>
      </c>
    </row>
    <row r="147">
      <c r="A147" s="47" t="n"/>
      <c r="B147" s="48" t="n"/>
      <c r="C147" s="48" t="n"/>
      <c r="D147" s="48" t="n"/>
      <c r="E147" s="48" t="n"/>
      <c r="F147" s="48" t="n"/>
      <c r="G147" s="48" t="n"/>
      <c r="H147" s="48" t="n"/>
      <c r="I147" s="49" t="n"/>
      <c r="J147" s="50" t="n"/>
      <c r="K147" s="48" t="n"/>
      <c r="L147" s="51">
        <f>IF(A147="","",DATE(YEAR(A147),MONTH(A147),1))</f>
        <v/>
      </c>
      <c r="M147" s="52">
        <f>IF(OR(A147="",NOT(ISNUMBER(I147))),"",IF(G147=Lists!$B$5,I147/2,IF(G147=Lists!$B$6,I147,0)))</f>
        <v/>
      </c>
      <c r="N147" s="52">
        <f>IF(OR(A147="",NOT(ISNUMBER(I147))),"",IF(G147=Lists!$B$5,I147/2,IF(G147=Lists!$B$7,I147,0)))</f>
        <v/>
      </c>
      <c r="O147" s="53">
        <f>IF(COUNTA(A147:K147)=0,"",IF(OR(A147="",B147="",C147="",D147="",E147="",F147="",G147="",NOT(ISNUMBER(I147))),"Incomplete",IF(COUNTIF(Lists!$H$4:$AA$4,C147)=0,"Check category",IF(COUNTIF(INDEX(Lists!$H$6:$AA$45,0,MATCH(C147,Lists!$H$4:$AA$4,0)),D147)=0,"Check sub-category","OK"))))</f>
        <v/>
      </c>
      <c r="P147">
        <f>IF(ISNUMBER(I147),I147+ROW()/10000000,"")</f>
        <v/>
      </c>
      <c r="Q147">
        <f>IF(AND(ISNUMBER(P147),ISNUMBER(A147)),IF(AND(A147&gt;=Dashboard!$Q$3,A147&lt;=Dashboard!$Q$4,OR(J147&lt;&gt;"Yes",Dashboard!$Q$15="Yes")),P147,""),"")</f>
        <v/>
      </c>
    </row>
    <row r="148">
      <c r="A148" s="47" t="n"/>
      <c r="B148" s="48" t="n"/>
      <c r="C148" s="48" t="n"/>
      <c r="D148" s="48" t="n"/>
      <c r="E148" s="48" t="n"/>
      <c r="F148" s="48" t="n"/>
      <c r="G148" s="48" t="n"/>
      <c r="H148" s="48" t="n"/>
      <c r="I148" s="49" t="n"/>
      <c r="J148" s="50" t="n"/>
      <c r="K148" s="48" t="n"/>
      <c r="L148" s="51">
        <f>IF(A148="","",DATE(YEAR(A148),MONTH(A148),1))</f>
        <v/>
      </c>
      <c r="M148" s="52">
        <f>IF(OR(A148="",NOT(ISNUMBER(I148))),"",IF(G148=Lists!$B$5,I148/2,IF(G148=Lists!$B$6,I148,0)))</f>
        <v/>
      </c>
      <c r="N148" s="52">
        <f>IF(OR(A148="",NOT(ISNUMBER(I148))),"",IF(G148=Lists!$B$5,I148/2,IF(G148=Lists!$B$7,I148,0)))</f>
        <v/>
      </c>
      <c r="O148" s="53">
        <f>IF(COUNTA(A148:K148)=0,"",IF(OR(A148="",B148="",C148="",D148="",E148="",F148="",G148="",NOT(ISNUMBER(I148))),"Incomplete",IF(COUNTIF(Lists!$H$4:$AA$4,C148)=0,"Check category",IF(COUNTIF(INDEX(Lists!$H$6:$AA$45,0,MATCH(C148,Lists!$H$4:$AA$4,0)),D148)=0,"Check sub-category","OK"))))</f>
        <v/>
      </c>
      <c r="P148">
        <f>IF(ISNUMBER(I148),I148+ROW()/10000000,"")</f>
        <v/>
      </c>
      <c r="Q148">
        <f>IF(AND(ISNUMBER(P148),ISNUMBER(A148)),IF(AND(A148&gt;=Dashboard!$Q$3,A148&lt;=Dashboard!$Q$4,OR(J148&lt;&gt;"Yes",Dashboard!$Q$15="Yes")),P148,""),"")</f>
        <v/>
      </c>
    </row>
    <row r="149">
      <c r="A149" s="47" t="n"/>
      <c r="B149" s="48" t="n"/>
      <c r="C149" s="48" t="n"/>
      <c r="D149" s="48" t="n"/>
      <c r="E149" s="48" t="n"/>
      <c r="F149" s="48" t="n"/>
      <c r="G149" s="48" t="n"/>
      <c r="H149" s="48" t="n"/>
      <c r="I149" s="49" t="n"/>
      <c r="J149" s="50" t="n"/>
      <c r="K149" s="48" t="n"/>
      <c r="L149" s="51">
        <f>IF(A149="","",DATE(YEAR(A149),MONTH(A149),1))</f>
        <v/>
      </c>
      <c r="M149" s="52">
        <f>IF(OR(A149="",NOT(ISNUMBER(I149))),"",IF(G149=Lists!$B$5,I149/2,IF(G149=Lists!$B$6,I149,0)))</f>
        <v/>
      </c>
      <c r="N149" s="52">
        <f>IF(OR(A149="",NOT(ISNUMBER(I149))),"",IF(G149=Lists!$B$5,I149/2,IF(G149=Lists!$B$7,I149,0)))</f>
        <v/>
      </c>
      <c r="O149" s="53">
        <f>IF(COUNTA(A149:K149)=0,"",IF(OR(A149="",B149="",C149="",D149="",E149="",F149="",G149="",NOT(ISNUMBER(I149))),"Incomplete",IF(COUNTIF(Lists!$H$4:$AA$4,C149)=0,"Check category",IF(COUNTIF(INDEX(Lists!$H$6:$AA$45,0,MATCH(C149,Lists!$H$4:$AA$4,0)),D149)=0,"Check sub-category","OK"))))</f>
        <v/>
      </c>
      <c r="P149">
        <f>IF(ISNUMBER(I149),I149+ROW()/10000000,"")</f>
        <v/>
      </c>
      <c r="Q149">
        <f>IF(AND(ISNUMBER(P149),ISNUMBER(A149)),IF(AND(A149&gt;=Dashboard!$Q$3,A149&lt;=Dashboard!$Q$4,OR(J149&lt;&gt;"Yes",Dashboard!$Q$15="Yes")),P149,""),"")</f>
        <v/>
      </c>
    </row>
    <row r="150">
      <c r="A150" s="47" t="n"/>
      <c r="B150" s="48" t="n"/>
      <c r="C150" s="48" t="n"/>
      <c r="D150" s="48" t="n"/>
      <c r="E150" s="48" t="n"/>
      <c r="F150" s="48" t="n"/>
      <c r="G150" s="48" t="n"/>
      <c r="H150" s="48" t="n"/>
      <c r="I150" s="49" t="n"/>
      <c r="J150" s="50" t="n"/>
      <c r="K150" s="48" t="n"/>
      <c r="L150" s="51">
        <f>IF(A150="","",DATE(YEAR(A150),MONTH(A150),1))</f>
        <v/>
      </c>
      <c r="M150" s="52">
        <f>IF(OR(A150="",NOT(ISNUMBER(I150))),"",IF(G150=Lists!$B$5,I150/2,IF(G150=Lists!$B$6,I150,0)))</f>
        <v/>
      </c>
      <c r="N150" s="52">
        <f>IF(OR(A150="",NOT(ISNUMBER(I150))),"",IF(G150=Lists!$B$5,I150/2,IF(G150=Lists!$B$7,I150,0)))</f>
        <v/>
      </c>
      <c r="O150" s="53">
        <f>IF(COUNTA(A150:K150)=0,"",IF(OR(A150="",B150="",C150="",D150="",E150="",F150="",G150="",NOT(ISNUMBER(I150))),"Incomplete",IF(COUNTIF(Lists!$H$4:$AA$4,C150)=0,"Check category",IF(COUNTIF(INDEX(Lists!$H$6:$AA$45,0,MATCH(C150,Lists!$H$4:$AA$4,0)),D150)=0,"Check sub-category","OK"))))</f>
        <v/>
      </c>
      <c r="P150">
        <f>IF(ISNUMBER(I150),I150+ROW()/10000000,"")</f>
        <v/>
      </c>
      <c r="Q150">
        <f>IF(AND(ISNUMBER(P150),ISNUMBER(A150)),IF(AND(A150&gt;=Dashboard!$Q$3,A150&lt;=Dashboard!$Q$4,OR(J150&lt;&gt;"Yes",Dashboard!$Q$15="Yes")),P150,""),"")</f>
        <v/>
      </c>
    </row>
    <row r="151">
      <c r="A151" s="47" t="n"/>
      <c r="B151" s="48" t="n"/>
      <c r="C151" s="48" t="n"/>
      <c r="D151" s="48" t="n"/>
      <c r="E151" s="48" t="n"/>
      <c r="F151" s="48" t="n"/>
      <c r="G151" s="48" t="n"/>
      <c r="H151" s="48" t="n"/>
      <c r="I151" s="49" t="n"/>
      <c r="J151" s="50" t="n"/>
      <c r="K151" s="48" t="n"/>
      <c r="L151" s="51">
        <f>IF(A151="","",DATE(YEAR(A151),MONTH(A151),1))</f>
        <v/>
      </c>
      <c r="M151" s="52">
        <f>IF(OR(A151="",NOT(ISNUMBER(I151))),"",IF(G151=Lists!$B$5,I151/2,IF(G151=Lists!$B$6,I151,0)))</f>
        <v/>
      </c>
      <c r="N151" s="52">
        <f>IF(OR(A151="",NOT(ISNUMBER(I151))),"",IF(G151=Lists!$B$5,I151/2,IF(G151=Lists!$B$7,I151,0)))</f>
        <v/>
      </c>
      <c r="O151" s="53">
        <f>IF(COUNTA(A151:K151)=0,"",IF(OR(A151="",B151="",C151="",D151="",E151="",F151="",G151="",NOT(ISNUMBER(I151))),"Incomplete",IF(COUNTIF(Lists!$H$4:$AA$4,C151)=0,"Check category",IF(COUNTIF(INDEX(Lists!$H$6:$AA$45,0,MATCH(C151,Lists!$H$4:$AA$4,0)),D151)=0,"Check sub-category","OK"))))</f>
        <v/>
      </c>
      <c r="P151">
        <f>IF(ISNUMBER(I151),I151+ROW()/10000000,"")</f>
        <v/>
      </c>
      <c r="Q151">
        <f>IF(AND(ISNUMBER(P151),ISNUMBER(A151)),IF(AND(A151&gt;=Dashboard!$Q$3,A151&lt;=Dashboard!$Q$4,OR(J151&lt;&gt;"Yes",Dashboard!$Q$15="Yes")),P151,""),"")</f>
        <v/>
      </c>
    </row>
    <row r="152">
      <c r="A152" s="47" t="n"/>
      <c r="B152" s="48" t="n"/>
      <c r="C152" s="48" t="n"/>
      <c r="D152" s="48" t="n"/>
      <c r="E152" s="48" t="n"/>
      <c r="F152" s="48" t="n"/>
      <c r="G152" s="48" t="n"/>
      <c r="H152" s="48" t="n"/>
      <c r="I152" s="49" t="n"/>
      <c r="J152" s="50" t="n"/>
      <c r="K152" s="48" t="n"/>
      <c r="L152" s="51">
        <f>IF(A152="","",DATE(YEAR(A152),MONTH(A152),1))</f>
        <v/>
      </c>
      <c r="M152" s="52">
        <f>IF(OR(A152="",NOT(ISNUMBER(I152))),"",IF(G152=Lists!$B$5,I152/2,IF(G152=Lists!$B$6,I152,0)))</f>
        <v/>
      </c>
      <c r="N152" s="52">
        <f>IF(OR(A152="",NOT(ISNUMBER(I152))),"",IF(G152=Lists!$B$5,I152/2,IF(G152=Lists!$B$7,I152,0)))</f>
        <v/>
      </c>
      <c r="O152" s="53">
        <f>IF(COUNTA(A152:K152)=0,"",IF(OR(A152="",B152="",C152="",D152="",E152="",F152="",G152="",NOT(ISNUMBER(I152))),"Incomplete",IF(COUNTIF(Lists!$H$4:$AA$4,C152)=0,"Check category",IF(COUNTIF(INDEX(Lists!$H$6:$AA$45,0,MATCH(C152,Lists!$H$4:$AA$4,0)),D152)=0,"Check sub-category","OK"))))</f>
        <v/>
      </c>
      <c r="P152">
        <f>IF(ISNUMBER(I152),I152+ROW()/10000000,"")</f>
        <v/>
      </c>
      <c r="Q152">
        <f>IF(AND(ISNUMBER(P152),ISNUMBER(A152)),IF(AND(A152&gt;=Dashboard!$Q$3,A152&lt;=Dashboard!$Q$4,OR(J152&lt;&gt;"Yes",Dashboard!$Q$15="Yes")),P152,""),"")</f>
        <v/>
      </c>
    </row>
    <row r="153">
      <c r="A153" s="47" t="n"/>
      <c r="B153" s="48" t="n"/>
      <c r="C153" s="48" t="n"/>
      <c r="D153" s="48" t="n"/>
      <c r="E153" s="48" t="n"/>
      <c r="F153" s="48" t="n"/>
      <c r="G153" s="48" t="n"/>
      <c r="H153" s="48" t="n"/>
      <c r="I153" s="49" t="n"/>
      <c r="J153" s="50" t="n"/>
      <c r="K153" s="48" t="n"/>
      <c r="L153" s="51">
        <f>IF(A153="","",DATE(YEAR(A153),MONTH(A153),1))</f>
        <v/>
      </c>
      <c r="M153" s="52">
        <f>IF(OR(A153="",NOT(ISNUMBER(I153))),"",IF(G153=Lists!$B$5,I153/2,IF(G153=Lists!$B$6,I153,0)))</f>
        <v/>
      </c>
      <c r="N153" s="52">
        <f>IF(OR(A153="",NOT(ISNUMBER(I153))),"",IF(G153=Lists!$B$5,I153/2,IF(G153=Lists!$B$7,I153,0)))</f>
        <v/>
      </c>
      <c r="O153" s="53">
        <f>IF(COUNTA(A153:K153)=0,"",IF(OR(A153="",B153="",C153="",D153="",E153="",F153="",G153="",NOT(ISNUMBER(I153))),"Incomplete",IF(COUNTIF(Lists!$H$4:$AA$4,C153)=0,"Check category",IF(COUNTIF(INDEX(Lists!$H$6:$AA$45,0,MATCH(C153,Lists!$H$4:$AA$4,0)),D153)=0,"Check sub-category","OK"))))</f>
        <v/>
      </c>
      <c r="P153">
        <f>IF(ISNUMBER(I153),I153+ROW()/10000000,"")</f>
        <v/>
      </c>
      <c r="Q153">
        <f>IF(AND(ISNUMBER(P153),ISNUMBER(A153)),IF(AND(A153&gt;=Dashboard!$Q$3,A153&lt;=Dashboard!$Q$4,OR(J153&lt;&gt;"Yes",Dashboard!$Q$15="Yes")),P153,""),"")</f>
        <v/>
      </c>
    </row>
    <row r="154">
      <c r="A154" s="47" t="n"/>
      <c r="B154" s="48" t="n"/>
      <c r="C154" s="48" t="n"/>
      <c r="D154" s="48" t="n"/>
      <c r="E154" s="48" t="n"/>
      <c r="F154" s="48" t="n"/>
      <c r="G154" s="48" t="n"/>
      <c r="H154" s="48" t="n"/>
      <c r="I154" s="49" t="n"/>
      <c r="J154" s="50" t="n"/>
      <c r="K154" s="48" t="n"/>
      <c r="L154" s="51">
        <f>IF(A154="","",DATE(YEAR(A154),MONTH(A154),1))</f>
        <v/>
      </c>
      <c r="M154" s="52">
        <f>IF(OR(A154="",NOT(ISNUMBER(I154))),"",IF(G154=Lists!$B$5,I154/2,IF(G154=Lists!$B$6,I154,0)))</f>
        <v/>
      </c>
      <c r="N154" s="52">
        <f>IF(OR(A154="",NOT(ISNUMBER(I154))),"",IF(G154=Lists!$B$5,I154/2,IF(G154=Lists!$B$7,I154,0)))</f>
        <v/>
      </c>
      <c r="O154" s="53">
        <f>IF(COUNTA(A154:K154)=0,"",IF(OR(A154="",B154="",C154="",D154="",E154="",F154="",G154="",NOT(ISNUMBER(I154))),"Incomplete",IF(COUNTIF(Lists!$H$4:$AA$4,C154)=0,"Check category",IF(COUNTIF(INDEX(Lists!$H$6:$AA$45,0,MATCH(C154,Lists!$H$4:$AA$4,0)),D154)=0,"Check sub-category","OK"))))</f>
        <v/>
      </c>
      <c r="P154">
        <f>IF(ISNUMBER(I154),I154+ROW()/10000000,"")</f>
        <v/>
      </c>
      <c r="Q154">
        <f>IF(AND(ISNUMBER(P154),ISNUMBER(A154)),IF(AND(A154&gt;=Dashboard!$Q$3,A154&lt;=Dashboard!$Q$4,OR(J154&lt;&gt;"Yes",Dashboard!$Q$15="Yes")),P154,""),"")</f>
        <v/>
      </c>
    </row>
    <row r="155">
      <c r="A155" s="47" t="n"/>
      <c r="B155" s="48" t="n"/>
      <c r="C155" s="48" t="n"/>
      <c r="D155" s="48" t="n"/>
      <c r="E155" s="48" t="n"/>
      <c r="F155" s="48" t="n"/>
      <c r="G155" s="48" t="n"/>
      <c r="H155" s="48" t="n"/>
      <c r="I155" s="49" t="n"/>
      <c r="J155" s="50" t="n"/>
      <c r="K155" s="48" t="n"/>
      <c r="L155" s="51">
        <f>IF(A155="","",DATE(YEAR(A155),MONTH(A155),1))</f>
        <v/>
      </c>
      <c r="M155" s="52">
        <f>IF(OR(A155="",NOT(ISNUMBER(I155))),"",IF(G155=Lists!$B$5,I155/2,IF(G155=Lists!$B$6,I155,0)))</f>
        <v/>
      </c>
      <c r="N155" s="52">
        <f>IF(OR(A155="",NOT(ISNUMBER(I155))),"",IF(G155=Lists!$B$5,I155/2,IF(G155=Lists!$B$7,I155,0)))</f>
        <v/>
      </c>
      <c r="O155" s="53">
        <f>IF(COUNTA(A155:K155)=0,"",IF(OR(A155="",B155="",C155="",D155="",E155="",F155="",G155="",NOT(ISNUMBER(I155))),"Incomplete",IF(COUNTIF(Lists!$H$4:$AA$4,C155)=0,"Check category",IF(COUNTIF(INDEX(Lists!$H$6:$AA$45,0,MATCH(C155,Lists!$H$4:$AA$4,0)),D155)=0,"Check sub-category","OK"))))</f>
        <v/>
      </c>
      <c r="P155">
        <f>IF(ISNUMBER(I155),I155+ROW()/10000000,"")</f>
        <v/>
      </c>
      <c r="Q155">
        <f>IF(AND(ISNUMBER(P155),ISNUMBER(A155)),IF(AND(A155&gt;=Dashboard!$Q$3,A155&lt;=Dashboard!$Q$4,OR(J155&lt;&gt;"Yes",Dashboard!$Q$15="Yes")),P155,""),"")</f>
        <v/>
      </c>
    </row>
    <row r="156">
      <c r="A156" s="47" t="n"/>
      <c r="B156" s="48" t="n"/>
      <c r="C156" s="48" t="n"/>
      <c r="D156" s="48" t="n"/>
      <c r="E156" s="48" t="n"/>
      <c r="F156" s="48" t="n"/>
      <c r="G156" s="48" t="n"/>
      <c r="H156" s="48" t="n"/>
      <c r="I156" s="49" t="n"/>
      <c r="J156" s="50" t="n"/>
      <c r="K156" s="48" t="n"/>
      <c r="L156" s="51">
        <f>IF(A156="","",DATE(YEAR(A156),MONTH(A156),1))</f>
        <v/>
      </c>
      <c r="M156" s="52">
        <f>IF(OR(A156="",NOT(ISNUMBER(I156))),"",IF(G156=Lists!$B$5,I156/2,IF(G156=Lists!$B$6,I156,0)))</f>
        <v/>
      </c>
      <c r="N156" s="52">
        <f>IF(OR(A156="",NOT(ISNUMBER(I156))),"",IF(G156=Lists!$B$5,I156/2,IF(G156=Lists!$B$7,I156,0)))</f>
        <v/>
      </c>
      <c r="O156" s="53">
        <f>IF(COUNTA(A156:K156)=0,"",IF(OR(A156="",B156="",C156="",D156="",E156="",F156="",G156="",NOT(ISNUMBER(I156))),"Incomplete",IF(COUNTIF(Lists!$H$4:$AA$4,C156)=0,"Check category",IF(COUNTIF(INDEX(Lists!$H$6:$AA$45,0,MATCH(C156,Lists!$H$4:$AA$4,0)),D156)=0,"Check sub-category","OK"))))</f>
        <v/>
      </c>
      <c r="P156">
        <f>IF(ISNUMBER(I156),I156+ROW()/10000000,"")</f>
        <v/>
      </c>
      <c r="Q156">
        <f>IF(AND(ISNUMBER(P156),ISNUMBER(A156)),IF(AND(A156&gt;=Dashboard!$Q$3,A156&lt;=Dashboard!$Q$4,OR(J156&lt;&gt;"Yes",Dashboard!$Q$15="Yes")),P156,""),"")</f>
        <v/>
      </c>
    </row>
    <row r="157">
      <c r="A157" s="47" t="n"/>
      <c r="B157" s="48" t="n"/>
      <c r="C157" s="48" t="n"/>
      <c r="D157" s="48" t="n"/>
      <c r="E157" s="48" t="n"/>
      <c r="F157" s="48" t="n"/>
      <c r="G157" s="48" t="n"/>
      <c r="H157" s="48" t="n"/>
      <c r="I157" s="49" t="n"/>
      <c r="J157" s="50" t="n"/>
      <c r="K157" s="48" t="n"/>
      <c r="L157" s="51">
        <f>IF(A157="","",DATE(YEAR(A157),MONTH(A157),1))</f>
        <v/>
      </c>
      <c r="M157" s="52">
        <f>IF(OR(A157="",NOT(ISNUMBER(I157))),"",IF(G157=Lists!$B$5,I157/2,IF(G157=Lists!$B$6,I157,0)))</f>
        <v/>
      </c>
      <c r="N157" s="52">
        <f>IF(OR(A157="",NOT(ISNUMBER(I157))),"",IF(G157=Lists!$B$5,I157/2,IF(G157=Lists!$B$7,I157,0)))</f>
        <v/>
      </c>
      <c r="O157" s="53">
        <f>IF(COUNTA(A157:K157)=0,"",IF(OR(A157="",B157="",C157="",D157="",E157="",F157="",G157="",NOT(ISNUMBER(I157))),"Incomplete",IF(COUNTIF(Lists!$H$4:$AA$4,C157)=0,"Check category",IF(COUNTIF(INDEX(Lists!$H$6:$AA$45,0,MATCH(C157,Lists!$H$4:$AA$4,0)),D157)=0,"Check sub-category","OK"))))</f>
        <v/>
      </c>
      <c r="P157">
        <f>IF(ISNUMBER(I157),I157+ROW()/10000000,"")</f>
        <v/>
      </c>
      <c r="Q157">
        <f>IF(AND(ISNUMBER(P157),ISNUMBER(A157)),IF(AND(A157&gt;=Dashboard!$Q$3,A157&lt;=Dashboard!$Q$4,OR(J157&lt;&gt;"Yes",Dashboard!$Q$15="Yes")),P157,""),"")</f>
        <v/>
      </c>
    </row>
    <row r="158">
      <c r="A158" s="47" t="n"/>
      <c r="B158" s="48" t="n"/>
      <c r="C158" s="48" t="n"/>
      <c r="D158" s="48" t="n"/>
      <c r="E158" s="48" t="n"/>
      <c r="F158" s="48" t="n"/>
      <c r="G158" s="48" t="n"/>
      <c r="H158" s="48" t="n"/>
      <c r="I158" s="49" t="n"/>
      <c r="J158" s="50" t="n"/>
      <c r="K158" s="48" t="n"/>
      <c r="L158" s="51">
        <f>IF(A158="","",DATE(YEAR(A158),MONTH(A158),1))</f>
        <v/>
      </c>
      <c r="M158" s="52">
        <f>IF(OR(A158="",NOT(ISNUMBER(I158))),"",IF(G158=Lists!$B$5,I158/2,IF(G158=Lists!$B$6,I158,0)))</f>
        <v/>
      </c>
      <c r="N158" s="52">
        <f>IF(OR(A158="",NOT(ISNUMBER(I158))),"",IF(G158=Lists!$B$5,I158/2,IF(G158=Lists!$B$7,I158,0)))</f>
        <v/>
      </c>
      <c r="O158" s="53">
        <f>IF(COUNTA(A158:K158)=0,"",IF(OR(A158="",B158="",C158="",D158="",E158="",F158="",G158="",NOT(ISNUMBER(I158))),"Incomplete",IF(COUNTIF(Lists!$H$4:$AA$4,C158)=0,"Check category",IF(COUNTIF(INDEX(Lists!$H$6:$AA$45,0,MATCH(C158,Lists!$H$4:$AA$4,0)),D158)=0,"Check sub-category","OK"))))</f>
        <v/>
      </c>
      <c r="P158">
        <f>IF(ISNUMBER(I158),I158+ROW()/10000000,"")</f>
        <v/>
      </c>
      <c r="Q158">
        <f>IF(AND(ISNUMBER(P158),ISNUMBER(A158)),IF(AND(A158&gt;=Dashboard!$Q$3,A158&lt;=Dashboard!$Q$4,OR(J158&lt;&gt;"Yes",Dashboard!$Q$15="Yes")),P158,""),"")</f>
        <v/>
      </c>
    </row>
    <row r="159">
      <c r="A159" s="47" t="n"/>
      <c r="B159" s="48" t="n"/>
      <c r="C159" s="48" t="n"/>
      <c r="D159" s="48" t="n"/>
      <c r="E159" s="48" t="n"/>
      <c r="F159" s="48" t="n"/>
      <c r="G159" s="48" t="n"/>
      <c r="H159" s="48" t="n"/>
      <c r="I159" s="49" t="n"/>
      <c r="J159" s="50" t="n"/>
      <c r="K159" s="48" t="n"/>
      <c r="L159" s="51">
        <f>IF(A159="","",DATE(YEAR(A159),MONTH(A159),1))</f>
        <v/>
      </c>
      <c r="M159" s="52">
        <f>IF(OR(A159="",NOT(ISNUMBER(I159))),"",IF(G159=Lists!$B$5,I159/2,IF(G159=Lists!$B$6,I159,0)))</f>
        <v/>
      </c>
      <c r="N159" s="52">
        <f>IF(OR(A159="",NOT(ISNUMBER(I159))),"",IF(G159=Lists!$B$5,I159/2,IF(G159=Lists!$B$7,I159,0)))</f>
        <v/>
      </c>
      <c r="O159" s="53">
        <f>IF(COUNTA(A159:K159)=0,"",IF(OR(A159="",B159="",C159="",D159="",E159="",F159="",G159="",NOT(ISNUMBER(I159))),"Incomplete",IF(COUNTIF(Lists!$H$4:$AA$4,C159)=0,"Check category",IF(COUNTIF(INDEX(Lists!$H$6:$AA$45,0,MATCH(C159,Lists!$H$4:$AA$4,0)),D159)=0,"Check sub-category","OK"))))</f>
        <v/>
      </c>
      <c r="P159">
        <f>IF(ISNUMBER(I159),I159+ROW()/10000000,"")</f>
        <v/>
      </c>
      <c r="Q159">
        <f>IF(AND(ISNUMBER(P159),ISNUMBER(A159)),IF(AND(A159&gt;=Dashboard!$Q$3,A159&lt;=Dashboard!$Q$4,OR(J159&lt;&gt;"Yes",Dashboard!$Q$15="Yes")),P159,""),"")</f>
        <v/>
      </c>
    </row>
    <row r="160">
      <c r="A160" s="47" t="n"/>
      <c r="B160" s="48" t="n"/>
      <c r="C160" s="48" t="n"/>
      <c r="D160" s="48" t="n"/>
      <c r="E160" s="48" t="n"/>
      <c r="F160" s="48" t="n"/>
      <c r="G160" s="48" t="n"/>
      <c r="H160" s="48" t="n"/>
      <c r="I160" s="49" t="n"/>
      <c r="J160" s="50" t="n"/>
      <c r="K160" s="48" t="n"/>
      <c r="L160" s="51">
        <f>IF(A160="","",DATE(YEAR(A160),MONTH(A160),1))</f>
        <v/>
      </c>
      <c r="M160" s="52">
        <f>IF(OR(A160="",NOT(ISNUMBER(I160))),"",IF(G160=Lists!$B$5,I160/2,IF(G160=Lists!$B$6,I160,0)))</f>
        <v/>
      </c>
      <c r="N160" s="52">
        <f>IF(OR(A160="",NOT(ISNUMBER(I160))),"",IF(G160=Lists!$B$5,I160/2,IF(G160=Lists!$B$7,I160,0)))</f>
        <v/>
      </c>
      <c r="O160" s="53">
        <f>IF(COUNTA(A160:K160)=0,"",IF(OR(A160="",B160="",C160="",D160="",E160="",F160="",G160="",NOT(ISNUMBER(I160))),"Incomplete",IF(COUNTIF(Lists!$H$4:$AA$4,C160)=0,"Check category",IF(COUNTIF(INDEX(Lists!$H$6:$AA$45,0,MATCH(C160,Lists!$H$4:$AA$4,0)),D160)=0,"Check sub-category","OK"))))</f>
        <v/>
      </c>
      <c r="P160">
        <f>IF(ISNUMBER(I160),I160+ROW()/10000000,"")</f>
        <v/>
      </c>
      <c r="Q160">
        <f>IF(AND(ISNUMBER(P160),ISNUMBER(A160)),IF(AND(A160&gt;=Dashboard!$Q$3,A160&lt;=Dashboard!$Q$4,OR(J160&lt;&gt;"Yes",Dashboard!$Q$15="Yes")),P160,""),"")</f>
        <v/>
      </c>
    </row>
    <row r="161">
      <c r="A161" s="47" t="n"/>
      <c r="B161" s="48" t="n"/>
      <c r="C161" s="48" t="n"/>
      <c r="D161" s="48" t="n"/>
      <c r="E161" s="48" t="n"/>
      <c r="F161" s="48" t="n"/>
      <c r="G161" s="48" t="n"/>
      <c r="H161" s="48" t="n"/>
      <c r="I161" s="49" t="n"/>
      <c r="J161" s="50" t="n"/>
      <c r="K161" s="48" t="n"/>
      <c r="L161" s="51">
        <f>IF(A161="","",DATE(YEAR(A161),MONTH(A161),1))</f>
        <v/>
      </c>
      <c r="M161" s="52">
        <f>IF(OR(A161="",NOT(ISNUMBER(I161))),"",IF(G161=Lists!$B$5,I161/2,IF(G161=Lists!$B$6,I161,0)))</f>
        <v/>
      </c>
      <c r="N161" s="52">
        <f>IF(OR(A161="",NOT(ISNUMBER(I161))),"",IF(G161=Lists!$B$5,I161/2,IF(G161=Lists!$B$7,I161,0)))</f>
        <v/>
      </c>
      <c r="O161" s="53">
        <f>IF(COUNTA(A161:K161)=0,"",IF(OR(A161="",B161="",C161="",D161="",E161="",F161="",G161="",NOT(ISNUMBER(I161))),"Incomplete",IF(COUNTIF(Lists!$H$4:$AA$4,C161)=0,"Check category",IF(COUNTIF(INDEX(Lists!$H$6:$AA$45,0,MATCH(C161,Lists!$H$4:$AA$4,0)),D161)=0,"Check sub-category","OK"))))</f>
        <v/>
      </c>
      <c r="P161">
        <f>IF(ISNUMBER(I161),I161+ROW()/10000000,"")</f>
        <v/>
      </c>
      <c r="Q161">
        <f>IF(AND(ISNUMBER(P161),ISNUMBER(A161)),IF(AND(A161&gt;=Dashboard!$Q$3,A161&lt;=Dashboard!$Q$4,OR(J161&lt;&gt;"Yes",Dashboard!$Q$15="Yes")),P161,""),"")</f>
        <v/>
      </c>
    </row>
    <row r="162">
      <c r="A162" s="47" t="n"/>
      <c r="B162" s="48" t="n"/>
      <c r="C162" s="48" t="n"/>
      <c r="D162" s="48" t="n"/>
      <c r="E162" s="48" t="n"/>
      <c r="F162" s="48" t="n"/>
      <c r="G162" s="48" t="n"/>
      <c r="H162" s="48" t="n"/>
      <c r="I162" s="49" t="n"/>
      <c r="J162" s="50" t="n"/>
      <c r="K162" s="48" t="n"/>
      <c r="L162" s="51">
        <f>IF(A162="","",DATE(YEAR(A162),MONTH(A162),1))</f>
        <v/>
      </c>
      <c r="M162" s="52">
        <f>IF(OR(A162="",NOT(ISNUMBER(I162))),"",IF(G162=Lists!$B$5,I162/2,IF(G162=Lists!$B$6,I162,0)))</f>
        <v/>
      </c>
      <c r="N162" s="52">
        <f>IF(OR(A162="",NOT(ISNUMBER(I162))),"",IF(G162=Lists!$B$5,I162/2,IF(G162=Lists!$B$7,I162,0)))</f>
        <v/>
      </c>
      <c r="O162" s="53">
        <f>IF(COUNTA(A162:K162)=0,"",IF(OR(A162="",B162="",C162="",D162="",E162="",F162="",G162="",NOT(ISNUMBER(I162))),"Incomplete",IF(COUNTIF(Lists!$H$4:$AA$4,C162)=0,"Check category",IF(COUNTIF(INDEX(Lists!$H$6:$AA$45,0,MATCH(C162,Lists!$H$4:$AA$4,0)),D162)=0,"Check sub-category","OK"))))</f>
        <v/>
      </c>
      <c r="P162">
        <f>IF(ISNUMBER(I162),I162+ROW()/10000000,"")</f>
        <v/>
      </c>
      <c r="Q162">
        <f>IF(AND(ISNUMBER(P162),ISNUMBER(A162)),IF(AND(A162&gt;=Dashboard!$Q$3,A162&lt;=Dashboard!$Q$4,OR(J162&lt;&gt;"Yes",Dashboard!$Q$15="Yes")),P162,""),"")</f>
        <v/>
      </c>
    </row>
    <row r="163">
      <c r="A163" s="47" t="n"/>
      <c r="B163" s="48" t="n"/>
      <c r="C163" s="48" t="n"/>
      <c r="D163" s="48" t="n"/>
      <c r="E163" s="48" t="n"/>
      <c r="F163" s="48" t="n"/>
      <c r="G163" s="48" t="n"/>
      <c r="H163" s="48" t="n"/>
      <c r="I163" s="49" t="n"/>
      <c r="J163" s="50" t="n"/>
      <c r="K163" s="48" t="n"/>
      <c r="L163" s="51">
        <f>IF(A163="","",DATE(YEAR(A163),MONTH(A163),1))</f>
        <v/>
      </c>
      <c r="M163" s="52">
        <f>IF(OR(A163="",NOT(ISNUMBER(I163))),"",IF(G163=Lists!$B$5,I163/2,IF(G163=Lists!$B$6,I163,0)))</f>
        <v/>
      </c>
      <c r="N163" s="52">
        <f>IF(OR(A163="",NOT(ISNUMBER(I163))),"",IF(G163=Lists!$B$5,I163/2,IF(G163=Lists!$B$7,I163,0)))</f>
        <v/>
      </c>
      <c r="O163" s="53">
        <f>IF(COUNTA(A163:K163)=0,"",IF(OR(A163="",B163="",C163="",D163="",E163="",F163="",G163="",NOT(ISNUMBER(I163))),"Incomplete",IF(COUNTIF(Lists!$H$4:$AA$4,C163)=0,"Check category",IF(COUNTIF(INDEX(Lists!$H$6:$AA$45,0,MATCH(C163,Lists!$H$4:$AA$4,0)),D163)=0,"Check sub-category","OK"))))</f>
        <v/>
      </c>
      <c r="P163">
        <f>IF(ISNUMBER(I163),I163+ROW()/10000000,"")</f>
        <v/>
      </c>
      <c r="Q163">
        <f>IF(AND(ISNUMBER(P163),ISNUMBER(A163)),IF(AND(A163&gt;=Dashboard!$Q$3,A163&lt;=Dashboard!$Q$4,OR(J163&lt;&gt;"Yes",Dashboard!$Q$15="Yes")),P163,""),"")</f>
        <v/>
      </c>
    </row>
    <row r="164">
      <c r="A164" s="47" t="n"/>
      <c r="B164" s="48" t="n"/>
      <c r="C164" s="48" t="n"/>
      <c r="D164" s="48" t="n"/>
      <c r="E164" s="48" t="n"/>
      <c r="F164" s="48" t="n"/>
      <c r="G164" s="48" t="n"/>
      <c r="H164" s="48" t="n"/>
      <c r="I164" s="49" t="n"/>
      <c r="J164" s="50" t="n"/>
      <c r="K164" s="48" t="n"/>
      <c r="L164" s="51">
        <f>IF(A164="","",DATE(YEAR(A164),MONTH(A164),1))</f>
        <v/>
      </c>
      <c r="M164" s="52">
        <f>IF(OR(A164="",NOT(ISNUMBER(I164))),"",IF(G164=Lists!$B$5,I164/2,IF(G164=Lists!$B$6,I164,0)))</f>
        <v/>
      </c>
      <c r="N164" s="52">
        <f>IF(OR(A164="",NOT(ISNUMBER(I164))),"",IF(G164=Lists!$B$5,I164/2,IF(G164=Lists!$B$7,I164,0)))</f>
        <v/>
      </c>
      <c r="O164" s="53">
        <f>IF(COUNTA(A164:K164)=0,"",IF(OR(A164="",B164="",C164="",D164="",E164="",F164="",G164="",NOT(ISNUMBER(I164))),"Incomplete",IF(COUNTIF(Lists!$H$4:$AA$4,C164)=0,"Check category",IF(COUNTIF(INDEX(Lists!$H$6:$AA$45,0,MATCH(C164,Lists!$H$4:$AA$4,0)),D164)=0,"Check sub-category","OK"))))</f>
        <v/>
      </c>
      <c r="P164">
        <f>IF(ISNUMBER(I164),I164+ROW()/10000000,"")</f>
        <v/>
      </c>
      <c r="Q164">
        <f>IF(AND(ISNUMBER(P164),ISNUMBER(A164)),IF(AND(A164&gt;=Dashboard!$Q$3,A164&lt;=Dashboard!$Q$4,OR(J164&lt;&gt;"Yes",Dashboard!$Q$15="Yes")),P164,""),"")</f>
        <v/>
      </c>
    </row>
    <row r="165">
      <c r="A165" s="47" t="n"/>
      <c r="B165" s="48" t="n"/>
      <c r="C165" s="48" t="n"/>
      <c r="D165" s="48" t="n"/>
      <c r="E165" s="48" t="n"/>
      <c r="F165" s="48" t="n"/>
      <c r="G165" s="48" t="n"/>
      <c r="H165" s="48" t="n"/>
      <c r="I165" s="49" t="n"/>
      <c r="J165" s="50" t="n"/>
      <c r="K165" s="48" t="n"/>
      <c r="L165" s="51">
        <f>IF(A165="","",DATE(YEAR(A165),MONTH(A165),1))</f>
        <v/>
      </c>
      <c r="M165" s="52">
        <f>IF(OR(A165="",NOT(ISNUMBER(I165))),"",IF(G165=Lists!$B$5,I165/2,IF(G165=Lists!$B$6,I165,0)))</f>
        <v/>
      </c>
      <c r="N165" s="52">
        <f>IF(OR(A165="",NOT(ISNUMBER(I165))),"",IF(G165=Lists!$B$5,I165/2,IF(G165=Lists!$B$7,I165,0)))</f>
        <v/>
      </c>
      <c r="O165" s="53">
        <f>IF(COUNTA(A165:K165)=0,"",IF(OR(A165="",B165="",C165="",D165="",E165="",F165="",G165="",NOT(ISNUMBER(I165))),"Incomplete",IF(COUNTIF(Lists!$H$4:$AA$4,C165)=0,"Check category",IF(COUNTIF(INDEX(Lists!$H$6:$AA$45,0,MATCH(C165,Lists!$H$4:$AA$4,0)),D165)=0,"Check sub-category","OK"))))</f>
        <v/>
      </c>
      <c r="P165">
        <f>IF(ISNUMBER(I165),I165+ROW()/10000000,"")</f>
        <v/>
      </c>
      <c r="Q165">
        <f>IF(AND(ISNUMBER(P165),ISNUMBER(A165)),IF(AND(A165&gt;=Dashboard!$Q$3,A165&lt;=Dashboard!$Q$4,OR(J165&lt;&gt;"Yes",Dashboard!$Q$15="Yes")),P165,""),"")</f>
        <v/>
      </c>
    </row>
    <row r="166">
      <c r="A166" s="47" t="n"/>
      <c r="B166" s="48" t="n"/>
      <c r="C166" s="48" t="n"/>
      <c r="D166" s="48" t="n"/>
      <c r="E166" s="48" t="n"/>
      <c r="F166" s="48" t="n"/>
      <c r="G166" s="48" t="n"/>
      <c r="H166" s="48" t="n"/>
      <c r="I166" s="49" t="n"/>
      <c r="J166" s="50" t="n"/>
      <c r="K166" s="48" t="n"/>
      <c r="L166" s="51">
        <f>IF(A166="","",DATE(YEAR(A166),MONTH(A166),1))</f>
        <v/>
      </c>
      <c r="M166" s="52">
        <f>IF(OR(A166="",NOT(ISNUMBER(I166))),"",IF(G166=Lists!$B$5,I166/2,IF(G166=Lists!$B$6,I166,0)))</f>
        <v/>
      </c>
      <c r="N166" s="52">
        <f>IF(OR(A166="",NOT(ISNUMBER(I166))),"",IF(G166=Lists!$B$5,I166/2,IF(G166=Lists!$B$7,I166,0)))</f>
        <v/>
      </c>
      <c r="O166" s="53">
        <f>IF(COUNTA(A166:K166)=0,"",IF(OR(A166="",B166="",C166="",D166="",E166="",F166="",G166="",NOT(ISNUMBER(I166))),"Incomplete",IF(COUNTIF(Lists!$H$4:$AA$4,C166)=0,"Check category",IF(COUNTIF(INDEX(Lists!$H$6:$AA$45,0,MATCH(C166,Lists!$H$4:$AA$4,0)),D166)=0,"Check sub-category","OK"))))</f>
        <v/>
      </c>
      <c r="P166">
        <f>IF(ISNUMBER(I166),I166+ROW()/10000000,"")</f>
        <v/>
      </c>
      <c r="Q166">
        <f>IF(AND(ISNUMBER(P166),ISNUMBER(A166)),IF(AND(A166&gt;=Dashboard!$Q$3,A166&lt;=Dashboard!$Q$4,OR(J166&lt;&gt;"Yes",Dashboard!$Q$15="Yes")),P166,""),"")</f>
        <v/>
      </c>
    </row>
    <row r="167">
      <c r="A167" s="47" t="n"/>
      <c r="B167" s="48" t="n"/>
      <c r="C167" s="48" t="n"/>
      <c r="D167" s="48" t="n"/>
      <c r="E167" s="48" t="n"/>
      <c r="F167" s="48" t="n"/>
      <c r="G167" s="48" t="n"/>
      <c r="H167" s="48" t="n"/>
      <c r="I167" s="49" t="n"/>
      <c r="J167" s="50" t="n"/>
      <c r="K167" s="48" t="n"/>
      <c r="L167" s="51">
        <f>IF(A167="","",DATE(YEAR(A167),MONTH(A167),1))</f>
        <v/>
      </c>
      <c r="M167" s="52">
        <f>IF(OR(A167="",NOT(ISNUMBER(I167))),"",IF(G167=Lists!$B$5,I167/2,IF(G167=Lists!$B$6,I167,0)))</f>
        <v/>
      </c>
      <c r="N167" s="52">
        <f>IF(OR(A167="",NOT(ISNUMBER(I167))),"",IF(G167=Lists!$B$5,I167/2,IF(G167=Lists!$B$7,I167,0)))</f>
        <v/>
      </c>
      <c r="O167" s="53">
        <f>IF(COUNTA(A167:K167)=0,"",IF(OR(A167="",B167="",C167="",D167="",E167="",F167="",G167="",NOT(ISNUMBER(I167))),"Incomplete",IF(COUNTIF(Lists!$H$4:$AA$4,C167)=0,"Check category",IF(COUNTIF(INDEX(Lists!$H$6:$AA$45,0,MATCH(C167,Lists!$H$4:$AA$4,0)),D167)=0,"Check sub-category","OK"))))</f>
        <v/>
      </c>
      <c r="P167">
        <f>IF(ISNUMBER(I167),I167+ROW()/10000000,"")</f>
        <v/>
      </c>
      <c r="Q167">
        <f>IF(AND(ISNUMBER(P167),ISNUMBER(A167)),IF(AND(A167&gt;=Dashboard!$Q$3,A167&lt;=Dashboard!$Q$4,OR(J167&lt;&gt;"Yes",Dashboard!$Q$15="Yes")),P167,""),"")</f>
        <v/>
      </c>
    </row>
    <row r="168">
      <c r="A168" s="47" t="n"/>
      <c r="B168" s="48" t="n"/>
      <c r="C168" s="48" t="n"/>
      <c r="D168" s="48" t="n"/>
      <c r="E168" s="48" t="n"/>
      <c r="F168" s="48" t="n"/>
      <c r="G168" s="48" t="n"/>
      <c r="H168" s="48" t="n"/>
      <c r="I168" s="49" t="n"/>
      <c r="J168" s="50" t="n"/>
      <c r="K168" s="48" t="n"/>
      <c r="L168" s="51">
        <f>IF(A168="","",DATE(YEAR(A168),MONTH(A168),1))</f>
        <v/>
      </c>
      <c r="M168" s="52">
        <f>IF(OR(A168="",NOT(ISNUMBER(I168))),"",IF(G168=Lists!$B$5,I168/2,IF(G168=Lists!$B$6,I168,0)))</f>
        <v/>
      </c>
      <c r="N168" s="52">
        <f>IF(OR(A168="",NOT(ISNUMBER(I168))),"",IF(G168=Lists!$B$5,I168/2,IF(G168=Lists!$B$7,I168,0)))</f>
        <v/>
      </c>
      <c r="O168" s="53">
        <f>IF(COUNTA(A168:K168)=0,"",IF(OR(A168="",B168="",C168="",D168="",E168="",F168="",G168="",NOT(ISNUMBER(I168))),"Incomplete",IF(COUNTIF(Lists!$H$4:$AA$4,C168)=0,"Check category",IF(COUNTIF(INDEX(Lists!$H$6:$AA$45,0,MATCH(C168,Lists!$H$4:$AA$4,0)),D168)=0,"Check sub-category","OK"))))</f>
        <v/>
      </c>
      <c r="P168">
        <f>IF(ISNUMBER(I168),I168+ROW()/10000000,"")</f>
        <v/>
      </c>
      <c r="Q168">
        <f>IF(AND(ISNUMBER(P168),ISNUMBER(A168)),IF(AND(A168&gt;=Dashboard!$Q$3,A168&lt;=Dashboard!$Q$4,OR(J168&lt;&gt;"Yes",Dashboard!$Q$15="Yes")),P168,""),"")</f>
        <v/>
      </c>
    </row>
    <row r="169">
      <c r="A169" s="47" t="n"/>
      <c r="B169" s="48" t="n"/>
      <c r="C169" s="48" t="n"/>
      <c r="D169" s="48" t="n"/>
      <c r="E169" s="48" t="n"/>
      <c r="F169" s="48" t="n"/>
      <c r="G169" s="48" t="n"/>
      <c r="H169" s="48" t="n"/>
      <c r="I169" s="49" t="n"/>
      <c r="J169" s="50" t="n"/>
      <c r="K169" s="48" t="n"/>
      <c r="L169" s="51">
        <f>IF(A169="","",DATE(YEAR(A169),MONTH(A169),1))</f>
        <v/>
      </c>
      <c r="M169" s="52">
        <f>IF(OR(A169="",NOT(ISNUMBER(I169))),"",IF(G169=Lists!$B$5,I169/2,IF(G169=Lists!$B$6,I169,0)))</f>
        <v/>
      </c>
      <c r="N169" s="52">
        <f>IF(OR(A169="",NOT(ISNUMBER(I169))),"",IF(G169=Lists!$B$5,I169/2,IF(G169=Lists!$B$7,I169,0)))</f>
        <v/>
      </c>
      <c r="O169" s="53">
        <f>IF(COUNTA(A169:K169)=0,"",IF(OR(A169="",B169="",C169="",D169="",E169="",F169="",G169="",NOT(ISNUMBER(I169))),"Incomplete",IF(COUNTIF(Lists!$H$4:$AA$4,C169)=0,"Check category",IF(COUNTIF(INDEX(Lists!$H$6:$AA$45,0,MATCH(C169,Lists!$H$4:$AA$4,0)),D169)=0,"Check sub-category","OK"))))</f>
        <v/>
      </c>
      <c r="P169">
        <f>IF(ISNUMBER(I169),I169+ROW()/10000000,"")</f>
        <v/>
      </c>
      <c r="Q169">
        <f>IF(AND(ISNUMBER(P169),ISNUMBER(A169)),IF(AND(A169&gt;=Dashboard!$Q$3,A169&lt;=Dashboard!$Q$4,OR(J169&lt;&gt;"Yes",Dashboard!$Q$15="Yes")),P169,""),"")</f>
        <v/>
      </c>
    </row>
    <row r="170">
      <c r="A170" s="47" t="n"/>
      <c r="B170" s="48" t="n"/>
      <c r="C170" s="48" t="n"/>
      <c r="D170" s="48" t="n"/>
      <c r="E170" s="48" t="n"/>
      <c r="F170" s="48" t="n"/>
      <c r="G170" s="48" t="n"/>
      <c r="H170" s="48" t="n"/>
      <c r="I170" s="49" t="n"/>
      <c r="J170" s="50" t="n"/>
      <c r="K170" s="48" t="n"/>
      <c r="L170" s="51">
        <f>IF(A170="","",DATE(YEAR(A170),MONTH(A170),1))</f>
        <v/>
      </c>
      <c r="M170" s="52">
        <f>IF(OR(A170="",NOT(ISNUMBER(I170))),"",IF(G170=Lists!$B$5,I170/2,IF(G170=Lists!$B$6,I170,0)))</f>
        <v/>
      </c>
      <c r="N170" s="52">
        <f>IF(OR(A170="",NOT(ISNUMBER(I170))),"",IF(G170=Lists!$B$5,I170/2,IF(G170=Lists!$B$7,I170,0)))</f>
        <v/>
      </c>
      <c r="O170" s="53">
        <f>IF(COUNTA(A170:K170)=0,"",IF(OR(A170="",B170="",C170="",D170="",E170="",F170="",G170="",NOT(ISNUMBER(I170))),"Incomplete",IF(COUNTIF(Lists!$H$4:$AA$4,C170)=0,"Check category",IF(COUNTIF(INDEX(Lists!$H$6:$AA$45,0,MATCH(C170,Lists!$H$4:$AA$4,0)),D170)=0,"Check sub-category","OK"))))</f>
        <v/>
      </c>
      <c r="P170">
        <f>IF(ISNUMBER(I170),I170+ROW()/10000000,"")</f>
        <v/>
      </c>
      <c r="Q170">
        <f>IF(AND(ISNUMBER(P170),ISNUMBER(A170)),IF(AND(A170&gt;=Dashboard!$Q$3,A170&lt;=Dashboard!$Q$4,OR(J170&lt;&gt;"Yes",Dashboard!$Q$15="Yes")),P170,""),"")</f>
        <v/>
      </c>
    </row>
    <row r="171">
      <c r="A171" s="47" t="n"/>
      <c r="B171" s="48" t="n"/>
      <c r="C171" s="48" t="n"/>
      <c r="D171" s="48" t="n"/>
      <c r="E171" s="48" t="n"/>
      <c r="F171" s="48" t="n"/>
      <c r="G171" s="48" t="n"/>
      <c r="H171" s="48" t="n"/>
      <c r="I171" s="49" t="n"/>
      <c r="J171" s="50" t="n"/>
      <c r="K171" s="48" t="n"/>
      <c r="L171" s="51">
        <f>IF(A171="","",DATE(YEAR(A171),MONTH(A171),1))</f>
        <v/>
      </c>
      <c r="M171" s="52">
        <f>IF(OR(A171="",NOT(ISNUMBER(I171))),"",IF(G171=Lists!$B$5,I171/2,IF(G171=Lists!$B$6,I171,0)))</f>
        <v/>
      </c>
      <c r="N171" s="52">
        <f>IF(OR(A171="",NOT(ISNUMBER(I171))),"",IF(G171=Lists!$B$5,I171/2,IF(G171=Lists!$B$7,I171,0)))</f>
        <v/>
      </c>
      <c r="O171" s="53">
        <f>IF(COUNTA(A171:K171)=0,"",IF(OR(A171="",B171="",C171="",D171="",E171="",F171="",G171="",NOT(ISNUMBER(I171))),"Incomplete",IF(COUNTIF(Lists!$H$4:$AA$4,C171)=0,"Check category",IF(COUNTIF(INDEX(Lists!$H$6:$AA$45,0,MATCH(C171,Lists!$H$4:$AA$4,0)),D171)=0,"Check sub-category","OK"))))</f>
        <v/>
      </c>
      <c r="P171">
        <f>IF(ISNUMBER(I171),I171+ROW()/10000000,"")</f>
        <v/>
      </c>
      <c r="Q171">
        <f>IF(AND(ISNUMBER(P171),ISNUMBER(A171)),IF(AND(A171&gt;=Dashboard!$Q$3,A171&lt;=Dashboard!$Q$4,OR(J171&lt;&gt;"Yes",Dashboard!$Q$15="Yes")),P171,""),"")</f>
        <v/>
      </c>
    </row>
    <row r="172">
      <c r="A172" s="47" t="n"/>
      <c r="B172" s="48" t="n"/>
      <c r="C172" s="48" t="n"/>
      <c r="D172" s="48" t="n"/>
      <c r="E172" s="48" t="n"/>
      <c r="F172" s="48" t="n"/>
      <c r="G172" s="48" t="n"/>
      <c r="H172" s="48" t="n"/>
      <c r="I172" s="49" t="n"/>
      <c r="J172" s="50" t="n"/>
      <c r="K172" s="48" t="n"/>
      <c r="L172" s="51">
        <f>IF(A172="","",DATE(YEAR(A172),MONTH(A172),1))</f>
        <v/>
      </c>
      <c r="M172" s="52">
        <f>IF(OR(A172="",NOT(ISNUMBER(I172))),"",IF(G172=Lists!$B$5,I172/2,IF(G172=Lists!$B$6,I172,0)))</f>
        <v/>
      </c>
      <c r="N172" s="52">
        <f>IF(OR(A172="",NOT(ISNUMBER(I172))),"",IF(G172=Lists!$B$5,I172/2,IF(G172=Lists!$B$7,I172,0)))</f>
        <v/>
      </c>
      <c r="O172" s="53">
        <f>IF(COUNTA(A172:K172)=0,"",IF(OR(A172="",B172="",C172="",D172="",E172="",F172="",G172="",NOT(ISNUMBER(I172))),"Incomplete",IF(COUNTIF(Lists!$H$4:$AA$4,C172)=0,"Check category",IF(COUNTIF(INDEX(Lists!$H$6:$AA$45,0,MATCH(C172,Lists!$H$4:$AA$4,0)),D172)=0,"Check sub-category","OK"))))</f>
        <v/>
      </c>
      <c r="P172">
        <f>IF(ISNUMBER(I172),I172+ROW()/10000000,"")</f>
        <v/>
      </c>
      <c r="Q172">
        <f>IF(AND(ISNUMBER(P172),ISNUMBER(A172)),IF(AND(A172&gt;=Dashboard!$Q$3,A172&lt;=Dashboard!$Q$4,OR(J172&lt;&gt;"Yes",Dashboard!$Q$15="Yes")),P172,""),"")</f>
        <v/>
      </c>
    </row>
    <row r="173">
      <c r="A173" s="47" t="n"/>
      <c r="B173" s="48" t="n"/>
      <c r="C173" s="48" t="n"/>
      <c r="D173" s="48" t="n"/>
      <c r="E173" s="48" t="n"/>
      <c r="F173" s="48" t="n"/>
      <c r="G173" s="48" t="n"/>
      <c r="H173" s="48" t="n"/>
      <c r="I173" s="49" t="n"/>
      <c r="J173" s="50" t="n"/>
      <c r="K173" s="48" t="n"/>
      <c r="L173" s="51">
        <f>IF(A173="","",DATE(YEAR(A173),MONTH(A173),1))</f>
        <v/>
      </c>
      <c r="M173" s="52">
        <f>IF(OR(A173="",NOT(ISNUMBER(I173))),"",IF(G173=Lists!$B$5,I173/2,IF(G173=Lists!$B$6,I173,0)))</f>
        <v/>
      </c>
      <c r="N173" s="52">
        <f>IF(OR(A173="",NOT(ISNUMBER(I173))),"",IF(G173=Lists!$B$5,I173/2,IF(G173=Lists!$B$7,I173,0)))</f>
        <v/>
      </c>
      <c r="O173" s="53">
        <f>IF(COUNTA(A173:K173)=0,"",IF(OR(A173="",B173="",C173="",D173="",E173="",F173="",G173="",NOT(ISNUMBER(I173))),"Incomplete",IF(COUNTIF(Lists!$H$4:$AA$4,C173)=0,"Check category",IF(COUNTIF(INDEX(Lists!$H$6:$AA$45,0,MATCH(C173,Lists!$H$4:$AA$4,0)),D173)=0,"Check sub-category","OK"))))</f>
        <v/>
      </c>
      <c r="P173">
        <f>IF(ISNUMBER(I173),I173+ROW()/10000000,"")</f>
        <v/>
      </c>
      <c r="Q173">
        <f>IF(AND(ISNUMBER(P173),ISNUMBER(A173)),IF(AND(A173&gt;=Dashboard!$Q$3,A173&lt;=Dashboard!$Q$4,OR(J173&lt;&gt;"Yes",Dashboard!$Q$15="Yes")),P173,""),"")</f>
        <v/>
      </c>
    </row>
    <row r="174">
      <c r="A174" s="47" t="n"/>
      <c r="B174" s="48" t="n"/>
      <c r="C174" s="48" t="n"/>
      <c r="D174" s="48" t="n"/>
      <c r="E174" s="48" t="n"/>
      <c r="F174" s="48" t="n"/>
      <c r="G174" s="48" t="n"/>
      <c r="H174" s="48" t="n"/>
      <c r="I174" s="49" t="n"/>
      <c r="J174" s="50" t="n"/>
      <c r="K174" s="48" t="n"/>
      <c r="L174" s="51">
        <f>IF(A174="","",DATE(YEAR(A174),MONTH(A174),1))</f>
        <v/>
      </c>
      <c r="M174" s="52">
        <f>IF(OR(A174="",NOT(ISNUMBER(I174))),"",IF(G174=Lists!$B$5,I174/2,IF(G174=Lists!$B$6,I174,0)))</f>
        <v/>
      </c>
      <c r="N174" s="52">
        <f>IF(OR(A174="",NOT(ISNUMBER(I174))),"",IF(G174=Lists!$B$5,I174/2,IF(G174=Lists!$B$7,I174,0)))</f>
        <v/>
      </c>
      <c r="O174" s="53">
        <f>IF(COUNTA(A174:K174)=0,"",IF(OR(A174="",B174="",C174="",D174="",E174="",F174="",G174="",NOT(ISNUMBER(I174))),"Incomplete",IF(COUNTIF(Lists!$H$4:$AA$4,C174)=0,"Check category",IF(COUNTIF(INDEX(Lists!$H$6:$AA$45,0,MATCH(C174,Lists!$H$4:$AA$4,0)),D174)=0,"Check sub-category","OK"))))</f>
        <v/>
      </c>
      <c r="P174">
        <f>IF(ISNUMBER(I174),I174+ROW()/10000000,"")</f>
        <v/>
      </c>
      <c r="Q174">
        <f>IF(AND(ISNUMBER(P174),ISNUMBER(A174)),IF(AND(A174&gt;=Dashboard!$Q$3,A174&lt;=Dashboard!$Q$4,OR(J174&lt;&gt;"Yes",Dashboard!$Q$15="Yes")),P174,""),"")</f>
        <v/>
      </c>
    </row>
    <row r="175">
      <c r="A175" s="47" t="n"/>
      <c r="B175" s="48" t="n"/>
      <c r="C175" s="48" t="n"/>
      <c r="D175" s="48" t="n"/>
      <c r="E175" s="48" t="n"/>
      <c r="F175" s="48" t="n"/>
      <c r="G175" s="48" t="n"/>
      <c r="H175" s="48" t="n"/>
      <c r="I175" s="49" t="n"/>
      <c r="J175" s="50" t="n"/>
      <c r="K175" s="48" t="n"/>
      <c r="L175" s="51">
        <f>IF(A175="","",DATE(YEAR(A175),MONTH(A175),1))</f>
        <v/>
      </c>
      <c r="M175" s="52">
        <f>IF(OR(A175="",NOT(ISNUMBER(I175))),"",IF(G175=Lists!$B$5,I175/2,IF(G175=Lists!$B$6,I175,0)))</f>
        <v/>
      </c>
      <c r="N175" s="52">
        <f>IF(OR(A175="",NOT(ISNUMBER(I175))),"",IF(G175=Lists!$B$5,I175/2,IF(G175=Lists!$B$7,I175,0)))</f>
        <v/>
      </c>
      <c r="O175" s="53">
        <f>IF(COUNTA(A175:K175)=0,"",IF(OR(A175="",B175="",C175="",D175="",E175="",F175="",G175="",NOT(ISNUMBER(I175))),"Incomplete",IF(COUNTIF(Lists!$H$4:$AA$4,C175)=0,"Check category",IF(COUNTIF(INDEX(Lists!$H$6:$AA$45,0,MATCH(C175,Lists!$H$4:$AA$4,0)),D175)=0,"Check sub-category","OK"))))</f>
        <v/>
      </c>
      <c r="P175">
        <f>IF(ISNUMBER(I175),I175+ROW()/10000000,"")</f>
        <v/>
      </c>
      <c r="Q175">
        <f>IF(AND(ISNUMBER(P175),ISNUMBER(A175)),IF(AND(A175&gt;=Dashboard!$Q$3,A175&lt;=Dashboard!$Q$4,OR(J175&lt;&gt;"Yes",Dashboard!$Q$15="Yes")),P175,""),"")</f>
        <v/>
      </c>
    </row>
    <row r="176">
      <c r="A176" s="47" t="n"/>
      <c r="B176" s="48" t="n"/>
      <c r="C176" s="48" t="n"/>
      <c r="D176" s="48" t="n"/>
      <c r="E176" s="48" t="n"/>
      <c r="F176" s="48" t="n"/>
      <c r="G176" s="48" t="n"/>
      <c r="H176" s="48" t="n"/>
      <c r="I176" s="49" t="n"/>
      <c r="J176" s="50" t="n"/>
      <c r="K176" s="48" t="n"/>
      <c r="L176" s="51">
        <f>IF(A176="","",DATE(YEAR(A176),MONTH(A176),1))</f>
        <v/>
      </c>
      <c r="M176" s="52">
        <f>IF(OR(A176="",NOT(ISNUMBER(I176))),"",IF(G176=Lists!$B$5,I176/2,IF(G176=Lists!$B$6,I176,0)))</f>
        <v/>
      </c>
      <c r="N176" s="52">
        <f>IF(OR(A176="",NOT(ISNUMBER(I176))),"",IF(G176=Lists!$B$5,I176/2,IF(G176=Lists!$B$7,I176,0)))</f>
        <v/>
      </c>
      <c r="O176" s="53">
        <f>IF(COUNTA(A176:K176)=0,"",IF(OR(A176="",B176="",C176="",D176="",E176="",F176="",G176="",NOT(ISNUMBER(I176))),"Incomplete",IF(COUNTIF(Lists!$H$4:$AA$4,C176)=0,"Check category",IF(COUNTIF(INDEX(Lists!$H$6:$AA$45,0,MATCH(C176,Lists!$H$4:$AA$4,0)),D176)=0,"Check sub-category","OK"))))</f>
        <v/>
      </c>
      <c r="P176">
        <f>IF(ISNUMBER(I176),I176+ROW()/10000000,"")</f>
        <v/>
      </c>
      <c r="Q176">
        <f>IF(AND(ISNUMBER(P176),ISNUMBER(A176)),IF(AND(A176&gt;=Dashboard!$Q$3,A176&lt;=Dashboard!$Q$4,OR(J176&lt;&gt;"Yes",Dashboard!$Q$15="Yes")),P176,""),"")</f>
        <v/>
      </c>
    </row>
    <row r="177">
      <c r="A177" s="47" t="n"/>
      <c r="B177" s="48" t="n"/>
      <c r="C177" s="48" t="n"/>
      <c r="D177" s="48" t="n"/>
      <c r="E177" s="48" t="n"/>
      <c r="F177" s="48" t="n"/>
      <c r="G177" s="48" t="n"/>
      <c r="H177" s="48" t="n"/>
      <c r="I177" s="49" t="n"/>
      <c r="J177" s="50" t="n"/>
      <c r="K177" s="48" t="n"/>
      <c r="L177" s="51">
        <f>IF(A177="","",DATE(YEAR(A177),MONTH(A177),1))</f>
        <v/>
      </c>
      <c r="M177" s="52">
        <f>IF(OR(A177="",NOT(ISNUMBER(I177))),"",IF(G177=Lists!$B$5,I177/2,IF(G177=Lists!$B$6,I177,0)))</f>
        <v/>
      </c>
      <c r="N177" s="52">
        <f>IF(OR(A177="",NOT(ISNUMBER(I177))),"",IF(G177=Lists!$B$5,I177/2,IF(G177=Lists!$B$7,I177,0)))</f>
        <v/>
      </c>
      <c r="O177" s="53">
        <f>IF(COUNTA(A177:K177)=0,"",IF(OR(A177="",B177="",C177="",D177="",E177="",F177="",G177="",NOT(ISNUMBER(I177))),"Incomplete",IF(COUNTIF(Lists!$H$4:$AA$4,C177)=0,"Check category",IF(COUNTIF(INDEX(Lists!$H$6:$AA$45,0,MATCH(C177,Lists!$H$4:$AA$4,0)),D177)=0,"Check sub-category","OK"))))</f>
        <v/>
      </c>
      <c r="P177">
        <f>IF(ISNUMBER(I177),I177+ROW()/10000000,"")</f>
        <v/>
      </c>
      <c r="Q177">
        <f>IF(AND(ISNUMBER(P177),ISNUMBER(A177)),IF(AND(A177&gt;=Dashboard!$Q$3,A177&lt;=Dashboard!$Q$4,OR(J177&lt;&gt;"Yes",Dashboard!$Q$15="Yes")),P177,""),"")</f>
        <v/>
      </c>
    </row>
    <row r="178">
      <c r="A178" s="47" t="n"/>
      <c r="B178" s="48" t="n"/>
      <c r="C178" s="48" t="n"/>
      <c r="D178" s="48" t="n"/>
      <c r="E178" s="48" t="n"/>
      <c r="F178" s="48" t="n"/>
      <c r="G178" s="48" t="n"/>
      <c r="H178" s="48" t="n"/>
      <c r="I178" s="49" t="n"/>
      <c r="J178" s="50" t="n"/>
      <c r="K178" s="48" t="n"/>
      <c r="L178" s="51">
        <f>IF(A178="","",DATE(YEAR(A178),MONTH(A178),1))</f>
        <v/>
      </c>
      <c r="M178" s="52">
        <f>IF(OR(A178="",NOT(ISNUMBER(I178))),"",IF(G178=Lists!$B$5,I178/2,IF(G178=Lists!$B$6,I178,0)))</f>
        <v/>
      </c>
      <c r="N178" s="52">
        <f>IF(OR(A178="",NOT(ISNUMBER(I178))),"",IF(G178=Lists!$B$5,I178/2,IF(G178=Lists!$B$7,I178,0)))</f>
        <v/>
      </c>
      <c r="O178" s="53">
        <f>IF(COUNTA(A178:K178)=0,"",IF(OR(A178="",B178="",C178="",D178="",E178="",F178="",G178="",NOT(ISNUMBER(I178))),"Incomplete",IF(COUNTIF(Lists!$H$4:$AA$4,C178)=0,"Check category",IF(COUNTIF(INDEX(Lists!$H$6:$AA$45,0,MATCH(C178,Lists!$H$4:$AA$4,0)),D178)=0,"Check sub-category","OK"))))</f>
        <v/>
      </c>
      <c r="P178">
        <f>IF(ISNUMBER(I178),I178+ROW()/10000000,"")</f>
        <v/>
      </c>
      <c r="Q178">
        <f>IF(AND(ISNUMBER(P178),ISNUMBER(A178)),IF(AND(A178&gt;=Dashboard!$Q$3,A178&lt;=Dashboard!$Q$4,OR(J178&lt;&gt;"Yes",Dashboard!$Q$15="Yes")),P178,""),"")</f>
        <v/>
      </c>
    </row>
    <row r="179">
      <c r="A179" s="47" t="n"/>
      <c r="B179" s="48" t="n"/>
      <c r="C179" s="48" t="n"/>
      <c r="D179" s="48" t="n"/>
      <c r="E179" s="48" t="n"/>
      <c r="F179" s="48" t="n"/>
      <c r="G179" s="48" t="n"/>
      <c r="H179" s="48" t="n"/>
      <c r="I179" s="49" t="n"/>
      <c r="J179" s="50" t="n"/>
      <c r="K179" s="48" t="n"/>
      <c r="L179" s="51">
        <f>IF(A179="","",DATE(YEAR(A179),MONTH(A179),1))</f>
        <v/>
      </c>
      <c r="M179" s="52">
        <f>IF(OR(A179="",NOT(ISNUMBER(I179))),"",IF(G179=Lists!$B$5,I179/2,IF(G179=Lists!$B$6,I179,0)))</f>
        <v/>
      </c>
      <c r="N179" s="52">
        <f>IF(OR(A179="",NOT(ISNUMBER(I179))),"",IF(G179=Lists!$B$5,I179/2,IF(G179=Lists!$B$7,I179,0)))</f>
        <v/>
      </c>
      <c r="O179" s="53">
        <f>IF(COUNTA(A179:K179)=0,"",IF(OR(A179="",B179="",C179="",D179="",E179="",F179="",G179="",NOT(ISNUMBER(I179))),"Incomplete",IF(COUNTIF(Lists!$H$4:$AA$4,C179)=0,"Check category",IF(COUNTIF(INDEX(Lists!$H$6:$AA$45,0,MATCH(C179,Lists!$H$4:$AA$4,0)),D179)=0,"Check sub-category","OK"))))</f>
        <v/>
      </c>
      <c r="P179">
        <f>IF(ISNUMBER(I179),I179+ROW()/10000000,"")</f>
        <v/>
      </c>
      <c r="Q179">
        <f>IF(AND(ISNUMBER(P179),ISNUMBER(A179)),IF(AND(A179&gt;=Dashboard!$Q$3,A179&lt;=Dashboard!$Q$4,OR(J179&lt;&gt;"Yes",Dashboard!$Q$15="Yes")),P179,""),"")</f>
        <v/>
      </c>
    </row>
    <row r="180">
      <c r="A180" s="47" t="n"/>
      <c r="B180" s="48" t="n"/>
      <c r="C180" s="48" t="n"/>
      <c r="D180" s="48" t="n"/>
      <c r="E180" s="48" t="n"/>
      <c r="F180" s="48" t="n"/>
      <c r="G180" s="48" t="n"/>
      <c r="H180" s="48" t="n"/>
      <c r="I180" s="49" t="n"/>
      <c r="J180" s="50" t="n"/>
      <c r="K180" s="48" t="n"/>
      <c r="L180" s="51">
        <f>IF(A180="","",DATE(YEAR(A180),MONTH(A180),1))</f>
        <v/>
      </c>
      <c r="M180" s="52">
        <f>IF(OR(A180="",NOT(ISNUMBER(I180))),"",IF(G180=Lists!$B$5,I180/2,IF(G180=Lists!$B$6,I180,0)))</f>
        <v/>
      </c>
      <c r="N180" s="52">
        <f>IF(OR(A180="",NOT(ISNUMBER(I180))),"",IF(G180=Lists!$B$5,I180/2,IF(G180=Lists!$B$7,I180,0)))</f>
        <v/>
      </c>
      <c r="O180" s="53">
        <f>IF(COUNTA(A180:K180)=0,"",IF(OR(A180="",B180="",C180="",D180="",E180="",F180="",G180="",NOT(ISNUMBER(I180))),"Incomplete",IF(COUNTIF(Lists!$H$4:$AA$4,C180)=0,"Check category",IF(COUNTIF(INDEX(Lists!$H$6:$AA$45,0,MATCH(C180,Lists!$H$4:$AA$4,0)),D180)=0,"Check sub-category","OK"))))</f>
        <v/>
      </c>
      <c r="P180">
        <f>IF(ISNUMBER(I180),I180+ROW()/10000000,"")</f>
        <v/>
      </c>
      <c r="Q180">
        <f>IF(AND(ISNUMBER(P180),ISNUMBER(A180)),IF(AND(A180&gt;=Dashboard!$Q$3,A180&lt;=Dashboard!$Q$4,OR(J180&lt;&gt;"Yes",Dashboard!$Q$15="Yes")),P180,""),"")</f>
        <v/>
      </c>
    </row>
    <row r="181">
      <c r="A181" s="47" t="n"/>
      <c r="B181" s="48" t="n"/>
      <c r="C181" s="48" t="n"/>
      <c r="D181" s="48" t="n"/>
      <c r="E181" s="48" t="n"/>
      <c r="F181" s="48" t="n"/>
      <c r="G181" s="48" t="n"/>
      <c r="H181" s="48" t="n"/>
      <c r="I181" s="49" t="n"/>
      <c r="J181" s="50" t="n"/>
      <c r="K181" s="48" t="n"/>
      <c r="L181" s="51">
        <f>IF(A181="","",DATE(YEAR(A181),MONTH(A181),1))</f>
        <v/>
      </c>
      <c r="M181" s="52">
        <f>IF(OR(A181="",NOT(ISNUMBER(I181))),"",IF(G181=Lists!$B$5,I181/2,IF(G181=Lists!$B$6,I181,0)))</f>
        <v/>
      </c>
      <c r="N181" s="52">
        <f>IF(OR(A181="",NOT(ISNUMBER(I181))),"",IF(G181=Lists!$B$5,I181/2,IF(G181=Lists!$B$7,I181,0)))</f>
        <v/>
      </c>
      <c r="O181" s="53">
        <f>IF(COUNTA(A181:K181)=0,"",IF(OR(A181="",B181="",C181="",D181="",E181="",F181="",G181="",NOT(ISNUMBER(I181))),"Incomplete",IF(COUNTIF(Lists!$H$4:$AA$4,C181)=0,"Check category",IF(COUNTIF(INDEX(Lists!$H$6:$AA$45,0,MATCH(C181,Lists!$H$4:$AA$4,0)),D181)=0,"Check sub-category","OK"))))</f>
        <v/>
      </c>
      <c r="P181">
        <f>IF(ISNUMBER(I181),I181+ROW()/10000000,"")</f>
        <v/>
      </c>
      <c r="Q181">
        <f>IF(AND(ISNUMBER(P181),ISNUMBER(A181)),IF(AND(A181&gt;=Dashboard!$Q$3,A181&lt;=Dashboard!$Q$4,OR(J181&lt;&gt;"Yes",Dashboard!$Q$15="Yes")),P181,""),"")</f>
        <v/>
      </c>
    </row>
    <row r="182">
      <c r="A182" s="47" t="n"/>
      <c r="B182" s="48" t="n"/>
      <c r="C182" s="48" t="n"/>
      <c r="D182" s="48" t="n"/>
      <c r="E182" s="48" t="n"/>
      <c r="F182" s="48" t="n"/>
      <c r="G182" s="48" t="n"/>
      <c r="H182" s="48" t="n"/>
      <c r="I182" s="49" t="n"/>
      <c r="J182" s="50" t="n"/>
      <c r="K182" s="48" t="n"/>
      <c r="L182" s="51">
        <f>IF(A182="","",DATE(YEAR(A182),MONTH(A182),1))</f>
        <v/>
      </c>
      <c r="M182" s="52">
        <f>IF(OR(A182="",NOT(ISNUMBER(I182))),"",IF(G182=Lists!$B$5,I182/2,IF(G182=Lists!$B$6,I182,0)))</f>
        <v/>
      </c>
      <c r="N182" s="52">
        <f>IF(OR(A182="",NOT(ISNUMBER(I182))),"",IF(G182=Lists!$B$5,I182/2,IF(G182=Lists!$B$7,I182,0)))</f>
        <v/>
      </c>
      <c r="O182" s="53">
        <f>IF(COUNTA(A182:K182)=0,"",IF(OR(A182="",B182="",C182="",D182="",E182="",F182="",G182="",NOT(ISNUMBER(I182))),"Incomplete",IF(COUNTIF(Lists!$H$4:$AA$4,C182)=0,"Check category",IF(COUNTIF(INDEX(Lists!$H$6:$AA$45,0,MATCH(C182,Lists!$H$4:$AA$4,0)),D182)=0,"Check sub-category","OK"))))</f>
        <v/>
      </c>
      <c r="P182">
        <f>IF(ISNUMBER(I182),I182+ROW()/10000000,"")</f>
        <v/>
      </c>
      <c r="Q182">
        <f>IF(AND(ISNUMBER(P182),ISNUMBER(A182)),IF(AND(A182&gt;=Dashboard!$Q$3,A182&lt;=Dashboard!$Q$4,OR(J182&lt;&gt;"Yes",Dashboard!$Q$15="Yes")),P182,""),"")</f>
        <v/>
      </c>
    </row>
    <row r="183">
      <c r="A183" s="47" t="n"/>
      <c r="B183" s="48" t="n"/>
      <c r="C183" s="48" t="n"/>
      <c r="D183" s="48" t="n"/>
      <c r="E183" s="48" t="n"/>
      <c r="F183" s="48" t="n"/>
      <c r="G183" s="48" t="n"/>
      <c r="H183" s="48" t="n"/>
      <c r="I183" s="49" t="n"/>
      <c r="J183" s="50" t="n"/>
      <c r="K183" s="48" t="n"/>
      <c r="L183" s="51">
        <f>IF(A183="","",DATE(YEAR(A183),MONTH(A183),1))</f>
        <v/>
      </c>
      <c r="M183" s="52">
        <f>IF(OR(A183="",NOT(ISNUMBER(I183))),"",IF(G183=Lists!$B$5,I183/2,IF(G183=Lists!$B$6,I183,0)))</f>
        <v/>
      </c>
      <c r="N183" s="52">
        <f>IF(OR(A183="",NOT(ISNUMBER(I183))),"",IF(G183=Lists!$B$5,I183/2,IF(G183=Lists!$B$7,I183,0)))</f>
        <v/>
      </c>
      <c r="O183" s="53">
        <f>IF(COUNTA(A183:K183)=0,"",IF(OR(A183="",B183="",C183="",D183="",E183="",F183="",G183="",NOT(ISNUMBER(I183))),"Incomplete",IF(COUNTIF(Lists!$H$4:$AA$4,C183)=0,"Check category",IF(COUNTIF(INDEX(Lists!$H$6:$AA$45,0,MATCH(C183,Lists!$H$4:$AA$4,0)),D183)=0,"Check sub-category","OK"))))</f>
        <v/>
      </c>
      <c r="P183">
        <f>IF(ISNUMBER(I183),I183+ROW()/10000000,"")</f>
        <v/>
      </c>
      <c r="Q183">
        <f>IF(AND(ISNUMBER(P183),ISNUMBER(A183)),IF(AND(A183&gt;=Dashboard!$Q$3,A183&lt;=Dashboard!$Q$4,OR(J183&lt;&gt;"Yes",Dashboard!$Q$15="Yes")),P183,""),"")</f>
        <v/>
      </c>
    </row>
    <row r="184">
      <c r="A184" s="47" t="n"/>
      <c r="B184" s="48" t="n"/>
      <c r="C184" s="48" t="n"/>
      <c r="D184" s="48" t="n"/>
      <c r="E184" s="48" t="n"/>
      <c r="F184" s="48" t="n"/>
      <c r="G184" s="48" t="n"/>
      <c r="H184" s="48" t="n"/>
      <c r="I184" s="49" t="n"/>
      <c r="J184" s="50" t="n"/>
      <c r="K184" s="48" t="n"/>
      <c r="L184" s="51">
        <f>IF(A184="","",DATE(YEAR(A184),MONTH(A184),1))</f>
        <v/>
      </c>
      <c r="M184" s="52">
        <f>IF(OR(A184="",NOT(ISNUMBER(I184))),"",IF(G184=Lists!$B$5,I184/2,IF(G184=Lists!$B$6,I184,0)))</f>
        <v/>
      </c>
      <c r="N184" s="52">
        <f>IF(OR(A184="",NOT(ISNUMBER(I184))),"",IF(G184=Lists!$B$5,I184/2,IF(G184=Lists!$B$7,I184,0)))</f>
        <v/>
      </c>
      <c r="O184" s="53">
        <f>IF(COUNTA(A184:K184)=0,"",IF(OR(A184="",B184="",C184="",D184="",E184="",F184="",G184="",NOT(ISNUMBER(I184))),"Incomplete",IF(COUNTIF(Lists!$H$4:$AA$4,C184)=0,"Check category",IF(COUNTIF(INDEX(Lists!$H$6:$AA$45,0,MATCH(C184,Lists!$H$4:$AA$4,0)),D184)=0,"Check sub-category","OK"))))</f>
        <v/>
      </c>
      <c r="P184">
        <f>IF(ISNUMBER(I184),I184+ROW()/10000000,"")</f>
        <v/>
      </c>
      <c r="Q184">
        <f>IF(AND(ISNUMBER(P184),ISNUMBER(A184)),IF(AND(A184&gt;=Dashboard!$Q$3,A184&lt;=Dashboard!$Q$4,OR(J184&lt;&gt;"Yes",Dashboard!$Q$15="Yes")),P184,""),"")</f>
        <v/>
      </c>
    </row>
    <row r="185">
      <c r="A185" s="47" t="n"/>
      <c r="B185" s="48" t="n"/>
      <c r="C185" s="48" t="n"/>
      <c r="D185" s="48" t="n"/>
      <c r="E185" s="48" t="n"/>
      <c r="F185" s="48" t="n"/>
      <c r="G185" s="48" t="n"/>
      <c r="H185" s="48" t="n"/>
      <c r="I185" s="49" t="n"/>
      <c r="J185" s="50" t="n"/>
      <c r="K185" s="48" t="n"/>
      <c r="L185" s="51">
        <f>IF(A185="","",DATE(YEAR(A185),MONTH(A185),1))</f>
        <v/>
      </c>
      <c r="M185" s="52">
        <f>IF(OR(A185="",NOT(ISNUMBER(I185))),"",IF(G185=Lists!$B$5,I185/2,IF(G185=Lists!$B$6,I185,0)))</f>
        <v/>
      </c>
      <c r="N185" s="52">
        <f>IF(OR(A185="",NOT(ISNUMBER(I185))),"",IF(G185=Lists!$B$5,I185/2,IF(G185=Lists!$B$7,I185,0)))</f>
        <v/>
      </c>
      <c r="O185" s="53">
        <f>IF(COUNTA(A185:K185)=0,"",IF(OR(A185="",B185="",C185="",D185="",E185="",F185="",G185="",NOT(ISNUMBER(I185))),"Incomplete",IF(COUNTIF(Lists!$H$4:$AA$4,C185)=0,"Check category",IF(COUNTIF(INDEX(Lists!$H$6:$AA$45,0,MATCH(C185,Lists!$H$4:$AA$4,0)),D185)=0,"Check sub-category","OK"))))</f>
        <v/>
      </c>
      <c r="P185">
        <f>IF(ISNUMBER(I185),I185+ROW()/10000000,"")</f>
        <v/>
      </c>
      <c r="Q185">
        <f>IF(AND(ISNUMBER(P185),ISNUMBER(A185)),IF(AND(A185&gt;=Dashboard!$Q$3,A185&lt;=Dashboard!$Q$4,OR(J185&lt;&gt;"Yes",Dashboard!$Q$15="Yes")),P185,""),"")</f>
        <v/>
      </c>
    </row>
    <row r="186">
      <c r="A186" s="47" t="n"/>
      <c r="B186" s="48" t="n"/>
      <c r="C186" s="48" t="n"/>
      <c r="D186" s="48" t="n"/>
      <c r="E186" s="48" t="n"/>
      <c r="F186" s="48" t="n"/>
      <c r="G186" s="48" t="n"/>
      <c r="H186" s="48" t="n"/>
      <c r="I186" s="49" t="n"/>
      <c r="J186" s="50" t="n"/>
      <c r="K186" s="48" t="n"/>
      <c r="L186" s="51">
        <f>IF(A186="","",DATE(YEAR(A186),MONTH(A186),1))</f>
        <v/>
      </c>
      <c r="M186" s="52">
        <f>IF(OR(A186="",NOT(ISNUMBER(I186))),"",IF(G186=Lists!$B$5,I186/2,IF(G186=Lists!$B$6,I186,0)))</f>
        <v/>
      </c>
      <c r="N186" s="52">
        <f>IF(OR(A186="",NOT(ISNUMBER(I186))),"",IF(G186=Lists!$B$5,I186/2,IF(G186=Lists!$B$7,I186,0)))</f>
        <v/>
      </c>
      <c r="O186" s="53">
        <f>IF(COUNTA(A186:K186)=0,"",IF(OR(A186="",B186="",C186="",D186="",E186="",F186="",G186="",NOT(ISNUMBER(I186))),"Incomplete",IF(COUNTIF(Lists!$H$4:$AA$4,C186)=0,"Check category",IF(COUNTIF(INDEX(Lists!$H$6:$AA$45,0,MATCH(C186,Lists!$H$4:$AA$4,0)),D186)=0,"Check sub-category","OK"))))</f>
        <v/>
      </c>
      <c r="P186">
        <f>IF(ISNUMBER(I186),I186+ROW()/10000000,"")</f>
        <v/>
      </c>
      <c r="Q186">
        <f>IF(AND(ISNUMBER(P186),ISNUMBER(A186)),IF(AND(A186&gt;=Dashboard!$Q$3,A186&lt;=Dashboard!$Q$4,OR(J186&lt;&gt;"Yes",Dashboard!$Q$15="Yes")),P186,""),"")</f>
        <v/>
      </c>
    </row>
    <row r="187">
      <c r="A187" s="47" t="n"/>
      <c r="B187" s="48" t="n"/>
      <c r="C187" s="48" t="n"/>
      <c r="D187" s="48" t="n"/>
      <c r="E187" s="48" t="n"/>
      <c r="F187" s="48" t="n"/>
      <c r="G187" s="48" t="n"/>
      <c r="H187" s="48" t="n"/>
      <c r="I187" s="49" t="n"/>
      <c r="J187" s="50" t="n"/>
      <c r="K187" s="48" t="n"/>
      <c r="L187" s="51">
        <f>IF(A187="","",DATE(YEAR(A187),MONTH(A187),1))</f>
        <v/>
      </c>
      <c r="M187" s="52">
        <f>IF(OR(A187="",NOT(ISNUMBER(I187))),"",IF(G187=Lists!$B$5,I187/2,IF(G187=Lists!$B$6,I187,0)))</f>
        <v/>
      </c>
      <c r="N187" s="52">
        <f>IF(OR(A187="",NOT(ISNUMBER(I187))),"",IF(G187=Lists!$B$5,I187/2,IF(G187=Lists!$B$7,I187,0)))</f>
        <v/>
      </c>
      <c r="O187" s="53">
        <f>IF(COUNTA(A187:K187)=0,"",IF(OR(A187="",B187="",C187="",D187="",E187="",F187="",G187="",NOT(ISNUMBER(I187))),"Incomplete",IF(COUNTIF(Lists!$H$4:$AA$4,C187)=0,"Check category",IF(COUNTIF(INDEX(Lists!$H$6:$AA$45,0,MATCH(C187,Lists!$H$4:$AA$4,0)),D187)=0,"Check sub-category","OK"))))</f>
        <v/>
      </c>
      <c r="P187">
        <f>IF(ISNUMBER(I187),I187+ROW()/10000000,"")</f>
        <v/>
      </c>
      <c r="Q187">
        <f>IF(AND(ISNUMBER(P187),ISNUMBER(A187)),IF(AND(A187&gt;=Dashboard!$Q$3,A187&lt;=Dashboard!$Q$4,OR(J187&lt;&gt;"Yes",Dashboard!$Q$15="Yes")),P187,""),"")</f>
        <v/>
      </c>
    </row>
    <row r="188">
      <c r="A188" s="47" t="n"/>
      <c r="B188" s="48" t="n"/>
      <c r="C188" s="48" t="n"/>
      <c r="D188" s="48" t="n"/>
      <c r="E188" s="48" t="n"/>
      <c r="F188" s="48" t="n"/>
      <c r="G188" s="48" t="n"/>
      <c r="H188" s="48" t="n"/>
      <c r="I188" s="49" t="n"/>
      <c r="J188" s="50" t="n"/>
      <c r="K188" s="48" t="n"/>
      <c r="L188" s="51">
        <f>IF(A188="","",DATE(YEAR(A188),MONTH(A188),1))</f>
        <v/>
      </c>
      <c r="M188" s="52">
        <f>IF(OR(A188="",NOT(ISNUMBER(I188))),"",IF(G188=Lists!$B$5,I188/2,IF(G188=Lists!$B$6,I188,0)))</f>
        <v/>
      </c>
      <c r="N188" s="52">
        <f>IF(OR(A188="",NOT(ISNUMBER(I188))),"",IF(G188=Lists!$B$5,I188/2,IF(G188=Lists!$B$7,I188,0)))</f>
        <v/>
      </c>
      <c r="O188" s="53">
        <f>IF(COUNTA(A188:K188)=0,"",IF(OR(A188="",B188="",C188="",D188="",E188="",F188="",G188="",NOT(ISNUMBER(I188))),"Incomplete",IF(COUNTIF(Lists!$H$4:$AA$4,C188)=0,"Check category",IF(COUNTIF(INDEX(Lists!$H$6:$AA$45,0,MATCH(C188,Lists!$H$4:$AA$4,0)),D188)=0,"Check sub-category","OK"))))</f>
        <v/>
      </c>
      <c r="P188">
        <f>IF(ISNUMBER(I188),I188+ROW()/10000000,"")</f>
        <v/>
      </c>
      <c r="Q188">
        <f>IF(AND(ISNUMBER(P188),ISNUMBER(A188)),IF(AND(A188&gt;=Dashboard!$Q$3,A188&lt;=Dashboard!$Q$4,OR(J188&lt;&gt;"Yes",Dashboard!$Q$15="Yes")),P188,""),"")</f>
        <v/>
      </c>
    </row>
    <row r="189">
      <c r="A189" s="47" t="n"/>
      <c r="B189" s="48" t="n"/>
      <c r="C189" s="48" t="n"/>
      <c r="D189" s="48" t="n"/>
      <c r="E189" s="48" t="n"/>
      <c r="F189" s="48" t="n"/>
      <c r="G189" s="48" t="n"/>
      <c r="H189" s="48" t="n"/>
      <c r="I189" s="49" t="n"/>
      <c r="J189" s="50" t="n"/>
      <c r="K189" s="48" t="n"/>
      <c r="L189" s="51">
        <f>IF(A189="","",DATE(YEAR(A189),MONTH(A189),1))</f>
        <v/>
      </c>
      <c r="M189" s="52">
        <f>IF(OR(A189="",NOT(ISNUMBER(I189))),"",IF(G189=Lists!$B$5,I189/2,IF(G189=Lists!$B$6,I189,0)))</f>
        <v/>
      </c>
      <c r="N189" s="52">
        <f>IF(OR(A189="",NOT(ISNUMBER(I189))),"",IF(G189=Lists!$B$5,I189/2,IF(G189=Lists!$B$7,I189,0)))</f>
        <v/>
      </c>
      <c r="O189" s="53">
        <f>IF(COUNTA(A189:K189)=0,"",IF(OR(A189="",B189="",C189="",D189="",E189="",F189="",G189="",NOT(ISNUMBER(I189))),"Incomplete",IF(COUNTIF(Lists!$H$4:$AA$4,C189)=0,"Check category",IF(COUNTIF(INDEX(Lists!$H$6:$AA$45,0,MATCH(C189,Lists!$H$4:$AA$4,0)),D189)=0,"Check sub-category","OK"))))</f>
        <v/>
      </c>
      <c r="P189">
        <f>IF(ISNUMBER(I189),I189+ROW()/10000000,"")</f>
        <v/>
      </c>
      <c r="Q189">
        <f>IF(AND(ISNUMBER(P189),ISNUMBER(A189)),IF(AND(A189&gt;=Dashboard!$Q$3,A189&lt;=Dashboard!$Q$4,OR(J189&lt;&gt;"Yes",Dashboard!$Q$15="Yes")),P189,""),"")</f>
        <v/>
      </c>
    </row>
    <row r="190">
      <c r="A190" s="47" t="n"/>
      <c r="B190" s="48" t="n"/>
      <c r="C190" s="48" t="n"/>
      <c r="D190" s="48" t="n"/>
      <c r="E190" s="48" t="n"/>
      <c r="F190" s="48" t="n"/>
      <c r="G190" s="48" t="n"/>
      <c r="H190" s="48" t="n"/>
      <c r="I190" s="49" t="n"/>
      <c r="J190" s="50" t="n"/>
      <c r="K190" s="48" t="n"/>
      <c r="L190" s="51">
        <f>IF(A190="","",DATE(YEAR(A190),MONTH(A190),1))</f>
        <v/>
      </c>
      <c r="M190" s="52">
        <f>IF(OR(A190="",NOT(ISNUMBER(I190))),"",IF(G190=Lists!$B$5,I190/2,IF(G190=Lists!$B$6,I190,0)))</f>
        <v/>
      </c>
      <c r="N190" s="52">
        <f>IF(OR(A190="",NOT(ISNUMBER(I190))),"",IF(G190=Lists!$B$5,I190/2,IF(G190=Lists!$B$7,I190,0)))</f>
        <v/>
      </c>
      <c r="O190" s="53">
        <f>IF(COUNTA(A190:K190)=0,"",IF(OR(A190="",B190="",C190="",D190="",E190="",F190="",G190="",NOT(ISNUMBER(I190))),"Incomplete",IF(COUNTIF(Lists!$H$4:$AA$4,C190)=0,"Check category",IF(COUNTIF(INDEX(Lists!$H$6:$AA$45,0,MATCH(C190,Lists!$H$4:$AA$4,0)),D190)=0,"Check sub-category","OK"))))</f>
        <v/>
      </c>
      <c r="P190">
        <f>IF(ISNUMBER(I190),I190+ROW()/10000000,"")</f>
        <v/>
      </c>
      <c r="Q190">
        <f>IF(AND(ISNUMBER(P190),ISNUMBER(A190)),IF(AND(A190&gt;=Dashboard!$Q$3,A190&lt;=Dashboard!$Q$4,OR(J190&lt;&gt;"Yes",Dashboard!$Q$15="Yes")),P190,""),"")</f>
        <v/>
      </c>
    </row>
    <row r="191">
      <c r="A191" s="47" t="n"/>
      <c r="B191" s="48" t="n"/>
      <c r="C191" s="48" t="n"/>
      <c r="D191" s="48" t="n"/>
      <c r="E191" s="48" t="n"/>
      <c r="F191" s="48" t="n"/>
      <c r="G191" s="48" t="n"/>
      <c r="H191" s="48" t="n"/>
      <c r="I191" s="49" t="n"/>
      <c r="J191" s="50" t="n"/>
      <c r="K191" s="48" t="n"/>
      <c r="L191" s="51">
        <f>IF(A191="","",DATE(YEAR(A191),MONTH(A191),1))</f>
        <v/>
      </c>
      <c r="M191" s="52">
        <f>IF(OR(A191="",NOT(ISNUMBER(I191))),"",IF(G191=Lists!$B$5,I191/2,IF(G191=Lists!$B$6,I191,0)))</f>
        <v/>
      </c>
      <c r="N191" s="52">
        <f>IF(OR(A191="",NOT(ISNUMBER(I191))),"",IF(G191=Lists!$B$5,I191/2,IF(G191=Lists!$B$7,I191,0)))</f>
        <v/>
      </c>
      <c r="O191" s="53">
        <f>IF(COUNTA(A191:K191)=0,"",IF(OR(A191="",B191="",C191="",D191="",E191="",F191="",G191="",NOT(ISNUMBER(I191))),"Incomplete",IF(COUNTIF(Lists!$H$4:$AA$4,C191)=0,"Check category",IF(COUNTIF(INDEX(Lists!$H$6:$AA$45,0,MATCH(C191,Lists!$H$4:$AA$4,0)),D191)=0,"Check sub-category","OK"))))</f>
        <v/>
      </c>
      <c r="P191">
        <f>IF(ISNUMBER(I191),I191+ROW()/10000000,"")</f>
        <v/>
      </c>
      <c r="Q191">
        <f>IF(AND(ISNUMBER(P191),ISNUMBER(A191)),IF(AND(A191&gt;=Dashboard!$Q$3,A191&lt;=Dashboard!$Q$4,OR(J191&lt;&gt;"Yes",Dashboard!$Q$15="Yes")),P191,""),"")</f>
        <v/>
      </c>
    </row>
    <row r="192">
      <c r="A192" s="47" t="n"/>
      <c r="B192" s="48" t="n"/>
      <c r="C192" s="48" t="n"/>
      <c r="D192" s="48" t="n"/>
      <c r="E192" s="48" t="n"/>
      <c r="F192" s="48" t="n"/>
      <c r="G192" s="48" t="n"/>
      <c r="H192" s="48" t="n"/>
      <c r="I192" s="49" t="n"/>
      <c r="J192" s="50" t="n"/>
      <c r="K192" s="48" t="n"/>
      <c r="L192" s="51">
        <f>IF(A192="","",DATE(YEAR(A192),MONTH(A192),1))</f>
        <v/>
      </c>
      <c r="M192" s="52">
        <f>IF(OR(A192="",NOT(ISNUMBER(I192))),"",IF(G192=Lists!$B$5,I192/2,IF(G192=Lists!$B$6,I192,0)))</f>
        <v/>
      </c>
      <c r="N192" s="52">
        <f>IF(OR(A192="",NOT(ISNUMBER(I192))),"",IF(G192=Lists!$B$5,I192/2,IF(G192=Lists!$B$7,I192,0)))</f>
        <v/>
      </c>
      <c r="O192" s="53">
        <f>IF(COUNTA(A192:K192)=0,"",IF(OR(A192="",B192="",C192="",D192="",E192="",F192="",G192="",NOT(ISNUMBER(I192))),"Incomplete",IF(COUNTIF(Lists!$H$4:$AA$4,C192)=0,"Check category",IF(COUNTIF(INDEX(Lists!$H$6:$AA$45,0,MATCH(C192,Lists!$H$4:$AA$4,0)),D192)=0,"Check sub-category","OK"))))</f>
        <v/>
      </c>
      <c r="P192">
        <f>IF(ISNUMBER(I192),I192+ROW()/10000000,"")</f>
        <v/>
      </c>
      <c r="Q192">
        <f>IF(AND(ISNUMBER(P192),ISNUMBER(A192)),IF(AND(A192&gt;=Dashboard!$Q$3,A192&lt;=Dashboard!$Q$4,OR(J192&lt;&gt;"Yes",Dashboard!$Q$15="Yes")),P192,""),"")</f>
        <v/>
      </c>
    </row>
    <row r="193">
      <c r="A193" s="47" t="n"/>
      <c r="B193" s="48" t="n"/>
      <c r="C193" s="48" t="n"/>
      <c r="D193" s="48" t="n"/>
      <c r="E193" s="48" t="n"/>
      <c r="F193" s="48" t="n"/>
      <c r="G193" s="48" t="n"/>
      <c r="H193" s="48" t="n"/>
      <c r="I193" s="49" t="n"/>
      <c r="J193" s="50" t="n"/>
      <c r="K193" s="48" t="n"/>
      <c r="L193" s="51">
        <f>IF(A193="","",DATE(YEAR(A193),MONTH(A193),1))</f>
        <v/>
      </c>
      <c r="M193" s="52">
        <f>IF(OR(A193="",NOT(ISNUMBER(I193))),"",IF(G193=Lists!$B$5,I193/2,IF(G193=Lists!$B$6,I193,0)))</f>
        <v/>
      </c>
      <c r="N193" s="52">
        <f>IF(OR(A193="",NOT(ISNUMBER(I193))),"",IF(G193=Lists!$B$5,I193/2,IF(G193=Lists!$B$7,I193,0)))</f>
        <v/>
      </c>
      <c r="O193" s="53">
        <f>IF(COUNTA(A193:K193)=0,"",IF(OR(A193="",B193="",C193="",D193="",E193="",F193="",G193="",NOT(ISNUMBER(I193))),"Incomplete",IF(COUNTIF(Lists!$H$4:$AA$4,C193)=0,"Check category",IF(COUNTIF(INDEX(Lists!$H$6:$AA$45,0,MATCH(C193,Lists!$H$4:$AA$4,0)),D193)=0,"Check sub-category","OK"))))</f>
        <v/>
      </c>
      <c r="P193">
        <f>IF(ISNUMBER(I193),I193+ROW()/10000000,"")</f>
        <v/>
      </c>
      <c r="Q193">
        <f>IF(AND(ISNUMBER(P193),ISNUMBER(A193)),IF(AND(A193&gt;=Dashboard!$Q$3,A193&lt;=Dashboard!$Q$4,OR(J193&lt;&gt;"Yes",Dashboard!$Q$15="Yes")),P193,""),"")</f>
        <v/>
      </c>
    </row>
    <row r="194">
      <c r="A194" s="47" t="n"/>
      <c r="B194" s="48" t="n"/>
      <c r="C194" s="48" t="n"/>
      <c r="D194" s="48" t="n"/>
      <c r="E194" s="48" t="n"/>
      <c r="F194" s="48" t="n"/>
      <c r="G194" s="48" t="n"/>
      <c r="H194" s="48" t="n"/>
      <c r="I194" s="49" t="n"/>
      <c r="J194" s="50" t="n"/>
      <c r="K194" s="48" t="n"/>
      <c r="L194" s="51">
        <f>IF(A194="","",DATE(YEAR(A194),MONTH(A194),1))</f>
        <v/>
      </c>
      <c r="M194" s="52">
        <f>IF(OR(A194="",NOT(ISNUMBER(I194))),"",IF(G194=Lists!$B$5,I194/2,IF(G194=Lists!$B$6,I194,0)))</f>
        <v/>
      </c>
      <c r="N194" s="52">
        <f>IF(OR(A194="",NOT(ISNUMBER(I194))),"",IF(G194=Lists!$B$5,I194/2,IF(G194=Lists!$B$7,I194,0)))</f>
        <v/>
      </c>
      <c r="O194" s="53">
        <f>IF(COUNTA(A194:K194)=0,"",IF(OR(A194="",B194="",C194="",D194="",E194="",F194="",G194="",NOT(ISNUMBER(I194))),"Incomplete",IF(COUNTIF(Lists!$H$4:$AA$4,C194)=0,"Check category",IF(COUNTIF(INDEX(Lists!$H$6:$AA$45,0,MATCH(C194,Lists!$H$4:$AA$4,0)),D194)=0,"Check sub-category","OK"))))</f>
        <v/>
      </c>
      <c r="P194">
        <f>IF(ISNUMBER(I194),I194+ROW()/10000000,"")</f>
        <v/>
      </c>
      <c r="Q194">
        <f>IF(AND(ISNUMBER(P194),ISNUMBER(A194)),IF(AND(A194&gt;=Dashboard!$Q$3,A194&lt;=Dashboard!$Q$4,OR(J194&lt;&gt;"Yes",Dashboard!$Q$15="Yes")),P194,""),"")</f>
        <v/>
      </c>
    </row>
    <row r="195">
      <c r="A195" s="47" t="n"/>
      <c r="B195" s="48" t="n"/>
      <c r="C195" s="48" t="n"/>
      <c r="D195" s="48" t="n"/>
      <c r="E195" s="48" t="n"/>
      <c r="F195" s="48" t="n"/>
      <c r="G195" s="48" t="n"/>
      <c r="H195" s="48" t="n"/>
      <c r="I195" s="49" t="n"/>
      <c r="J195" s="50" t="n"/>
      <c r="K195" s="48" t="n"/>
      <c r="L195" s="51">
        <f>IF(A195="","",DATE(YEAR(A195),MONTH(A195),1))</f>
        <v/>
      </c>
      <c r="M195" s="52">
        <f>IF(OR(A195="",NOT(ISNUMBER(I195))),"",IF(G195=Lists!$B$5,I195/2,IF(G195=Lists!$B$6,I195,0)))</f>
        <v/>
      </c>
      <c r="N195" s="52">
        <f>IF(OR(A195="",NOT(ISNUMBER(I195))),"",IF(G195=Lists!$B$5,I195/2,IF(G195=Lists!$B$7,I195,0)))</f>
        <v/>
      </c>
      <c r="O195" s="53">
        <f>IF(COUNTA(A195:K195)=0,"",IF(OR(A195="",B195="",C195="",D195="",E195="",F195="",G195="",NOT(ISNUMBER(I195))),"Incomplete",IF(COUNTIF(Lists!$H$4:$AA$4,C195)=0,"Check category",IF(COUNTIF(INDEX(Lists!$H$6:$AA$45,0,MATCH(C195,Lists!$H$4:$AA$4,0)),D195)=0,"Check sub-category","OK"))))</f>
        <v/>
      </c>
      <c r="P195">
        <f>IF(ISNUMBER(I195),I195+ROW()/10000000,"")</f>
        <v/>
      </c>
      <c r="Q195">
        <f>IF(AND(ISNUMBER(P195),ISNUMBER(A195)),IF(AND(A195&gt;=Dashboard!$Q$3,A195&lt;=Dashboard!$Q$4,OR(J195&lt;&gt;"Yes",Dashboard!$Q$15="Yes")),P195,""),"")</f>
        <v/>
      </c>
    </row>
    <row r="196">
      <c r="A196" s="47" t="n"/>
      <c r="B196" s="48" t="n"/>
      <c r="C196" s="48" t="n"/>
      <c r="D196" s="48" t="n"/>
      <c r="E196" s="48" t="n"/>
      <c r="F196" s="48" t="n"/>
      <c r="G196" s="48" t="n"/>
      <c r="H196" s="48" t="n"/>
      <c r="I196" s="49" t="n"/>
      <c r="J196" s="50" t="n"/>
      <c r="K196" s="48" t="n"/>
      <c r="L196" s="51">
        <f>IF(A196="","",DATE(YEAR(A196),MONTH(A196),1))</f>
        <v/>
      </c>
      <c r="M196" s="52">
        <f>IF(OR(A196="",NOT(ISNUMBER(I196))),"",IF(G196=Lists!$B$5,I196/2,IF(G196=Lists!$B$6,I196,0)))</f>
        <v/>
      </c>
      <c r="N196" s="52">
        <f>IF(OR(A196="",NOT(ISNUMBER(I196))),"",IF(G196=Lists!$B$5,I196/2,IF(G196=Lists!$B$7,I196,0)))</f>
        <v/>
      </c>
      <c r="O196" s="53">
        <f>IF(COUNTA(A196:K196)=0,"",IF(OR(A196="",B196="",C196="",D196="",E196="",F196="",G196="",NOT(ISNUMBER(I196))),"Incomplete",IF(COUNTIF(Lists!$H$4:$AA$4,C196)=0,"Check category",IF(COUNTIF(INDEX(Lists!$H$6:$AA$45,0,MATCH(C196,Lists!$H$4:$AA$4,0)),D196)=0,"Check sub-category","OK"))))</f>
        <v/>
      </c>
      <c r="P196">
        <f>IF(ISNUMBER(I196),I196+ROW()/10000000,"")</f>
        <v/>
      </c>
      <c r="Q196">
        <f>IF(AND(ISNUMBER(P196),ISNUMBER(A196)),IF(AND(A196&gt;=Dashboard!$Q$3,A196&lt;=Dashboard!$Q$4,OR(J196&lt;&gt;"Yes",Dashboard!$Q$15="Yes")),P196,""),"")</f>
        <v/>
      </c>
    </row>
    <row r="197">
      <c r="A197" s="47" t="n"/>
      <c r="B197" s="48" t="n"/>
      <c r="C197" s="48" t="n"/>
      <c r="D197" s="48" t="n"/>
      <c r="E197" s="48" t="n"/>
      <c r="F197" s="48" t="n"/>
      <c r="G197" s="48" t="n"/>
      <c r="H197" s="48" t="n"/>
      <c r="I197" s="49" t="n"/>
      <c r="J197" s="50" t="n"/>
      <c r="K197" s="48" t="n"/>
      <c r="L197" s="51">
        <f>IF(A197="","",DATE(YEAR(A197),MONTH(A197),1))</f>
        <v/>
      </c>
      <c r="M197" s="52">
        <f>IF(OR(A197="",NOT(ISNUMBER(I197))),"",IF(G197=Lists!$B$5,I197/2,IF(G197=Lists!$B$6,I197,0)))</f>
        <v/>
      </c>
      <c r="N197" s="52">
        <f>IF(OR(A197="",NOT(ISNUMBER(I197))),"",IF(G197=Lists!$B$5,I197/2,IF(G197=Lists!$B$7,I197,0)))</f>
        <v/>
      </c>
      <c r="O197" s="53">
        <f>IF(COUNTA(A197:K197)=0,"",IF(OR(A197="",B197="",C197="",D197="",E197="",F197="",G197="",NOT(ISNUMBER(I197))),"Incomplete",IF(COUNTIF(Lists!$H$4:$AA$4,C197)=0,"Check category",IF(COUNTIF(INDEX(Lists!$H$6:$AA$45,0,MATCH(C197,Lists!$H$4:$AA$4,0)),D197)=0,"Check sub-category","OK"))))</f>
        <v/>
      </c>
      <c r="P197">
        <f>IF(ISNUMBER(I197),I197+ROW()/10000000,"")</f>
        <v/>
      </c>
      <c r="Q197">
        <f>IF(AND(ISNUMBER(P197),ISNUMBER(A197)),IF(AND(A197&gt;=Dashboard!$Q$3,A197&lt;=Dashboard!$Q$4,OR(J197&lt;&gt;"Yes",Dashboard!$Q$15="Yes")),P197,""),"")</f>
        <v/>
      </c>
    </row>
    <row r="198">
      <c r="A198" s="47" t="n"/>
      <c r="B198" s="48" t="n"/>
      <c r="C198" s="48" t="n"/>
      <c r="D198" s="48" t="n"/>
      <c r="E198" s="48" t="n"/>
      <c r="F198" s="48" t="n"/>
      <c r="G198" s="48" t="n"/>
      <c r="H198" s="48" t="n"/>
      <c r="I198" s="49" t="n"/>
      <c r="J198" s="50" t="n"/>
      <c r="K198" s="48" t="n"/>
      <c r="L198" s="51">
        <f>IF(A198="","",DATE(YEAR(A198),MONTH(A198),1))</f>
        <v/>
      </c>
      <c r="M198" s="52">
        <f>IF(OR(A198="",NOT(ISNUMBER(I198))),"",IF(G198=Lists!$B$5,I198/2,IF(G198=Lists!$B$6,I198,0)))</f>
        <v/>
      </c>
      <c r="N198" s="52">
        <f>IF(OR(A198="",NOT(ISNUMBER(I198))),"",IF(G198=Lists!$B$5,I198/2,IF(G198=Lists!$B$7,I198,0)))</f>
        <v/>
      </c>
      <c r="O198" s="53">
        <f>IF(COUNTA(A198:K198)=0,"",IF(OR(A198="",B198="",C198="",D198="",E198="",F198="",G198="",NOT(ISNUMBER(I198))),"Incomplete",IF(COUNTIF(Lists!$H$4:$AA$4,C198)=0,"Check category",IF(COUNTIF(INDEX(Lists!$H$6:$AA$45,0,MATCH(C198,Lists!$H$4:$AA$4,0)),D198)=0,"Check sub-category","OK"))))</f>
        <v/>
      </c>
      <c r="P198">
        <f>IF(ISNUMBER(I198),I198+ROW()/10000000,"")</f>
        <v/>
      </c>
      <c r="Q198">
        <f>IF(AND(ISNUMBER(P198),ISNUMBER(A198)),IF(AND(A198&gt;=Dashboard!$Q$3,A198&lt;=Dashboard!$Q$4,OR(J198&lt;&gt;"Yes",Dashboard!$Q$15="Yes")),P198,""),"")</f>
        <v/>
      </c>
    </row>
    <row r="199">
      <c r="A199" s="47" t="n"/>
      <c r="B199" s="48" t="n"/>
      <c r="C199" s="48" t="n"/>
      <c r="D199" s="48" t="n"/>
      <c r="E199" s="48" t="n"/>
      <c r="F199" s="48" t="n"/>
      <c r="G199" s="48" t="n"/>
      <c r="H199" s="48" t="n"/>
      <c r="I199" s="49" t="n"/>
      <c r="J199" s="50" t="n"/>
      <c r="K199" s="48" t="n"/>
      <c r="L199" s="51">
        <f>IF(A199="","",DATE(YEAR(A199),MONTH(A199),1))</f>
        <v/>
      </c>
      <c r="M199" s="52">
        <f>IF(OR(A199="",NOT(ISNUMBER(I199))),"",IF(G199=Lists!$B$5,I199/2,IF(G199=Lists!$B$6,I199,0)))</f>
        <v/>
      </c>
      <c r="N199" s="52">
        <f>IF(OR(A199="",NOT(ISNUMBER(I199))),"",IF(G199=Lists!$B$5,I199/2,IF(G199=Lists!$B$7,I199,0)))</f>
        <v/>
      </c>
      <c r="O199" s="53">
        <f>IF(COUNTA(A199:K199)=0,"",IF(OR(A199="",B199="",C199="",D199="",E199="",F199="",G199="",NOT(ISNUMBER(I199))),"Incomplete",IF(COUNTIF(Lists!$H$4:$AA$4,C199)=0,"Check category",IF(COUNTIF(INDEX(Lists!$H$6:$AA$45,0,MATCH(C199,Lists!$H$4:$AA$4,0)),D199)=0,"Check sub-category","OK"))))</f>
        <v/>
      </c>
      <c r="P199">
        <f>IF(ISNUMBER(I199),I199+ROW()/10000000,"")</f>
        <v/>
      </c>
      <c r="Q199">
        <f>IF(AND(ISNUMBER(P199),ISNUMBER(A199)),IF(AND(A199&gt;=Dashboard!$Q$3,A199&lt;=Dashboard!$Q$4,OR(J199&lt;&gt;"Yes",Dashboard!$Q$15="Yes")),P199,""),"")</f>
        <v/>
      </c>
    </row>
    <row r="200">
      <c r="A200" s="47" t="n"/>
      <c r="B200" s="48" t="n"/>
      <c r="C200" s="48" t="n"/>
      <c r="D200" s="48" t="n"/>
      <c r="E200" s="48" t="n"/>
      <c r="F200" s="48" t="n"/>
      <c r="G200" s="48" t="n"/>
      <c r="H200" s="48" t="n"/>
      <c r="I200" s="49" t="n"/>
      <c r="J200" s="50" t="n"/>
      <c r="K200" s="48" t="n"/>
      <c r="L200" s="51">
        <f>IF(A200="","",DATE(YEAR(A200),MONTH(A200),1))</f>
        <v/>
      </c>
      <c r="M200" s="52">
        <f>IF(OR(A200="",NOT(ISNUMBER(I200))),"",IF(G200=Lists!$B$5,I200/2,IF(G200=Lists!$B$6,I200,0)))</f>
        <v/>
      </c>
      <c r="N200" s="52">
        <f>IF(OR(A200="",NOT(ISNUMBER(I200))),"",IF(G200=Lists!$B$5,I200/2,IF(G200=Lists!$B$7,I200,0)))</f>
        <v/>
      </c>
      <c r="O200" s="53">
        <f>IF(COUNTA(A200:K200)=0,"",IF(OR(A200="",B200="",C200="",D200="",E200="",F200="",G200="",NOT(ISNUMBER(I200))),"Incomplete",IF(COUNTIF(Lists!$H$4:$AA$4,C200)=0,"Check category",IF(COUNTIF(INDEX(Lists!$H$6:$AA$45,0,MATCH(C200,Lists!$H$4:$AA$4,0)),D200)=0,"Check sub-category","OK"))))</f>
        <v/>
      </c>
      <c r="P200">
        <f>IF(ISNUMBER(I200),I200+ROW()/10000000,"")</f>
        <v/>
      </c>
      <c r="Q200">
        <f>IF(AND(ISNUMBER(P200),ISNUMBER(A200)),IF(AND(A200&gt;=Dashboard!$Q$3,A200&lt;=Dashboard!$Q$4,OR(J200&lt;&gt;"Yes",Dashboard!$Q$15="Yes")),P200,""),"")</f>
        <v/>
      </c>
    </row>
    <row r="201">
      <c r="A201" s="47" t="n"/>
      <c r="B201" s="48" t="n"/>
      <c r="C201" s="48" t="n"/>
      <c r="D201" s="48" t="n"/>
      <c r="E201" s="48" t="n"/>
      <c r="F201" s="48" t="n"/>
      <c r="G201" s="48" t="n"/>
      <c r="H201" s="48" t="n"/>
      <c r="I201" s="49" t="n"/>
      <c r="J201" s="50" t="n"/>
      <c r="K201" s="48" t="n"/>
      <c r="L201" s="51">
        <f>IF(A201="","",DATE(YEAR(A201),MONTH(A201),1))</f>
        <v/>
      </c>
      <c r="M201" s="52">
        <f>IF(OR(A201="",NOT(ISNUMBER(I201))),"",IF(G201=Lists!$B$5,I201/2,IF(G201=Lists!$B$6,I201,0)))</f>
        <v/>
      </c>
      <c r="N201" s="52">
        <f>IF(OR(A201="",NOT(ISNUMBER(I201))),"",IF(G201=Lists!$B$5,I201/2,IF(G201=Lists!$B$7,I201,0)))</f>
        <v/>
      </c>
      <c r="O201" s="53">
        <f>IF(COUNTA(A201:K201)=0,"",IF(OR(A201="",B201="",C201="",D201="",E201="",F201="",G201="",NOT(ISNUMBER(I201))),"Incomplete",IF(COUNTIF(Lists!$H$4:$AA$4,C201)=0,"Check category",IF(COUNTIF(INDEX(Lists!$H$6:$AA$45,0,MATCH(C201,Lists!$H$4:$AA$4,0)),D201)=0,"Check sub-category","OK"))))</f>
        <v/>
      </c>
      <c r="P201">
        <f>IF(ISNUMBER(I201),I201+ROW()/10000000,"")</f>
        <v/>
      </c>
      <c r="Q201">
        <f>IF(AND(ISNUMBER(P201),ISNUMBER(A201)),IF(AND(A201&gt;=Dashboard!$Q$3,A201&lt;=Dashboard!$Q$4,OR(J201&lt;&gt;"Yes",Dashboard!$Q$15="Yes")),P201,""),"")</f>
        <v/>
      </c>
    </row>
    <row r="202">
      <c r="A202" s="47" t="n"/>
      <c r="B202" s="48" t="n"/>
      <c r="C202" s="48" t="n"/>
      <c r="D202" s="48" t="n"/>
      <c r="E202" s="48" t="n"/>
      <c r="F202" s="48" t="n"/>
      <c r="G202" s="48" t="n"/>
      <c r="H202" s="48" t="n"/>
      <c r="I202" s="49" t="n"/>
      <c r="J202" s="50" t="n"/>
      <c r="K202" s="48" t="n"/>
      <c r="L202" s="51">
        <f>IF(A202="","",DATE(YEAR(A202),MONTH(A202),1))</f>
        <v/>
      </c>
      <c r="M202" s="52">
        <f>IF(OR(A202="",NOT(ISNUMBER(I202))),"",IF(G202=Lists!$B$5,I202/2,IF(G202=Lists!$B$6,I202,0)))</f>
        <v/>
      </c>
      <c r="N202" s="52">
        <f>IF(OR(A202="",NOT(ISNUMBER(I202))),"",IF(G202=Lists!$B$5,I202/2,IF(G202=Lists!$B$7,I202,0)))</f>
        <v/>
      </c>
      <c r="O202" s="53">
        <f>IF(COUNTA(A202:K202)=0,"",IF(OR(A202="",B202="",C202="",D202="",E202="",F202="",G202="",NOT(ISNUMBER(I202))),"Incomplete",IF(COUNTIF(Lists!$H$4:$AA$4,C202)=0,"Check category",IF(COUNTIF(INDEX(Lists!$H$6:$AA$45,0,MATCH(C202,Lists!$H$4:$AA$4,0)),D202)=0,"Check sub-category","OK"))))</f>
        <v/>
      </c>
      <c r="P202">
        <f>IF(ISNUMBER(I202),I202+ROW()/10000000,"")</f>
        <v/>
      </c>
      <c r="Q202">
        <f>IF(AND(ISNUMBER(P202),ISNUMBER(A202)),IF(AND(A202&gt;=Dashboard!$Q$3,A202&lt;=Dashboard!$Q$4,OR(J202&lt;&gt;"Yes",Dashboard!$Q$15="Yes")),P202,""),"")</f>
        <v/>
      </c>
    </row>
    <row r="203">
      <c r="A203" s="47" t="n"/>
      <c r="B203" s="48" t="n"/>
      <c r="C203" s="48" t="n"/>
      <c r="D203" s="48" t="n"/>
      <c r="E203" s="48" t="n"/>
      <c r="F203" s="48" t="n"/>
      <c r="G203" s="48" t="n"/>
      <c r="H203" s="48" t="n"/>
      <c r="I203" s="49" t="n"/>
      <c r="J203" s="50" t="n"/>
      <c r="K203" s="48" t="n"/>
      <c r="L203" s="51">
        <f>IF(A203="","",DATE(YEAR(A203),MONTH(A203),1))</f>
        <v/>
      </c>
      <c r="M203" s="52">
        <f>IF(OR(A203="",NOT(ISNUMBER(I203))),"",IF(G203=Lists!$B$5,I203/2,IF(G203=Lists!$B$6,I203,0)))</f>
        <v/>
      </c>
      <c r="N203" s="52">
        <f>IF(OR(A203="",NOT(ISNUMBER(I203))),"",IF(G203=Lists!$B$5,I203/2,IF(G203=Lists!$B$7,I203,0)))</f>
        <v/>
      </c>
      <c r="O203" s="53">
        <f>IF(COUNTA(A203:K203)=0,"",IF(OR(A203="",B203="",C203="",D203="",E203="",F203="",G203="",NOT(ISNUMBER(I203))),"Incomplete",IF(COUNTIF(Lists!$H$4:$AA$4,C203)=0,"Check category",IF(COUNTIF(INDEX(Lists!$H$6:$AA$45,0,MATCH(C203,Lists!$H$4:$AA$4,0)),D203)=0,"Check sub-category","OK"))))</f>
        <v/>
      </c>
      <c r="P203">
        <f>IF(ISNUMBER(I203),I203+ROW()/10000000,"")</f>
        <v/>
      </c>
      <c r="Q203">
        <f>IF(AND(ISNUMBER(P203),ISNUMBER(A203)),IF(AND(A203&gt;=Dashboard!$Q$3,A203&lt;=Dashboard!$Q$4,OR(J203&lt;&gt;"Yes",Dashboard!$Q$15="Yes")),P203,""),"")</f>
        <v/>
      </c>
    </row>
    <row r="204">
      <c r="A204" s="47" t="n"/>
      <c r="B204" s="48" t="n"/>
      <c r="C204" s="48" t="n"/>
      <c r="D204" s="48" t="n"/>
      <c r="E204" s="48" t="n"/>
      <c r="F204" s="48" t="n"/>
      <c r="G204" s="48" t="n"/>
      <c r="H204" s="48" t="n"/>
      <c r="I204" s="49" t="n"/>
      <c r="J204" s="50" t="n"/>
      <c r="K204" s="48" t="n"/>
      <c r="L204" s="51">
        <f>IF(A204="","",DATE(YEAR(A204),MONTH(A204),1))</f>
        <v/>
      </c>
      <c r="M204" s="52">
        <f>IF(OR(A204="",NOT(ISNUMBER(I204))),"",IF(G204=Lists!$B$5,I204/2,IF(G204=Lists!$B$6,I204,0)))</f>
        <v/>
      </c>
      <c r="N204" s="52">
        <f>IF(OR(A204="",NOT(ISNUMBER(I204))),"",IF(G204=Lists!$B$5,I204/2,IF(G204=Lists!$B$7,I204,0)))</f>
        <v/>
      </c>
      <c r="O204" s="53">
        <f>IF(COUNTA(A204:K204)=0,"",IF(OR(A204="",B204="",C204="",D204="",E204="",F204="",G204="",NOT(ISNUMBER(I204))),"Incomplete",IF(COUNTIF(Lists!$H$4:$AA$4,C204)=0,"Check category",IF(COUNTIF(INDEX(Lists!$H$6:$AA$45,0,MATCH(C204,Lists!$H$4:$AA$4,0)),D204)=0,"Check sub-category","OK"))))</f>
        <v/>
      </c>
      <c r="P204">
        <f>IF(ISNUMBER(I204),I204+ROW()/10000000,"")</f>
        <v/>
      </c>
      <c r="Q204">
        <f>IF(AND(ISNUMBER(P204),ISNUMBER(A204)),IF(AND(A204&gt;=Dashboard!$Q$3,A204&lt;=Dashboard!$Q$4,OR(J204&lt;&gt;"Yes",Dashboard!$Q$15="Yes")),P204,""),"")</f>
        <v/>
      </c>
    </row>
    <row r="205">
      <c r="A205" s="47" t="n"/>
      <c r="B205" s="48" t="n"/>
      <c r="C205" s="48" t="n"/>
      <c r="D205" s="48" t="n"/>
      <c r="E205" s="48" t="n"/>
      <c r="F205" s="48" t="n"/>
      <c r="G205" s="48" t="n"/>
      <c r="H205" s="48" t="n"/>
      <c r="I205" s="49" t="n"/>
      <c r="J205" s="50" t="n"/>
      <c r="K205" s="48" t="n"/>
      <c r="L205" s="51">
        <f>IF(A205="","",DATE(YEAR(A205),MONTH(A205),1))</f>
        <v/>
      </c>
      <c r="M205" s="52">
        <f>IF(OR(A205="",NOT(ISNUMBER(I205))),"",IF(G205=Lists!$B$5,I205/2,IF(G205=Lists!$B$6,I205,0)))</f>
        <v/>
      </c>
      <c r="N205" s="52">
        <f>IF(OR(A205="",NOT(ISNUMBER(I205))),"",IF(G205=Lists!$B$5,I205/2,IF(G205=Lists!$B$7,I205,0)))</f>
        <v/>
      </c>
      <c r="O205" s="53">
        <f>IF(COUNTA(A205:K205)=0,"",IF(OR(A205="",B205="",C205="",D205="",E205="",F205="",G205="",NOT(ISNUMBER(I205))),"Incomplete",IF(COUNTIF(Lists!$H$4:$AA$4,C205)=0,"Check category",IF(COUNTIF(INDEX(Lists!$H$6:$AA$45,0,MATCH(C205,Lists!$H$4:$AA$4,0)),D205)=0,"Check sub-category","OK"))))</f>
        <v/>
      </c>
      <c r="P205">
        <f>IF(ISNUMBER(I205),I205+ROW()/10000000,"")</f>
        <v/>
      </c>
      <c r="Q205">
        <f>IF(AND(ISNUMBER(P205),ISNUMBER(A205)),IF(AND(A205&gt;=Dashboard!$Q$3,A205&lt;=Dashboard!$Q$4,OR(J205&lt;&gt;"Yes",Dashboard!$Q$15="Yes")),P205,""),"")</f>
        <v/>
      </c>
    </row>
    <row r="206">
      <c r="A206" s="47" t="n"/>
      <c r="B206" s="48" t="n"/>
      <c r="C206" s="48" t="n"/>
      <c r="D206" s="48" t="n"/>
      <c r="E206" s="48" t="n"/>
      <c r="F206" s="48" t="n"/>
      <c r="G206" s="48" t="n"/>
      <c r="H206" s="48" t="n"/>
      <c r="I206" s="49" t="n"/>
      <c r="J206" s="50" t="n"/>
      <c r="K206" s="48" t="n"/>
      <c r="L206" s="51">
        <f>IF(A206="","",DATE(YEAR(A206),MONTH(A206),1))</f>
        <v/>
      </c>
      <c r="M206" s="52">
        <f>IF(OR(A206="",NOT(ISNUMBER(I206))),"",IF(G206=Lists!$B$5,I206/2,IF(G206=Lists!$B$6,I206,0)))</f>
        <v/>
      </c>
      <c r="N206" s="52">
        <f>IF(OR(A206="",NOT(ISNUMBER(I206))),"",IF(G206=Lists!$B$5,I206/2,IF(G206=Lists!$B$7,I206,0)))</f>
        <v/>
      </c>
      <c r="O206" s="53">
        <f>IF(COUNTA(A206:K206)=0,"",IF(OR(A206="",B206="",C206="",D206="",E206="",F206="",G206="",NOT(ISNUMBER(I206))),"Incomplete",IF(COUNTIF(Lists!$H$4:$AA$4,C206)=0,"Check category",IF(COUNTIF(INDEX(Lists!$H$6:$AA$45,0,MATCH(C206,Lists!$H$4:$AA$4,0)),D206)=0,"Check sub-category","OK"))))</f>
        <v/>
      </c>
      <c r="P206">
        <f>IF(ISNUMBER(I206),I206+ROW()/10000000,"")</f>
        <v/>
      </c>
      <c r="Q206">
        <f>IF(AND(ISNUMBER(P206),ISNUMBER(A206)),IF(AND(A206&gt;=Dashboard!$Q$3,A206&lt;=Dashboard!$Q$4,OR(J206&lt;&gt;"Yes",Dashboard!$Q$15="Yes")),P206,""),"")</f>
        <v/>
      </c>
    </row>
    <row r="207">
      <c r="A207" s="47" t="n"/>
      <c r="B207" s="48" t="n"/>
      <c r="C207" s="48" t="n"/>
      <c r="D207" s="48" t="n"/>
      <c r="E207" s="48" t="n"/>
      <c r="F207" s="48" t="n"/>
      <c r="G207" s="48" t="n"/>
      <c r="H207" s="48" t="n"/>
      <c r="I207" s="49" t="n"/>
      <c r="J207" s="50" t="n"/>
      <c r="K207" s="48" t="n"/>
      <c r="L207" s="51">
        <f>IF(A207="","",DATE(YEAR(A207),MONTH(A207),1))</f>
        <v/>
      </c>
      <c r="M207" s="52">
        <f>IF(OR(A207="",NOT(ISNUMBER(I207))),"",IF(G207=Lists!$B$5,I207/2,IF(G207=Lists!$B$6,I207,0)))</f>
        <v/>
      </c>
      <c r="N207" s="52">
        <f>IF(OR(A207="",NOT(ISNUMBER(I207))),"",IF(G207=Lists!$B$5,I207/2,IF(G207=Lists!$B$7,I207,0)))</f>
        <v/>
      </c>
      <c r="O207" s="53">
        <f>IF(COUNTA(A207:K207)=0,"",IF(OR(A207="",B207="",C207="",D207="",E207="",F207="",G207="",NOT(ISNUMBER(I207))),"Incomplete",IF(COUNTIF(Lists!$H$4:$AA$4,C207)=0,"Check category",IF(COUNTIF(INDEX(Lists!$H$6:$AA$45,0,MATCH(C207,Lists!$H$4:$AA$4,0)),D207)=0,"Check sub-category","OK"))))</f>
        <v/>
      </c>
      <c r="P207">
        <f>IF(ISNUMBER(I207),I207+ROW()/10000000,"")</f>
        <v/>
      </c>
      <c r="Q207">
        <f>IF(AND(ISNUMBER(P207),ISNUMBER(A207)),IF(AND(A207&gt;=Dashboard!$Q$3,A207&lt;=Dashboard!$Q$4,OR(J207&lt;&gt;"Yes",Dashboard!$Q$15="Yes")),P207,""),"")</f>
        <v/>
      </c>
    </row>
    <row r="208">
      <c r="A208" s="47" t="n"/>
      <c r="B208" s="48" t="n"/>
      <c r="C208" s="48" t="n"/>
      <c r="D208" s="48" t="n"/>
      <c r="E208" s="48" t="n"/>
      <c r="F208" s="48" t="n"/>
      <c r="G208" s="48" t="n"/>
      <c r="H208" s="48" t="n"/>
      <c r="I208" s="49" t="n"/>
      <c r="J208" s="50" t="n"/>
      <c r="K208" s="48" t="n"/>
      <c r="L208" s="51">
        <f>IF(A208="","",DATE(YEAR(A208),MONTH(A208),1))</f>
        <v/>
      </c>
      <c r="M208" s="52">
        <f>IF(OR(A208="",NOT(ISNUMBER(I208))),"",IF(G208=Lists!$B$5,I208/2,IF(G208=Lists!$B$6,I208,0)))</f>
        <v/>
      </c>
      <c r="N208" s="52">
        <f>IF(OR(A208="",NOT(ISNUMBER(I208))),"",IF(G208=Lists!$B$5,I208/2,IF(G208=Lists!$B$7,I208,0)))</f>
        <v/>
      </c>
      <c r="O208" s="53">
        <f>IF(COUNTA(A208:K208)=0,"",IF(OR(A208="",B208="",C208="",D208="",E208="",F208="",G208="",NOT(ISNUMBER(I208))),"Incomplete",IF(COUNTIF(Lists!$H$4:$AA$4,C208)=0,"Check category",IF(COUNTIF(INDEX(Lists!$H$6:$AA$45,0,MATCH(C208,Lists!$H$4:$AA$4,0)),D208)=0,"Check sub-category","OK"))))</f>
        <v/>
      </c>
      <c r="P208">
        <f>IF(ISNUMBER(I208),I208+ROW()/10000000,"")</f>
        <v/>
      </c>
      <c r="Q208">
        <f>IF(AND(ISNUMBER(P208),ISNUMBER(A208)),IF(AND(A208&gt;=Dashboard!$Q$3,A208&lt;=Dashboard!$Q$4,OR(J208&lt;&gt;"Yes",Dashboard!$Q$15="Yes")),P208,""),"")</f>
        <v/>
      </c>
    </row>
    <row r="209">
      <c r="A209" s="47" t="n"/>
      <c r="B209" s="48" t="n"/>
      <c r="C209" s="48" t="n"/>
      <c r="D209" s="48" t="n"/>
      <c r="E209" s="48" t="n"/>
      <c r="F209" s="48" t="n"/>
      <c r="G209" s="48" t="n"/>
      <c r="H209" s="48" t="n"/>
      <c r="I209" s="49" t="n"/>
      <c r="J209" s="50" t="n"/>
      <c r="K209" s="48" t="n"/>
      <c r="L209" s="51">
        <f>IF(A209="","",DATE(YEAR(A209),MONTH(A209),1))</f>
        <v/>
      </c>
      <c r="M209" s="52">
        <f>IF(OR(A209="",NOT(ISNUMBER(I209))),"",IF(G209=Lists!$B$5,I209/2,IF(G209=Lists!$B$6,I209,0)))</f>
        <v/>
      </c>
      <c r="N209" s="52">
        <f>IF(OR(A209="",NOT(ISNUMBER(I209))),"",IF(G209=Lists!$B$5,I209/2,IF(G209=Lists!$B$7,I209,0)))</f>
        <v/>
      </c>
      <c r="O209" s="53">
        <f>IF(COUNTA(A209:K209)=0,"",IF(OR(A209="",B209="",C209="",D209="",E209="",F209="",G209="",NOT(ISNUMBER(I209))),"Incomplete",IF(COUNTIF(Lists!$H$4:$AA$4,C209)=0,"Check category",IF(COUNTIF(INDEX(Lists!$H$6:$AA$45,0,MATCH(C209,Lists!$H$4:$AA$4,0)),D209)=0,"Check sub-category","OK"))))</f>
        <v/>
      </c>
      <c r="P209">
        <f>IF(ISNUMBER(I209),I209+ROW()/10000000,"")</f>
        <v/>
      </c>
      <c r="Q209">
        <f>IF(AND(ISNUMBER(P209),ISNUMBER(A209)),IF(AND(A209&gt;=Dashboard!$Q$3,A209&lt;=Dashboard!$Q$4,OR(J209&lt;&gt;"Yes",Dashboard!$Q$15="Yes")),P209,""),"")</f>
        <v/>
      </c>
    </row>
    <row r="210">
      <c r="A210" s="47" t="n"/>
      <c r="B210" s="48" t="n"/>
      <c r="C210" s="48" t="n"/>
      <c r="D210" s="48" t="n"/>
      <c r="E210" s="48" t="n"/>
      <c r="F210" s="48" t="n"/>
      <c r="G210" s="48" t="n"/>
      <c r="H210" s="48" t="n"/>
      <c r="I210" s="49" t="n"/>
      <c r="J210" s="50" t="n"/>
      <c r="K210" s="48" t="n"/>
      <c r="L210" s="51">
        <f>IF(A210="","",DATE(YEAR(A210),MONTH(A210),1))</f>
        <v/>
      </c>
      <c r="M210" s="52">
        <f>IF(OR(A210="",NOT(ISNUMBER(I210))),"",IF(G210=Lists!$B$5,I210/2,IF(G210=Lists!$B$6,I210,0)))</f>
        <v/>
      </c>
      <c r="N210" s="52">
        <f>IF(OR(A210="",NOT(ISNUMBER(I210))),"",IF(G210=Lists!$B$5,I210/2,IF(G210=Lists!$B$7,I210,0)))</f>
        <v/>
      </c>
      <c r="O210" s="53">
        <f>IF(COUNTA(A210:K210)=0,"",IF(OR(A210="",B210="",C210="",D210="",E210="",F210="",G210="",NOT(ISNUMBER(I210))),"Incomplete",IF(COUNTIF(Lists!$H$4:$AA$4,C210)=0,"Check category",IF(COUNTIF(INDEX(Lists!$H$6:$AA$45,0,MATCH(C210,Lists!$H$4:$AA$4,0)),D210)=0,"Check sub-category","OK"))))</f>
        <v/>
      </c>
      <c r="P210">
        <f>IF(ISNUMBER(I210),I210+ROW()/10000000,"")</f>
        <v/>
      </c>
      <c r="Q210">
        <f>IF(AND(ISNUMBER(P210),ISNUMBER(A210)),IF(AND(A210&gt;=Dashboard!$Q$3,A210&lt;=Dashboard!$Q$4,OR(J210&lt;&gt;"Yes",Dashboard!$Q$15="Yes")),P210,""),"")</f>
        <v/>
      </c>
    </row>
    <row r="211">
      <c r="A211" s="47" t="n"/>
      <c r="B211" s="48" t="n"/>
      <c r="C211" s="48" t="n"/>
      <c r="D211" s="48" t="n"/>
      <c r="E211" s="48" t="n"/>
      <c r="F211" s="48" t="n"/>
      <c r="G211" s="48" t="n"/>
      <c r="H211" s="48" t="n"/>
      <c r="I211" s="49" t="n"/>
      <c r="J211" s="50" t="n"/>
      <c r="K211" s="48" t="n"/>
      <c r="L211" s="51">
        <f>IF(A211="","",DATE(YEAR(A211),MONTH(A211),1))</f>
        <v/>
      </c>
      <c r="M211" s="52">
        <f>IF(OR(A211="",NOT(ISNUMBER(I211))),"",IF(G211=Lists!$B$5,I211/2,IF(G211=Lists!$B$6,I211,0)))</f>
        <v/>
      </c>
      <c r="N211" s="52">
        <f>IF(OR(A211="",NOT(ISNUMBER(I211))),"",IF(G211=Lists!$B$5,I211/2,IF(G211=Lists!$B$7,I211,0)))</f>
        <v/>
      </c>
      <c r="O211" s="53">
        <f>IF(COUNTA(A211:K211)=0,"",IF(OR(A211="",B211="",C211="",D211="",E211="",F211="",G211="",NOT(ISNUMBER(I211))),"Incomplete",IF(COUNTIF(Lists!$H$4:$AA$4,C211)=0,"Check category",IF(COUNTIF(INDEX(Lists!$H$6:$AA$45,0,MATCH(C211,Lists!$H$4:$AA$4,0)),D211)=0,"Check sub-category","OK"))))</f>
        <v/>
      </c>
      <c r="P211">
        <f>IF(ISNUMBER(I211),I211+ROW()/10000000,"")</f>
        <v/>
      </c>
      <c r="Q211">
        <f>IF(AND(ISNUMBER(P211),ISNUMBER(A211)),IF(AND(A211&gt;=Dashboard!$Q$3,A211&lt;=Dashboard!$Q$4,OR(J211&lt;&gt;"Yes",Dashboard!$Q$15="Yes")),P211,""),"")</f>
        <v/>
      </c>
    </row>
    <row r="212">
      <c r="A212" s="47" t="n"/>
      <c r="B212" s="48" t="n"/>
      <c r="C212" s="48" t="n"/>
      <c r="D212" s="48" t="n"/>
      <c r="E212" s="48" t="n"/>
      <c r="F212" s="48" t="n"/>
      <c r="G212" s="48" t="n"/>
      <c r="H212" s="48" t="n"/>
      <c r="I212" s="49" t="n"/>
      <c r="J212" s="50" t="n"/>
      <c r="K212" s="48" t="n"/>
      <c r="L212" s="51">
        <f>IF(A212="","",DATE(YEAR(A212),MONTH(A212),1))</f>
        <v/>
      </c>
      <c r="M212" s="52">
        <f>IF(OR(A212="",NOT(ISNUMBER(I212))),"",IF(G212=Lists!$B$5,I212/2,IF(G212=Lists!$B$6,I212,0)))</f>
        <v/>
      </c>
      <c r="N212" s="52">
        <f>IF(OR(A212="",NOT(ISNUMBER(I212))),"",IF(G212=Lists!$B$5,I212/2,IF(G212=Lists!$B$7,I212,0)))</f>
        <v/>
      </c>
      <c r="O212" s="53">
        <f>IF(COUNTA(A212:K212)=0,"",IF(OR(A212="",B212="",C212="",D212="",E212="",F212="",G212="",NOT(ISNUMBER(I212))),"Incomplete",IF(COUNTIF(Lists!$H$4:$AA$4,C212)=0,"Check category",IF(COUNTIF(INDEX(Lists!$H$6:$AA$45,0,MATCH(C212,Lists!$H$4:$AA$4,0)),D212)=0,"Check sub-category","OK"))))</f>
        <v/>
      </c>
      <c r="P212">
        <f>IF(ISNUMBER(I212),I212+ROW()/10000000,"")</f>
        <v/>
      </c>
      <c r="Q212">
        <f>IF(AND(ISNUMBER(P212),ISNUMBER(A212)),IF(AND(A212&gt;=Dashboard!$Q$3,A212&lt;=Dashboard!$Q$4,OR(J212&lt;&gt;"Yes",Dashboard!$Q$15="Yes")),P212,""),"")</f>
        <v/>
      </c>
    </row>
    <row r="213">
      <c r="A213" s="47" t="n"/>
      <c r="B213" s="48" t="n"/>
      <c r="C213" s="48" t="n"/>
      <c r="D213" s="48" t="n"/>
      <c r="E213" s="48" t="n"/>
      <c r="F213" s="48" t="n"/>
      <c r="G213" s="48" t="n"/>
      <c r="H213" s="48" t="n"/>
      <c r="I213" s="49" t="n"/>
      <c r="J213" s="50" t="n"/>
      <c r="K213" s="48" t="n"/>
      <c r="L213" s="51">
        <f>IF(A213="","",DATE(YEAR(A213),MONTH(A213),1))</f>
        <v/>
      </c>
      <c r="M213" s="52">
        <f>IF(OR(A213="",NOT(ISNUMBER(I213))),"",IF(G213=Lists!$B$5,I213/2,IF(G213=Lists!$B$6,I213,0)))</f>
        <v/>
      </c>
      <c r="N213" s="52">
        <f>IF(OR(A213="",NOT(ISNUMBER(I213))),"",IF(G213=Lists!$B$5,I213/2,IF(G213=Lists!$B$7,I213,0)))</f>
        <v/>
      </c>
      <c r="O213" s="53">
        <f>IF(COUNTA(A213:K213)=0,"",IF(OR(A213="",B213="",C213="",D213="",E213="",F213="",G213="",NOT(ISNUMBER(I213))),"Incomplete",IF(COUNTIF(Lists!$H$4:$AA$4,C213)=0,"Check category",IF(COUNTIF(INDEX(Lists!$H$6:$AA$45,0,MATCH(C213,Lists!$H$4:$AA$4,0)),D213)=0,"Check sub-category","OK"))))</f>
        <v/>
      </c>
      <c r="P213">
        <f>IF(ISNUMBER(I213),I213+ROW()/10000000,"")</f>
        <v/>
      </c>
      <c r="Q213">
        <f>IF(AND(ISNUMBER(P213),ISNUMBER(A213)),IF(AND(A213&gt;=Dashboard!$Q$3,A213&lt;=Dashboard!$Q$4,OR(J213&lt;&gt;"Yes",Dashboard!$Q$15="Yes")),P213,""),"")</f>
        <v/>
      </c>
    </row>
    <row r="214">
      <c r="A214" s="47" t="n"/>
      <c r="B214" s="48" t="n"/>
      <c r="C214" s="48" t="n"/>
      <c r="D214" s="48" t="n"/>
      <c r="E214" s="48" t="n"/>
      <c r="F214" s="48" t="n"/>
      <c r="G214" s="48" t="n"/>
      <c r="H214" s="48" t="n"/>
      <c r="I214" s="49" t="n"/>
      <c r="J214" s="50" t="n"/>
      <c r="K214" s="48" t="n"/>
      <c r="L214" s="51">
        <f>IF(A214="","",DATE(YEAR(A214),MONTH(A214),1))</f>
        <v/>
      </c>
      <c r="M214" s="52">
        <f>IF(OR(A214="",NOT(ISNUMBER(I214))),"",IF(G214=Lists!$B$5,I214/2,IF(G214=Lists!$B$6,I214,0)))</f>
        <v/>
      </c>
      <c r="N214" s="52">
        <f>IF(OR(A214="",NOT(ISNUMBER(I214))),"",IF(G214=Lists!$B$5,I214/2,IF(G214=Lists!$B$7,I214,0)))</f>
        <v/>
      </c>
      <c r="O214" s="53">
        <f>IF(COUNTA(A214:K214)=0,"",IF(OR(A214="",B214="",C214="",D214="",E214="",F214="",G214="",NOT(ISNUMBER(I214))),"Incomplete",IF(COUNTIF(Lists!$H$4:$AA$4,C214)=0,"Check category",IF(COUNTIF(INDEX(Lists!$H$6:$AA$45,0,MATCH(C214,Lists!$H$4:$AA$4,0)),D214)=0,"Check sub-category","OK"))))</f>
        <v/>
      </c>
      <c r="P214">
        <f>IF(ISNUMBER(I214),I214+ROW()/10000000,"")</f>
        <v/>
      </c>
      <c r="Q214">
        <f>IF(AND(ISNUMBER(P214),ISNUMBER(A214)),IF(AND(A214&gt;=Dashboard!$Q$3,A214&lt;=Dashboard!$Q$4,OR(J214&lt;&gt;"Yes",Dashboard!$Q$15="Yes")),P214,""),"")</f>
        <v/>
      </c>
    </row>
    <row r="215">
      <c r="A215" s="47" t="n"/>
      <c r="B215" s="48" t="n"/>
      <c r="C215" s="48" t="n"/>
      <c r="D215" s="48" t="n"/>
      <c r="E215" s="48" t="n"/>
      <c r="F215" s="48" t="n"/>
      <c r="G215" s="48" t="n"/>
      <c r="H215" s="48" t="n"/>
      <c r="I215" s="49" t="n"/>
      <c r="J215" s="50" t="n"/>
      <c r="K215" s="48" t="n"/>
      <c r="L215" s="51">
        <f>IF(A215="","",DATE(YEAR(A215),MONTH(A215),1))</f>
        <v/>
      </c>
      <c r="M215" s="52">
        <f>IF(OR(A215="",NOT(ISNUMBER(I215))),"",IF(G215=Lists!$B$5,I215/2,IF(G215=Lists!$B$6,I215,0)))</f>
        <v/>
      </c>
      <c r="N215" s="52">
        <f>IF(OR(A215="",NOT(ISNUMBER(I215))),"",IF(G215=Lists!$B$5,I215/2,IF(G215=Lists!$B$7,I215,0)))</f>
        <v/>
      </c>
      <c r="O215" s="53">
        <f>IF(COUNTA(A215:K215)=0,"",IF(OR(A215="",B215="",C215="",D215="",E215="",F215="",G215="",NOT(ISNUMBER(I215))),"Incomplete",IF(COUNTIF(Lists!$H$4:$AA$4,C215)=0,"Check category",IF(COUNTIF(INDEX(Lists!$H$6:$AA$45,0,MATCH(C215,Lists!$H$4:$AA$4,0)),D215)=0,"Check sub-category","OK"))))</f>
        <v/>
      </c>
      <c r="P215">
        <f>IF(ISNUMBER(I215),I215+ROW()/10000000,"")</f>
        <v/>
      </c>
      <c r="Q215">
        <f>IF(AND(ISNUMBER(P215),ISNUMBER(A215)),IF(AND(A215&gt;=Dashboard!$Q$3,A215&lt;=Dashboard!$Q$4,OR(J215&lt;&gt;"Yes",Dashboard!$Q$15="Yes")),P215,""),"")</f>
        <v/>
      </c>
    </row>
    <row r="216">
      <c r="A216" s="47" t="n"/>
      <c r="B216" s="48" t="n"/>
      <c r="C216" s="48" t="n"/>
      <c r="D216" s="48" t="n"/>
      <c r="E216" s="48" t="n"/>
      <c r="F216" s="48" t="n"/>
      <c r="G216" s="48" t="n"/>
      <c r="H216" s="48" t="n"/>
      <c r="I216" s="49" t="n"/>
      <c r="J216" s="50" t="n"/>
      <c r="K216" s="48" t="n"/>
      <c r="L216" s="51">
        <f>IF(A216="","",DATE(YEAR(A216),MONTH(A216),1))</f>
        <v/>
      </c>
      <c r="M216" s="52">
        <f>IF(OR(A216="",NOT(ISNUMBER(I216))),"",IF(G216=Lists!$B$5,I216/2,IF(G216=Lists!$B$6,I216,0)))</f>
        <v/>
      </c>
      <c r="N216" s="52">
        <f>IF(OR(A216="",NOT(ISNUMBER(I216))),"",IF(G216=Lists!$B$5,I216/2,IF(G216=Lists!$B$7,I216,0)))</f>
        <v/>
      </c>
      <c r="O216" s="53">
        <f>IF(COUNTA(A216:K216)=0,"",IF(OR(A216="",B216="",C216="",D216="",E216="",F216="",G216="",NOT(ISNUMBER(I216))),"Incomplete",IF(COUNTIF(Lists!$H$4:$AA$4,C216)=0,"Check category",IF(COUNTIF(INDEX(Lists!$H$6:$AA$45,0,MATCH(C216,Lists!$H$4:$AA$4,0)),D216)=0,"Check sub-category","OK"))))</f>
        <v/>
      </c>
      <c r="P216">
        <f>IF(ISNUMBER(I216),I216+ROW()/10000000,"")</f>
        <v/>
      </c>
      <c r="Q216">
        <f>IF(AND(ISNUMBER(P216),ISNUMBER(A216)),IF(AND(A216&gt;=Dashboard!$Q$3,A216&lt;=Dashboard!$Q$4,OR(J216&lt;&gt;"Yes",Dashboard!$Q$15="Yes")),P216,""),"")</f>
        <v/>
      </c>
    </row>
    <row r="217">
      <c r="A217" s="47" t="n"/>
      <c r="B217" s="48" t="n"/>
      <c r="C217" s="48" t="n"/>
      <c r="D217" s="48" t="n"/>
      <c r="E217" s="48" t="n"/>
      <c r="F217" s="48" t="n"/>
      <c r="G217" s="48" t="n"/>
      <c r="H217" s="48" t="n"/>
      <c r="I217" s="49" t="n"/>
      <c r="J217" s="50" t="n"/>
      <c r="K217" s="48" t="n"/>
      <c r="L217" s="51">
        <f>IF(A217="","",DATE(YEAR(A217),MONTH(A217),1))</f>
        <v/>
      </c>
      <c r="M217" s="52">
        <f>IF(OR(A217="",NOT(ISNUMBER(I217))),"",IF(G217=Lists!$B$5,I217/2,IF(G217=Lists!$B$6,I217,0)))</f>
        <v/>
      </c>
      <c r="N217" s="52">
        <f>IF(OR(A217="",NOT(ISNUMBER(I217))),"",IF(G217=Lists!$B$5,I217/2,IF(G217=Lists!$B$7,I217,0)))</f>
        <v/>
      </c>
      <c r="O217" s="53">
        <f>IF(COUNTA(A217:K217)=0,"",IF(OR(A217="",B217="",C217="",D217="",E217="",F217="",G217="",NOT(ISNUMBER(I217))),"Incomplete",IF(COUNTIF(Lists!$H$4:$AA$4,C217)=0,"Check category",IF(COUNTIF(INDEX(Lists!$H$6:$AA$45,0,MATCH(C217,Lists!$H$4:$AA$4,0)),D217)=0,"Check sub-category","OK"))))</f>
        <v/>
      </c>
      <c r="P217">
        <f>IF(ISNUMBER(I217),I217+ROW()/10000000,"")</f>
        <v/>
      </c>
      <c r="Q217">
        <f>IF(AND(ISNUMBER(P217),ISNUMBER(A217)),IF(AND(A217&gt;=Dashboard!$Q$3,A217&lt;=Dashboard!$Q$4,OR(J217&lt;&gt;"Yes",Dashboard!$Q$15="Yes")),P217,""),"")</f>
        <v/>
      </c>
    </row>
    <row r="218">
      <c r="A218" s="47" t="n"/>
      <c r="B218" s="48" t="n"/>
      <c r="C218" s="48" t="n"/>
      <c r="D218" s="48" t="n"/>
      <c r="E218" s="48" t="n"/>
      <c r="F218" s="48" t="n"/>
      <c r="G218" s="48" t="n"/>
      <c r="H218" s="48" t="n"/>
      <c r="I218" s="49" t="n"/>
      <c r="J218" s="50" t="n"/>
      <c r="K218" s="48" t="n"/>
      <c r="L218" s="51">
        <f>IF(A218="","",DATE(YEAR(A218),MONTH(A218),1))</f>
        <v/>
      </c>
      <c r="M218" s="52">
        <f>IF(OR(A218="",NOT(ISNUMBER(I218))),"",IF(G218=Lists!$B$5,I218/2,IF(G218=Lists!$B$6,I218,0)))</f>
        <v/>
      </c>
      <c r="N218" s="52">
        <f>IF(OR(A218="",NOT(ISNUMBER(I218))),"",IF(G218=Lists!$B$5,I218/2,IF(G218=Lists!$B$7,I218,0)))</f>
        <v/>
      </c>
      <c r="O218" s="53">
        <f>IF(COUNTA(A218:K218)=0,"",IF(OR(A218="",B218="",C218="",D218="",E218="",F218="",G218="",NOT(ISNUMBER(I218))),"Incomplete",IF(COUNTIF(Lists!$H$4:$AA$4,C218)=0,"Check category",IF(COUNTIF(INDEX(Lists!$H$6:$AA$45,0,MATCH(C218,Lists!$H$4:$AA$4,0)),D218)=0,"Check sub-category","OK"))))</f>
        <v/>
      </c>
      <c r="P218">
        <f>IF(ISNUMBER(I218),I218+ROW()/10000000,"")</f>
        <v/>
      </c>
      <c r="Q218">
        <f>IF(AND(ISNUMBER(P218),ISNUMBER(A218)),IF(AND(A218&gt;=Dashboard!$Q$3,A218&lt;=Dashboard!$Q$4,OR(J218&lt;&gt;"Yes",Dashboard!$Q$15="Yes")),P218,""),"")</f>
        <v/>
      </c>
    </row>
    <row r="219">
      <c r="A219" s="47" t="n"/>
      <c r="B219" s="48" t="n"/>
      <c r="C219" s="48" t="n"/>
      <c r="D219" s="48" t="n"/>
      <c r="E219" s="48" t="n"/>
      <c r="F219" s="48" t="n"/>
      <c r="G219" s="48" t="n"/>
      <c r="H219" s="48" t="n"/>
      <c r="I219" s="49" t="n"/>
      <c r="J219" s="50" t="n"/>
      <c r="K219" s="48" t="n"/>
      <c r="L219" s="51">
        <f>IF(A219="","",DATE(YEAR(A219),MONTH(A219),1))</f>
        <v/>
      </c>
      <c r="M219" s="52">
        <f>IF(OR(A219="",NOT(ISNUMBER(I219))),"",IF(G219=Lists!$B$5,I219/2,IF(G219=Lists!$B$6,I219,0)))</f>
        <v/>
      </c>
      <c r="N219" s="52">
        <f>IF(OR(A219="",NOT(ISNUMBER(I219))),"",IF(G219=Lists!$B$5,I219/2,IF(G219=Lists!$B$7,I219,0)))</f>
        <v/>
      </c>
      <c r="O219" s="53">
        <f>IF(COUNTA(A219:K219)=0,"",IF(OR(A219="",B219="",C219="",D219="",E219="",F219="",G219="",NOT(ISNUMBER(I219))),"Incomplete",IF(COUNTIF(Lists!$H$4:$AA$4,C219)=0,"Check category",IF(COUNTIF(INDEX(Lists!$H$6:$AA$45,0,MATCH(C219,Lists!$H$4:$AA$4,0)),D219)=0,"Check sub-category","OK"))))</f>
        <v/>
      </c>
      <c r="P219">
        <f>IF(ISNUMBER(I219),I219+ROW()/10000000,"")</f>
        <v/>
      </c>
      <c r="Q219">
        <f>IF(AND(ISNUMBER(P219),ISNUMBER(A219)),IF(AND(A219&gt;=Dashboard!$Q$3,A219&lt;=Dashboard!$Q$4,OR(J219&lt;&gt;"Yes",Dashboard!$Q$15="Yes")),P219,""),"")</f>
        <v/>
      </c>
    </row>
    <row r="220">
      <c r="A220" s="47" t="n"/>
      <c r="B220" s="48" t="n"/>
      <c r="C220" s="48" t="n"/>
      <c r="D220" s="48" t="n"/>
      <c r="E220" s="48" t="n"/>
      <c r="F220" s="48" t="n"/>
      <c r="G220" s="48" t="n"/>
      <c r="H220" s="48" t="n"/>
      <c r="I220" s="49" t="n"/>
      <c r="J220" s="50" t="n"/>
      <c r="K220" s="48" t="n"/>
      <c r="L220" s="51">
        <f>IF(A220="","",DATE(YEAR(A220),MONTH(A220),1))</f>
        <v/>
      </c>
      <c r="M220" s="52">
        <f>IF(OR(A220="",NOT(ISNUMBER(I220))),"",IF(G220=Lists!$B$5,I220/2,IF(G220=Lists!$B$6,I220,0)))</f>
        <v/>
      </c>
      <c r="N220" s="52">
        <f>IF(OR(A220="",NOT(ISNUMBER(I220))),"",IF(G220=Lists!$B$5,I220/2,IF(G220=Lists!$B$7,I220,0)))</f>
        <v/>
      </c>
      <c r="O220" s="53">
        <f>IF(COUNTA(A220:K220)=0,"",IF(OR(A220="",B220="",C220="",D220="",E220="",F220="",G220="",NOT(ISNUMBER(I220))),"Incomplete",IF(COUNTIF(Lists!$H$4:$AA$4,C220)=0,"Check category",IF(COUNTIF(INDEX(Lists!$H$6:$AA$45,0,MATCH(C220,Lists!$H$4:$AA$4,0)),D220)=0,"Check sub-category","OK"))))</f>
        <v/>
      </c>
      <c r="P220">
        <f>IF(ISNUMBER(I220),I220+ROW()/10000000,"")</f>
        <v/>
      </c>
      <c r="Q220">
        <f>IF(AND(ISNUMBER(P220),ISNUMBER(A220)),IF(AND(A220&gt;=Dashboard!$Q$3,A220&lt;=Dashboard!$Q$4,OR(J220&lt;&gt;"Yes",Dashboard!$Q$15="Yes")),P220,""),"")</f>
        <v/>
      </c>
    </row>
    <row r="221">
      <c r="A221" s="47" t="n"/>
      <c r="B221" s="48" t="n"/>
      <c r="C221" s="48" t="n"/>
      <c r="D221" s="48" t="n"/>
      <c r="E221" s="48" t="n"/>
      <c r="F221" s="48" t="n"/>
      <c r="G221" s="48" t="n"/>
      <c r="H221" s="48" t="n"/>
      <c r="I221" s="49" t="n"/>
      <c r="J221" s="50" t="n"/>
      <c r="K221" s="48" t="n"/>
      <c r="L221" s="51">
        <f>IF(A221="","",DATE(YEAR(A221),MONTH(A221),1))</f>
        <v/>
      </c>
      <c r="M221" s="52">
        <f>IF(OR(A221="",NOT(ISNUMBER(I221))),"",IF(G221=Lists!$B$5,I221/2,IF(G221=Lists!$B$6,I221,0)))</f>
        <v/>
      </c>
      <c r="N221" s="52">
        <f>IF(OR(A221="",NOT(ISNUMBER(I221))),"",IF(G221=Lists!$B$5,I221/2,IF(G221=Lists!$B$7,I221,0)))</f>
        <v/>
      </c>
      <c r="O221" s="53">
        <f>IF(COUNTA(A221:K221)=0,"",IF(OR(A221="",B221="",C221="",D221="",E221="",F221="",G221="",NOT(ISNUMBER(I221))),"Incomplete",IF(COUNTIF(Lists!$H$4:$AA$4,C221)=0,"Check category",IF(COUNTIF(INDEX(Lists!$H$6:$AA$45,0,MATCH(C221,Lists!$H$4:$AA$4,0)),D221)=0,"Check sub-category","OK"))))</f>
        <v/>
      </c>
      <c r="P221">
        <f>IF(ISNUMBER(I221),I221+ROW()/10000000,"")</f>
        <v/>
      </c>
      <c r="Q221">
        <f>IF(AND(ISNUMBER(P221),ISNUMBER(A221)),IF(AND(A221&gt;=Dashboard!$Q$3,A221&lt;=Dashboard!$Q$4,OR(J221&lt;&gt;"Yes",Dashboard!$Q$15="Yes")),P221,""),"")</f>
        <v/>
      </c>
    </row>
    <row r="222">
      <c r="A222" s="47" t="n"/>
      <c r="B222" s="48" t="n"/>
      <c r="C222" s="48" t="n"/>
      <c r="D222" s="48" t="n"/>
      <c r="E222" s="48" t="n"/>
      <c r="F222" s="48" t="n"/>
      <c r="G222" s="48" t="n"/>
      <c r="H222" s="48" t="n"/>
      <c r="I222" s="49" t="n"/>
      <c r="J222" s="50" t="n"/>
      <c r="K222" s="48" t="n"/>
      <c r="L222" s="51">
        <f>IF(A222="","",DATE(YEAR(A222),MONTH(A222),1))</f>
        <v/>
      </c>
      <c r="M222" s="52">
        <f>IF(OR(A222="",NOT(ISNUMBER(I222))),"",IF(G222=Lists!$B$5,I222/2,IF(G222=Lists!$B$6,I222,0)))</f>
        <v/>
      </c>
      <c r="N222" s="52">
        <f>IF(OR(A222="",NOT(ISNUMBER(I222))),"",IF(G222=Lists!$B$5,I222/2,IF(G222=Lists!$B$7,I222,0)))</f>
        <v/>
      </c>
      <c r="O222" s="53">
        <f>IF(COUNTA(A222:K222)=0,"",IF(OR(A222="",B222="",C222="",D222="",E222="",F222="",G222="",NOT(ISNUMBER(I222))),"Incomplete",IF(COUNTIF(Lists!$H$4:$AA$4,C222)=0,"Check category",IF(COUNTIF(INDEX(Lists!$H$6:$AA$45,0,MATCH(C222,Lists!$H$4:$AA$4,0)),D222)=0,"Check sub-category","OK"))))</f>
        <v/>
      </c>
      <c r="P222">
        <f>IF(ISNUMBER(I222),I222+ROW()/10000000,"")</f>
        <v/>
      </c>
      <c r="Q222">
        <f>IF(AND(ISNUMBER(P222),ISNUMBER(A222)),IF(AND(A222&gt;=Dashboard!$Q$3,A222&lt;=Dashboard!$Q$4,OR(J222&lt;&gt;"Yes",Dashboard!$Q$15="Yes")),P222,""),"")</f>
        <v/>
      </c>
    </row>
    <row r="223">
      <c r="A223" s="47" t="n"/>
      <c r="B223" s="48" t="n"/>
      <c r="C223" s="48" t="n"/>
      <c r="D223" s="48" t="n"/>
      <c r="E223" s="48" t="n"/>
      <c r="F223" s="48" t="n"/>
      <c r="G223" s="48" t="n"/>
      <c r="H223" s="48" t="n"/>
      <c r="I223" s="49" t="n"/>
      <c r="J223" s="50" t="n"/>
      <c r="K223" s="48" t="n"/>
      <c r="L223" s="51">
        <f>IF(A223="","",DATE(YEAR(A223),MONTH(A223),1))</f>
        <v/>
      </c>
      <c r="M223" s="52">
        <f>IF(OR(A223="",NOT(ISNUMBER(I223))),"",IF(G223=Lists!$B$5,I223/2,IF(G223=Lists!$B$6,I223,0)))</f>
        <v/>
      </c>
      <c r="N223" s="52">
        <f>IF(OR(A223="",NOT(ISNUMBER(I223))),"",IF(G223=Lists!$B$5,I223/2,IF(G223=Lists!$B$7,I223,0)))</f>
        <v/>
      </c>
      <c r="O223" s="53">
        <f>IF(COUNTA(A223:K223)=0,"",IF(OR(A223="",B223="",C223="",D223="",E223="",F223="",G223="",NOT(ISNUMBER(I223))),"Incomplete",IF(COUNTIF(Lists!$H$4:$AA$4,C223)=0,"Check category",IF(COUNTIF(INDEX(Lists!$H$6:$AA$45,0,MATCH(C223,Lists!$H$4:$AA$4,0)),D223)=0,"Check sub-category","OK"))))</f>
        <v/>
      </c>
      <c r="P223">
        <f>IF(ISNUMBER(I223),I223+ROW()/10000000,"")</f>
        <v/>
      </c>
      <c r="Q223">
        <f>IF(AND(ISNUMBER(P223),ISNUMBER(A223)),IF(AND(A223&gt;=Dashboard!$Q$3,A223&lt;=Dashboard!$Q$4,OR(J223&lt;&gt;"Yes",Dashboard!$Q$15="Yes")),P223,""),"")</f>
        <v/>
      </c>
    </row>
    <row r="224">
      <c r="A224" s="47" t="n"/>
      <c r="B224" s="48" t="n"/>
      <c r="C224" s="48" t="n"/>
      <c r="D224" s="48" t="n"/>
      <c r="E224" s="48" t="n"/>
      <c r="F224" s="48" t="n"/>
      <c r="G224" s="48" t="n"/>
      <c r="H224" s="48" t="n"/>
      <c r="I224" s="49" t="n"/>
      <c r="J224" s="50" t="n"/>
      <c r="K224" s="48" t="n"/>
      <c r="L224" s="51">
        <f>IF(A224="","",DATE(YEAR(A224),MONTH(A224),1))</f>
        <v/>
      </c>
      <c r="M224" s="52">
        <f>IF(OR(A224="",NOT(ISNUMBER(I224))),"",IF(G224=Lists!$B$5,I224/2,IF(G224=Lists!$B$6,I224,0)))</f>
        <v/>
      </c>
      <c r="N224" s="52">
        <f>IF(OR(A224="",NOT(ISNUMBER(I224))),"",IF(G224=Lists!$B$5,I224/2,IF(G224=Lists!$B$7,I224,0)))</f>
        <v/>
      </c>
      <c r="O224" s="53">
        <f>IF(COUNTA(A224:K224)=0,"",IF(OR(A224="",B224="",C224="",D224="",E224="",F224="",G224="",NOT(ISNUMBER(I224))),"Incomplete",IF(COUNTIF(Lists!$H$4:$AA$4,C224)=0,"Check category",IF(COUNTIF(INDEX(Lists!$H$6:$AA$45,0,MATCH(C224,Lists!$H$4:$AA$4,0)),D224)=0,"Check sub-category","OK"))))</f>
        <v/>
      </c>
      <c r="P224">
        <f>IF(ISNUMBER(I224),I224+ROW()/10000000,"")</f>
        <v/>
      </c>
      <c r="Q224">
        <f>IF(AND(ISNUMBER(P224),ISNUMBER(A224)),IF(AND(A224&gt;=Dashboard!$Q$3,A224&lt;=Dashboard!$Q$4,OR(J224&lt;&gt;"Yes",Dashboard!$Q$15="Yes")),P224,""),"")</f>
        <v/>
      </c>
    </row>
    <row r="225">
      <c r="A225" s="47" t="n"/>
      <c r="B225" s="48" t="n"/>
      <c r="C225" s="48" t="n"/>
      <c r="D225" s="48" t="n"/>
      <c r="E225" s="48" t="n"/>
      <c r="F225" s="48" t="n"/>
      <c r="G225" s="48" t="n"/>
      <c r="H225" s="48" t="n"/>
      <c r="I225" s="49" t="n"/>
      <c r="J225" s="50" t="n"/>
      <c r="K225" s="48" t="n"/>
      <c r="L225" s="51">
        <f>IF(A225="","",DATE(YEAR(A225),MONTH(A225),1))</f>
        <v/>
      </c>
      <c r="M225" s="52">
        <f>IF(OR(A225="",NOT(ISNUMBER(I225))),"",IF(G225=Lists!$B$5,I225/2,IF(G225=Lists!$B$6,I225,0)))</f>
        <v/>
      </c>
      <c r="N225" s="52">
        <f>IF(OR(A225="",NOT(ISNUMBER(I225))),"",IF(G225=Lists!$B$5,I225/2,IF(G225=Lists!$B$7,I225,0)))</f>
        <v/>
      </c>
      <c r="O225" s="53">
        <f>IF(COUNTA(A225:K225)=0,"",IF(OR(A225="",B225="",C225="",D225="",E225="",F225="",G225="",NOT(ISNUMBER(I225))),"Incomplete",IF(COUNTIF(Lists!$H$4:$AA$4,C225)=0,"Check category",IF(COUNTIF(INDEX(Lists!$H$6:$AA$45,0,MATCH(C225,Lists!$H$4:$AA$4,0)),D225)=0,"Check sub-category","OK"))))</f>
        <v/>
      </c>
      <c r="P225">
        <f>IF(ISNUMBER(I225),I225+ROW()/10000000,"")</f>
        <v/>
      </c>
      <c r="Q225">
        <f>IF(AND(ISNUMBER(P225),ISNUMBER(A225)),IF(AND(A225&gt;=Dashboard!$Q$3,A225&lt;=Dashboard!$Q$4,OR(J225&lt;&gt;"Yes",Dashboard!$Q$15="Yes")),P225,""),"")</f>
        <v/>
      </c>
    </row>
    <row r="226">
      <c r="A226" s="47" t="n"/>
      <c r="B226" s="48" t="n"/>
      <c r="C226" s="48" t="n"/>
      <c r="D226" s="48" t="n"/>
      <c r="E226" s="48" t="n"/>
      <c r="F226" s="48" t="n"/>
      <c r="G226" s="48" t="n"/>
      <c r="H226" s="48" t="n"/>
      <c r="I226" s="49" t="n"/>
      <c r="J226" s="50" t="n"/>
      <c r="K226" s="48" t="n"/>
      <c r="L226" s="51">
        <f>IF(A226="","",DATE(YEAR(A226),MONTH(A226),1))</f>
        <v/>
      </c>
      <c r="M226" s="52">
        <f>IF(OR(A226="",NOT(ISNUMBER(I226))),"",IF(G226=Lists!$B$5,I226/2,IF(G226=Lists!$B$6,I226,0)))</f>
        <v/>
      </c>
      <c r="N226" s="52">
        <f>IF(OR(A226="",NOT(ISNUMBER(I226))),"",IF(G226=Lists!$B$5,I226/2,IF(G226=Lists!$B$7,I226,0)))</f>
        <v/>
      </c>
      <c r="O226" s="53">
        <f>IF(COUNTA(A226:K226)=0,"",IF(OR(A226="",B226="",C226="",D226="",E226="",F226="",G226="",NOT(ISNUMBER(I226))),"Incomplete",IF(COUNTIF(Lists!$H$4:$AA$4,C226)=0,"Check category",IF(COUNTIF(INDEX(Lists!$H$6:$AA$45,0,MATCH(C226,Lists!$H$4:$AA$4,0)),D226)=0,"Check sub-category","OK"))))</f>
        <v/>
      </c>
      <c r="P226">
        <f>IF(ISNUMBER(I226),I226+ROW()/10000000,"")</f>
        <v/>
      </c>
      <c r="Q226">
        <f>IF(AND(ISNUMBER(P226),ISNUMBER(A226)),IF(AND(A226&gt;=Dashboard!$Q$3,A226&lt;=Dashboard!$Q$4,OR(J226&lt;&gt;"Yes",Dashboard!$Q$15="Yes")),P226,""),"")</f>
        <v/>
      </c>
    </row>
    <row r="227">
      <c r="A227" s="47" t="n"/>
      <c r="B227" s="48" t="n"/>
      <c r="C227" s="48" t="n"/>
      <c r="D227" s="48" t="n"/>
      <c r="E227" s="48" t="n"/>
      <c r="F227" s="48" t="n"/>
      <c r="G227" s="48" t="n"/>
      <c r="H227" s="48" t="n"/>
      <c r="I227" s="49" t="n"/>
      <c r="J227" s="50" t="n"/>
      <c r="K227" s="48" t="n"/>
      <c r="L227" s="51">
        <f>IF(A227="","",DATE(YEAR(A227),MONTH(A227),1))</f>
        <v/>
      </c>
      <c r="M227" s="52">
        <f>IF(OR(A227="",NOT(ISNUMBER(I227))),"",IF(G227=Lists!$B$5,I227/2,IF(G227=Lists!$B$6,I227,0)))</f>
        <v/>
      </c>
      <c r="N227" s="52">
        <f>IF(OR(A227="",NOT(ISNUMBER(I227))),"",IF(G227=Lists!$B$5,I227/2,IF(G227=Lists!$B$7,I227,0)))</f>
        <v/>
      </c>
      <c r="O227" s="53">
        <f>IF(COUNTA(A227:K227)=0,"",IF(OR(A227="",B227="",C227="",D227="",E227="",F227="",G227="",NOT(ISNUMBER(I227))),"Incomplete",IF(COUNTIF(Lists!$H$4:$AA$4,C227)=0,"Check category",IF(COUNTIF(INDEX(Lists!$H$6:$AA$45,0,MATCH(C227,Lists!$H$4:$AA$4,0)),D227)=0,"Check sub-category","OK"))))</f>
        <v/>
      </c>
      <c r="P227">
        <f>IF(ISNUMBER(I227),I227+ROW()/10000000,"")</f>
        <v/>
      </c>
      <c r="Q227">
        <f>IF(AND(ISNUMBER(P227),ISNUMBER(A227)),IF(AND(A227&gt;=Dashboard!$Q$3,A227&lt;=Dashboard!$Q$4,OR(J227&lt;&gt;"Yes",Dashboard!$Q$15="Yes")),P227,""),"")</f>
        <v/>
      </c>
    </row>
    <row r="228">
      <c r="A228" s="47" t="n"/>
      <c r="B228" s="48" t="n"/>
      <c r="C228" s="48" t="n"/>
      <c r="D228" s="48" t="n"/>
      <c r="E228" s="48" t="n"/>
      <c r="F228" s="48" t="n"/>
      <c r="G228" s="48" t="n"/>
      <c r="H228" s="48" t="n"/>
      <c r="I228" s="49" t="n"/>
      <c r="J228" s="50" t="n"/>
      <c r="K228" s="48" t="n"/>
      <c r="L228" s="51">
        <f>IF(A228="","",DATE(YEAR(A228),MONTH(A228),1))</f>
        <v/>
      </c>
      <c r="M228" s="52">
        <f>IF(OR(A228="",NOT(ISNUMBER(I228))),"",IF(G228=Lists!$B$5,I228/2,IF(G228=Lists!$B$6,I228,0)))</f>
        <v/>
      </c>
      <c r="N228" s="52">
        <f>IF(OR(A228="",NOT(ISNUMBER(I228))),"",IF(G228=Lists!$B$5,I228/2,IF(G228=Lists!$B$7,I228,0)))</f>
        <v/>
      </c>
      <c r="O228" s="53">
        <f>IF(COUNTA(A228:K228)=0,"",IF(OR(A228="",B228="",C228="",D228="",E228="",F228="",G228="",NOT(ISNUMBER(I228))),"Incomplete",IF(COUNTIF(Lists!$H$4:$AA$4,C228)=0,"Check category",IF(COUNTIF(INDEX(Lists!$H$6:$AA$45,0,MATCH(C228,Lists!$H$4:$AA$4,0)),D228)=0,"Check sub-category","OK"))))</f>
        <v/>
      </c>
      <c r="P228">
        <f>IF(ISNUMBER(I228),I228+ROW()/10000000,"")</f>
        <v/>
      </c>
      <c r="Q228">
        <f>IF(AND(ISNUMBER(P228),ISNUMBER(A228)),IF(AND(A228&gt;=Dashboard!$Q$3,A228&lt;=Dashboard!$Q$4,OR(J228&lt;&gt;"Yes",Dashboard!$Q$15="Yes")),P228,""),"")</f>
        <v/>
      </c>
    </row>
    <row r="229">
      <c r="A229" s="47" t="n"/>
      <c r="B229" s="48" t="n"/>
      <c r="C229" s="48" t="n"/>
      <c r="D229" s="48" t="n"/>
      <c r="E229" s="48" t="n"/>
      <c r="F229" s="48" t="n"/>
      <c r="G229" s="48" t="n"/>
      <c r="H229" s="48" t="n"/>
      <c r="I229" s="49" t="n"/>
      <c r="J229" s="50" t="n"/>
      <c r="K229" s="48" t="n"/>
      <c r="L229" s="51">
        <f>IF(A229="","",DATE(YEAR(A229),MONTH(A229),1))</f>
        <v/>
      </c>
      <c r="M229" s="52">
        <f>IF(OR(A229="",NOT(ISNUMBER(I229))),"",IF(G229=Lists!$B$5,I229/2,IF(G229=Lists!$B$6,I229,0)))</f>
        <v/>
      </c>
      <c r="N229" s="52">
        <f>IF(OR(A229="",NOT(ISNUMBER(I229))),"",IF(G229=Lists!$B$5,I229/2,IF(G229=Lists!$B$7,I229,0)))</f>
        <v/>
      </c>
      <c r="O229" s="53">
        <f>IF(COUNTA(A229:K229)=0,"",IF(OR(A229="",B229="",C229="",D229="",E229="",F229="",G229="",NOT(ISNUMBER(I229))),"Incomplete",IF(COUNTIF(Lists!$H$4:$AA$4,C229)=0,"Check category",IF(COUNTIF(INDEX(Lists!$H$6:$AA$45,0,MATCH(C229,Lists!$H$4:$AA$4,0)),D229)=0,"Check sub-category","OK"))))</f>
        <v/>
      </c>
      <c r="P229">
        <f>IF(ISNUMBER(I229),I229+ROW()/10000000,"")</f>
        <v/>
      </c>
      <c r="Q229">
        <f>IF(AND(ISNUMBER(P229),ISNUMBER(A229)),IF(AND(A229&gt;=Dashboard!$Q$3,A229&lt;=Dashboard!$Q$4,OR(J229&lt;&gt;"Yes",Dashboard!$Q$15="Yes")),P229,""),"")</f>
        <v/>
      </c>
    </row>
    <row r="230">
      <c r="A230" s="47" t="n"/>
      <c r="B230" s="48" t="n"/>
      <c r="C230" s="48" t="n"/>
      <c r="D230" s="48" t="n"/>
      <c r="E230" s="48" t="n"/>
      <c r="F230" s="48" t="n"/>
      <c r="G230" s="48" t="n"/>
      <c r="H230" s="48" t="n"/>
      <c r="I230" s="49" t="n"/>
      <c r="J230" s="50" t="n"/>
      <c r="K230" s="48" t="n"/>
      <c r="L230" s="51">
        <f>IF(A230="","",DATE(YEAR(A230),MONTH(A230),1))</f>
        <v/>
      </c>
      <c r="M230" s="52">
        <f>IF(OR(A230="",NOT(ISNUMBER(I230))),"",IF(G230=Lists!$B$5,I230/2,IF(G230=Lists!$B$6,I230,0)))</f>
        <v/>
      </c>
      <c r="N230" s="52">
        <f>IF(OR(A230="",NOT(ISNUMBER(I230))),"",IF(G230=Lists!$B$5,I230/2,IF(G230=Lists!$B$7,I230,0)))</f>
        <v/>
      </c>
      <c r="O230" s="53">
        <f>IF(COUNTA(A230:K230)=0,"",IF(OR(A230="",B230="",C230="",D230="",E230="",F230="",G230="",NOT(ISNUMBER(I230))),"Incomplete",IF(COUNTIF(Lists!$H$4:$AA$4,C230)=0,"Check category",IF(COUNTIF(INDEX(Lists!$H$6:$AA$45,0,MATCH(C230,Lists!$H$4:$AA$4,0)),D230)=0,"Check sub-category","OK"))))</f>
        <v/>
      </c>
      <c r="P230">
        <f>IF(ISNUMBER(I230),I230+ROW()/10000000,"")</f>
        <v/>
      </c>
      <c r="Q230">
        <f>IF(AND(ISNUMBER(P230),ISNUMBER(A230)),IF(AND(A230&gt;=Dashboard!$Q$3,A230&lt;=Dashboard!$Q$4,OR(J230&lt;&gt;"Yes",Dashboard!$Q$15="Yes")),P230,""),"")</f>
        <v/>
      </c>
    </row>
    <row r="231">
      <c r="A231" s="47" t="n"/>
      <c r="B231" s="48" t="n"/>
      <c r="C231" s="48" t="n"/>
      <c r="D231" s="48" t="n"/>
      <c r="E231" s="48" t="n"/>
      <c r="F231" s="48" t="n"/>
      <c r="G231" s="48" t="n"/>
      <c r="H231" s="48" t="n"/>
      <c r="I231" s="49" t="n"/>
      <c r="J231" s="50" t="n"/>
      <c r="K231" s="48" t="n"/>
      <c r="L231" s="51">
        <f>IF(A231="","",DATE(YEAR(A231),MONTH(A231),1))</f>
        <v/>
      </c>
      <c r="M231" s="52">
        <f>IF(OR(A231="",NOT(ISNUMBER(I231))),"",IF(G231=Lists!$B$5,I231/2,IF(G231=Lists!$B$6,I231,0)))</f>
        <v/>
      </c>
      <c r="N231" s="52">
        <f>IF(OR(A231="",NOT(ISNUMBER(I231))),"",IF(G231=Lists!$B$5,I231/2,IF(G231=Lists!$B$7,I231,0)))</f>
        <v/>
      </c>
      <c r="O231" s="53">
        <f>IF(COUNTA(A231:K231)=0,"",IF(OR(A231="",B231="",C231="",D231="",E231="",F231="",G231="",NOT(ISNUMBER(I231))),"Incomplete",IF(COUNTIF(Lists!$H$4:$AA$4,C231)=0,"Check category",IF(COUNTIF(INDEX(Lists!$H$6:$AA$45,0,MATCH(C231,Lists!$H$4:$AA$4,0)),D231)=0,"Check sub-category","OK"))))</f>
        <v/>
      </c>
      <c r="P231">
        <f>IF(ISNUMBER(I231),I231+ROW()/10000000,"")</f>
        <v/>
      </c>
      <c r="Q231">
        <f>IF(AND(ISNUMBER(P231),ISNUMBER(A231)),IF(AND(A231&gt;=Dashboard!$Q$3,A231&lt;=Dashboard!$Q$4,OR(J231&lt;&gt;"Yes",Dashboard!$Q$15="Yes")),P231,""),"")</f>
        <v/>
      </c>
    </row>
    <row r="232">
      <c r="A232" s="47" t="n"/>
      <c r="B232" s="48" t="n"/>
      <c r="C232" s="48" t="n"/>
      <c r="D232" s="48" t="n"/>
      <c r="E232" s="48" t="n"/>
      <c r="F232" s="48" t="n"/>
      <c r="G232" s="48" t="n"/>
      <c r="H232" s="48" t="n"/>
      <c r="I232" s="49" t="n"/>
      <c r="J232" s="50" t="n"/>
      <c r="K232" s="48" t="n"/>
      <c r="L232" s="51">
        <f>IF(A232="","",DATE(YEAR(A232),MONTH(A232),1))</f>
        <v/>
      </c>
      <c r="M232" s="52">
        <f>IF(OR(A232="",NOT(ISNUMBER(I232))),"",IF(G232=Lists!$B$5,I232/2,IF(G232=Lists!$B$6,I232,0)))</f>
        <v/>
      </c>
      <c r="N232" s="52">
        <f>IF(OR(A232="",NOT(ISNUMBER(I232))),"",IF(G232=Lists!$B$5,I232/2,IF(G232=Lists!$B$7,I232,0)))</f>
        <v/>
      </c>
      <c r="O232" s="53">
        <f>IF(COUNTA(A232:K232)=0,"",IF(OR(A232="",B232="",C232="",D232="",E232="",F232="",G232="",NOT(ISNUMBER(I232))),"Incomplete",IF(COUNTIF(Lists!$H$4:$AA$4,C232)=0,"Check category",IF(COUNTIF(INDEX(Lists!$H$6:$AA$45,0,MATCH(C232,Lists!$H$4:$AA$4,0)),D232)=0,"Check sub-category","OK"))))</f>
        <v/>
      </c>
      <c r="P232">
        <f>IF(ISNUMBER(I232),I232+ROW()/10000000,"")</f>
        <v/>
      </c>
      <c r="Q232">
        <f>IF(AND(ISNUMBER(P232),ISNUMBER(A232)),IF(AND(A232&gt;=Dashboard!$Q$3,A232&lt;=Dashboard!$Q$4,OR(J232&lt;&gt;"Yes",Dashboard!$Q$15="Yes")),P232,""),"")</f>
        <v/>
      </c>
    </row>
    <row r="233">
      <c r="A233" s="47" t="n"/>
      <c r="B233" s="48" t="n"/>
      <c r="C233" s="48" t="n"/>
      <c r="D233" s="48" t="n"/>
      <c r="E233" s="48" t="n"/>
      <c r="F233" s="48" t="n"/>
      <c r="G233" s="48" t="n"/>
      <c r="H233" s="48" t="n"/>
      <c r="I233" s="49" t="n"/>
      <c r="J233" s="50" t="n"/>
      <c r="K233" s="48" t="n"/>
      <c r="L233" s="51">
        <f>IF(A233="","",DATE(YEAR(A233),MONTH(A233),1))</f>
        <v/>
      </c>
      <c r="M233" s="52">
        <f>IF(OR(A233="",NOT(ISNUMBER(I233))),"",IF(G233=Lists!$B$5,I233/2,IF(G233=Lists!$B$6,I233,0)))</f>
        <v/>
      </c>
      <c r="N233" s="52">
        <f>IF(OR(A233="",NOT(ISNUMBER(I233))),"",IF(G233=Lists!$B$5,I233/2,IF(G233=Lists!$B$7,I233,0)))</f>
        <v/>
      </c>
      <c r="O233" s="53">
        <f>IF(COUNTA(A233:K233)=0,"",IF(OR(A233="",B233="",C233="",D233="",E233="",F233="",G233="",NOT(ISNUMBER(I233))),"Incomplete",IF(COUNTIF(Lists!$H$4:$AA$4,C233)=0,"Check category",IF(COUNTIF(INDEX(Lists!$H$6:$AA$45,0,MATCH(C233,Lists!$H$4:$AA$4,0)),D233)=0,"Check sub-category","OK"))))</f>
        <v/>
      </c>
      <c r="P233">
        <f>IF(ISNUMBER(I233),I233+ROW()/10000000,"")</f>
        <v/>
      </c>
      <c r="Q233">
        <f>IF(AND(ISNUMBER(P233),ISNUMBER(A233)),IF(AND(A233&gt;=Dashboard!$Q$3,A233&lt;=Dashboard!$Q$4,OR(J233&lt;&gt;"Yes",Dashboard!$Q$15="Yes")),P233,""),"")</f>
        <v/>
      </c>
    </row>
    <row r="234">
      <c r="A234" s="47" t="n"/>
      <c r="B234" s="48" t="n"/>
      <c r="C234" s="48" t="n"/>
      <c r="D234" s="48" t="n"/>
      <c r="E234" s="48" t="n"/>
      <c r="F234" s="48" t="n"/>
      <c r="G234" s="48" t="n"/>
      <c r="H234" s="48" t="n"/>
      <c r="I234" s="49" t="n"/>
      <c r="J234" s="50" t="n"/>
      <c r="K234" s="48" t="n"/>
      <c r="L234" s="51">
        <f>IF(A234="","",DATE(YEAR(A234),MONTH(A234),1))</f>
        <v/>
      </c>
      <c r="M234" s="52">
        <f>IF(OR(A234="",NOT(ISNUMBER(I234))),"",IF(G234=Lists!$B$5,I234/2,IF(G234=Lists!$B$6,I234,0)))</f>
        <v/>
      </c>
      <c r="N234" s="52">
        <f>IF(OR(A234="",NOT(ISNUMBER(I234))),"",IF(G234=Lists!$B$5,I234/2,IF(G234=Lists!$B$7,I234,0)))</f>
        <v/>
      </c>
      <c r="O234" s="53">
        <f>IF(COUNTA(A234:K234)=0,"",IF(OR(A234="",B234="",C234="",D234="",E234="",F234="",G234="",NOT(ISNUMBER(I234))),"Incomplete",IF(COUNTIF(Lists!$H$4:$AA$4,C234)=0,"Check category",IF(COUNTIF(INDEX(Lists!$H$6:$AA$45,0,MATCH(C234,Lists!$H$4:$AA$4,0)),D234)=0,"Check sub-category","OK"))))</f>
        <v/>
      </c>
      <c r="P234">
        <f>IF(ISNUMBER(I234),I234+ROW()/10000000,"")</f>
        <v/>
      </c>
      <c r="Q234">
        <f>IF(AND(ISNUMBER(P234),ISNUMBER(A234)),IF(AND(A234&gt;=Dashboard!$Q$3,A234&lt;=Dashboard!$Q$4,OR(J234&lt;&gt;"Yes",Dashboard!$Q$15="Yes")),P234,""),"")</f>
        <v/>
      </c>
    </row>
    <row r="235">
      <c r="A235" s="47" t="n"/>
      <c r="B235" s="48" t="n"/>
      <c r="C235" s="48" t="n"/>
      <c r="D235" s="48" t="n"/>
      <c r="E235" s="48" t="n"/>
      <c r="F235" s="48" t="n"/>
      <c r="G235" s="48" t="n"/>
      <c r="H235" s="48" t="n"/>
      <c r="I235" s="49" t="n"/>
      <c r="J235" s="50" t="n"/>
      <c r="K235" s="48" t="n"/>
      <c r="L235" s="51">
        <f>IF(A235="","",DATE(YEAR(A235),MONTH(A235),1))</f>
        <v/>
      </c>
      <c r="M235" s="52">
        <f>IF(OR(A235="",NOT(ISNUMBER(I235))),"",IF(G235=Lists!$B$5,I235/2,IF(G235=Lists!$B$6,I235,0)))</f>
        <v/>
      </c>
      <c r="N235" s="52">
        <f>IF(OR(A235="",NOT(ISNUMBER(I235))),"",IF(G235=Lists!$B$5,I235/2,IF(G235=Lists!$B$7,I235,0)))</f>
        <v/>
      </c>
      <c r="O235" s="53">
        <f>IF(COUNTA(A235:K235)=0,"",IF(OR(A235="",B235="",C235="",D235="",E235="",F235="",G235="",NOT(ISNUMBER(I235))),"Incomplete",IF(COUNTIF(Lists!$H$4:$AA$4,C235)=0,"Check category",IF(COUNTIF(INDEX(Lists!$H$6:$AA$45,0,MATCH(C235,Lists!$H$4:$AA$4,0)),D235)=0,"Check sub-category","OK"))))</f>
        <v/>
      </c>
      <c r="P235">
        <f>IF(ISNUMBER(I235),I235+ROW()/10000000,"")</f>
        <v/>
      </c>
      <c r="Q235">
        <f>IF(AND(ISNUMBER(P235),ISNUMBER(A235)),IF(AND(A235&gt;=Dashboard!$Q$3,A235&lt;=Dashboard!$Q$4,OR(J235&lt;&gt;"Yes",Dashboard!$Q$15="Yes")),P235,""),"")</f>
        <v/>
      </c>
    </row>
    <row r="236">
      <c r="A236" s="47" t="n"/>
      <c r="B236" s="48" t="n"/>
      <c r="C236" s="48" t="n"/>
      <c r="D236" s="48" t="n"/>
      <c r="E236" s="48" t="n"/>
      <c r="F236" s="48" t="n"/>
      <c r="G236" s="48" t="n"/>
      <c r="H236" s="48" t="n"/>
      <c r="I236" s="49" t="n"/>
      <c r="J236" s="50" t="n"/>
      <c r="K236" s="48" t="n"/>
      <c r="L236" s="51">
        <f>IF(A236="","",DATE(YEAR(A236),MONTH(A236),1))</f>
        <v/>
      </c>
      <c r="M236" s="52">
        <f>IF(OR(A236="",NOT(ISNUMBER(I236))),"",IF(G236=Lists!$B$5,I236/2,IF(G236=Lists!$B$6,I236,0)))</f>
        <v/>
      </c>
      <c r="N236" s="52">
        <f>IF(OR(A236="",NOT(ISNUMBER(I236))),"",IF(G236=Lists!$B$5,I236/2,IF(G236=Lists!$B$7,I236,0)))</f>
        <v/>
      </c>
      <c r="O236" s="53">
        <f>IF(COUNTA(A236:K236)=0,"",IF(OR(A236="",B236="",C236="",D236="",E236="",F236="",G236="",NOT(ISNUMBER(I236))),"Incomplete",IF(COUNTIF(Lists!$H$4:$AA$4,C236)=0,"Check category",IF(COUNTIF(INDEX(Lists!$H$6:$AA$45,0,MATCH(C236,Lists!$H$4:$AA$4,0)),D236)=0,"Check sub-category","OK"))))</f>
        <v/>
      </c>
      <c r="P236">
        <f>IF(ISNUMBER(I236),I236+ROW()/10000000,"")</f>
        <v/>
      </c>
      <c r="Q236">
        <f>IF(AND(ISNUMBER(P236),ISNUMBER(A236)),IF(AND(A236&gt;=Dashboard!$Q$3,A236&lt;=Dashboard!$Q$4,OR(J236&lt;&gt;"Yes",Dashboard!$Q$15="Yes")),P236,""),"")</f>
        <v/>
      </c>
    </row>
    <row r="237">
      <c r="A237" s="47" t="n"/>
      <c r="B237" s="48" t="n"/>
      <c r="C237" s="48" t="n"/>
      <c r="D237" s="48" t="n"/>
      <c r="E237" s="48" t="n"/>
      <c r="F237" s="48" t="n"/>
      <c r="G237" s="48" t="n"/>
      <c r="H237" s="48" t="n"/>
      <c r="I237" s="49" t="n"/>
      <c r="J237" s="50" t="n"/>
      <c r="K237" s="48" t="n"/>
      <c r="L237" s="51">
        <f>IF(A237="","",DATE(YEAR(A237),MONTH(A237),1))</f>
        <v/>
      </c>
      <c r="M237" s="52">
        <f>IF(OR(A237="",NOT(ISNUMBER(I237))),"",IF(G237=Lists!$B$5,I237/2,IF(G237=Lists!$B$6,I237,0)))</f>
        <v/>
      </c>
      <c r="N237" s="52">
        <f>IF(OR(A237="",NOT(ISNUMBER(I237))),"",IF(G237=Lists!$B$5,I237/2,IF(G237=Lists!$B$7,I237,0)))</f>
        <v/>
      </c>
      <c r="O237" s="53">
        <f>IF(COUNTA(A237:K237)=0,"",IF(OR(A237="",B237="",C237="",D237="",E237="",F237="",G237="",NOT(ISNUMBER(I237))),"Incomplete",IF(COUNTIF(Lists!$H$4:$AA$4,C237)=0,"Check category",IF(COUNTIF(INDEX(Lists!$H$6:$AA$45,0,MATCH(C237,Lists!$H$4:$AA$4,0)),D237)=0,"Check sub-category","OK"))))</f>
        <v/>
      </c>
      <c r="P237">
        <f>IF(ISNUMBER(I237),I237+ROW()/10000000,"")</f>
        <v/>
      </c>
      <c r="Q237">
        <f>IF(AND(ISNUMBER(P237),ISNUMBER(A237)),IF(AND(A237&gt;=Dashboard!$Q$3,A237&lt;=Dashboard!$Q$4,OR(J237&lt;&gt;"Yes",Dashboard!$Q$15="Yes")),P237,""),"")</f>
        <v/>
      </c>
    </row>
    <row r="238">
      <c r="A238" s="47" t="n"/>
      <c r="B238" s="48" t="n"/>
      <c r="C238" s="48" t="n"/>
      <c r="D238" s="48" t="n"/>
      <c r="E238" s="48" t="n"/>
      <c r="F238" s="48" t="n"/>
      <c r="G238" s="48" t="n"/>
      <c r="H238" s="48" t="n"/>
      <c r="I238" s="49" t="n"/>
      <c r="J238" s="50" t="n"/>
      <c r="K238" s="48" t="n"/>
      <c r="L238" s="51">
        <f>IF(A238="","",DATE(YEAR(A238),MONTH(A238),1))</f>
        <v/>
      </c>
      <c r="M238" s="52">
        <f>IF(OR(A238="",NOT(ISNUMBER(I238))),"",IF(G238=Lists!$B$5,I238/2,IF(G238=Lists!$B$6,I238,0)))</f>
        <v/>
      </c>
      <c r="N238" s="52">
        <f>IF(OR(A238="",NOT(ISNUMBER(I238))),"",IF(G238=Lists!$B$5,I238/2,IF(G238=Lists!$B$7,I238,0)))</f>
        <v/>
      </c>
      <c r="O238" s="53">
        <f>IF(COUNTA(A238:K238)=0,"",IF(OR(A238="",B238="",C238="",D238="",E238="",F238="",G238="",NOT(ISNUMBER(I238))),"Incomplete",IF(COUNTIF(Lists!$H$4:$AA$4,C238)=0,"Check category",IF(COUNTIF(INDEX(Lists!$H$6:$AA$45,0,MATCH(C238,Lists!$H$4:$AA$4,0)),D238)=0,"Check sub-category","OK"))))</f>
        <v/>
      </c>
      <c r="P238">
        <f>IF(ISNUMBER(I238),I238+ROW()/10000000,"")</f>
        <v/>
      </c>
      <c r="Q238">
        <f>IF(AND(ISNUMBER(P238),ISNUMBER(A238)),IF(AND(A238&gt;=Dashboard!$Q$3,A238&lt;=Dashboard!$Q$4,OR(J238&lt;&gt;"Yes",Dashboard!$Q$15="Yes")),P238,""),"")</f>
        <v/>
      </c>
    </row>
    <row r="239">
      <c r="A239" s="47" t="n"/>
      <c r="B239" s="48" t="n"/>
      <c r="C239" s="48" t="n"/>
      <c r="D239" s="48" t="n"/>
      <c r="E239" s="48" t="n"/>
      <c r="F239" s="48" t="n"/>
      <c r="G239" s="48" t="n"/>
      <c r="H239" s="48" t="n"/>
      <c r="I239" s="49" t="n"/>
      <c r="J239" s="50" t="n"/>
      <c r="K239" s="48" t="n"/>
      <c r="L239" s="51">
        <f>IF(A239="","",DATE(YEAR(A239),MONTH(A239),1))</f>
        <v/>
      </c>
      <c r="M239" s="52">
        <f>IF(OR(A239="",NOT(ISNUMBER(I239))),"",IF(G239=Lists!$B$5,I239/2,IF(G239=Lists!$B$6,I239,0)))</f>
        <v/>
      </c>
      <c r="N239" s="52">
        <f>IF(OR(A239="",NOT(ISNUMBER(I239))),"",IF(G239=Lists!$B$5,I239/2,IF(G239=Lists!$B$7,I239,0)))</f>
        <v/>
      </c>
      <c r="O239" s="53">
        <f>IF(COUNTA(A239:K239)=0,"",IF(OR(A239="",B239="",C239="",D239="",E239="",F239="",G239="",NOT(ISNUMBER(I239))),"Incomplete",IF(COUNTIF(Lists!$H$4:$AA$4,C239)=0,"Check category",IF(COUNTIF(INDEX(Lists!$H$6:$AA$45,0,MATCH(C239,Lists!$H$4:$AA$4,0)),D239)=0,"Check sub-category","OK"))))</f>
        <v/>
      </c>
      <c r="P239">
        <f>IF(ISNUMBER(I239),I239+ROW()/10000000,"")</f>
        <v/>
      </c>
      <c r="Q239">
        <f>IF(AND(ISNUMBER(P239),ISNUMBER(A239)),IF(AND(A239&gt;=Dashboard!$Q$3,A239&lt;=Dashboard!$Q$4,OR(J239&lt;&gt;"Yes",Dashboard!$Q$15="Yes")),P239,""),"")</f>
        <v/>
      </c>
    </row>
    <row r="240">
      <c r="A240" s="47" t="n"/>
      <c r="B240" s="48" t="n"/>
      <c r="C240" s="48" t="n"/>
      <c r="D240" s="48" t="n"/>
      <c r="E240" s="48" t="n"/>
      <c r="F240" s="48" t="n"/>
      <c r="G240" s="48" t="n"/>
      <c r="H240" s="48" t="n"/>
      <c r="I240" s="49" t="n"/>
      <c r="J240" s="50" t="n"/>
      <c r="K240" s="48" t="n"/>
      <c r="L240" s="51">
        <f>IF(A240="","",DATE(YEAR(A240),MONTH(A240),1))</f>
        <v/>
      </c>
      <c r="M240" s="52">
        <f>IF(OR(A240="",NOT(ISNUMBER(I240))),"",IF(G240=Lists!$B$5,I240/2,IF(G240=Lists!$B$6,I240,0)))</f>
        <v/>
      </c>
      <c r="N240" s="52">
        <f>IF(OR(A240="",NOT(ISNUMBER(I240))),"",IF(G240=Lists!$B$5,I240/2,IF(G240=Lists!$B$7,I240,0)))</f>
        <v/>
      </c>
      <c r="O240" s="53">
        <f>IF(COUNTA(A240:K240)=0,"",IF(OR(A240="",B240="",C240="",D240="",E240="",F240="",G240="",NOT(ISNUMBER(I240))),"Incomplete",IF(COUNTIF(Lists!$H$4:$AA$4,C240)=0,"Check category",IF(COUNTIF(INDEX(Lists!$H$6:$AA$45,0,MATCH(C240,Lists!$H$4:$AA$4,0)),D240)=0,"Check sub-category","OK"))))</f>
        <v/>
      </c>
      <c r="P240">
        <f>IF(ISNUMBER(I240),I240+ROW()/10000000,"")</f>
        <v/>
      </c>
      <c r="Q240">
        <f>IF(AND(ISNUMBER(P240),ISNUMBER(A240)),IF(AND(A240&gt;=Dashboard!$Q$3,A240&lt;=Dashboard!$Q$4,OR(J240&lt;&gt;"Yes",Dashboard!$Q$15="Yes")),P240,""),"")</f>
        <v/>
      </c>
    </row>
    <row r="241">
      <c r="A241" s="47" t="n"/>
      <c r="B241" s="48" t="n"/>
      <c r="C241" s="48" t="n"/>
      <c r="D241" s="48" t="n"/>
      <c r="E241" s="48" t="n"/>
      <c r="F241" s="48" t="n"/>
      <c r="G241" s="48" t="n"/>
      <c r="H241" s="48" t="n"/>
      <c r="I241" s="49" t="n"/>
      <c r="J241" s="50" t="n"/>
      <c r="K241" s="48" t="n"/>
      <c r="L241" s="51">
        <f>IF(A241="","",DATE(YEAR(A241),MONTH(A241),1))</f>
        <v/>
      </c>
      <c r="M241" s="52">
        <f>IF(OR(A241="",NOT(ISNUMBER(I241))),"",IF(G241=Lists!$B$5,I241/2,IF(G241=Lists!$B$6,I241,0)))</f>
        <v/>
      </c>
      <c r="N241" s="52">
        <f>IF(OR(A241="",NOT(ISNUMBER(I241))),"",IF(G241=Lists!$B$5,I241/2,IF(G241=Lists!$B$7,I241,0)))</f>
        <v/>
      </c>
      <c r="O241" s="53">
        <f>IF(COUNTA(A241:K241)=0,"",IF(OR(A241="",B241="",C241="",D241="",E241="",F241="",G241="",NOT(ISNUMBER(I241))),"Incomplete",IF(COUNTIF(Lists!$H$4:$AA$4,C241)=0,"Check category",IF(COUNTIF(INDEX(Lists!$H$6:$AA$45,0,MATCH(C241,Lists!$H$4:$AA$4,0)),D241)=0,"Check sub-category","OK"))))</f>
        <v/>
      </c>
      <c r="P241">
        <f>IF(ISNUMBER(I241),I241+ROW()/10000000,"")</f>
        <v/>
      </c>
      <c r="Q241">
        <f>IF(AND(ISNUMBER(P241),ISNUMBER(A241)),IF(AND(A241&gt;=Dashboard!$Q$3,A241&lt;=Dashboard!$Q$4,OR(J241&lt;&gt;"Yes",Dashboard!$Q$15="Yes")),P241,""),"")</f>
        <v/>
      </c>
    </row>
    <row r="242">
      <c r="A242" s="47" t="n"/>
      <c r="B242" s="48" t="n"/>
      <c r="C242" s="48" t="n"/>
      <c r="D242" s="48" t="n"/>
      <c r="E242" s="48" t="n"/>
      <c r="F242" s="48" t="n"/>
      <c r="G242" s="48" t="n"/>
      <c r="H242" s="48" t="n"/>
      <c r="I242" s="49" t="n"/>
      <c r="J242" s="50" t="n"/>
      <c r="K242" s="48" t="n"/>
      <c r="L242" s="51">
        <f>IF(A242="","",DATE(YEAR(A242),MONTH(A242),1))</f>
        <v/>
      </c>
      <c r="M242" s="52">
        <f>IF(OR(A242="",NOT(ISNUMBER(I242))),"",IF(G242=Lists!$B$5,I242/2,IF(G242=Lists!$B$6,I242,0)))</f>
        <v/>
      </c>
      <c r="N242" s="52">
        <f>IF(OR(A242="",NOT(ISNUMBER(I242))),"",IF(G242=Lists!$B$5,I242/2,IF(G242=Lists!$B$7,I242,0)))</f>
        <v/>
      </c>
      <c r="O242" s="53">
        <f>IF(COUNTA(A242:K242)=0,"",IF(OR(A242="",B242="",C242="",D242="",E242="",F242="",G242="",NOT(ISNUMBER(I242))),"Incomplete",IF(COUNTIF(Lists!$H$4:$AA$4,C242)=0,"Check category",IF(COUNTIF(INDEX(Lists!$H$6:$AA$45,0,MATCH(C242,Lists!$H$4:$AA$4,0)),D242)=0,"Check sub-category","OK"))))</f>
        <v/>
      </c>
      <c r="P242">
        <f>IF(ISNUMBER(I242),I242+ROW()/10000000,"")</f>
        <v/>
      </c>
      <c r="Q242">
        <f>IF(AND(ISNUMBER(P242),ISNUMBER(A242)),IF(AND(A242&gt;=Dashboard!$Q$3,A242&lt;=Dashboard!$Q$4,OR(J242&lt;&gt;"Yes",Dashboard!$Q$15="Yes")),P242,""),"")</f>
        <v/>
      </c>
    </row>
    <row r="243">
      <c r="A243" s="47" t="n"/>
      <c r="B243" s="48" t="n"/>
      <c r="C243" s="48" t="n"/>
      <c r="D243" s="48" t="n"/>
      <c r="E243" s="48" t="n"/>
      <c r="F243" s="48" t="n"/>
      <c r="G243" s="48" t="n"/>
      <c r="H243" s="48" t="n"/>
      <c r="I243" s="49" t="n"/>
      <c r="J243" s="50" t="n"/>
      <c r="K243" s="48" t="n"/>
      <c r="L243" s="51">
        <f>IF(A243="","",DATE(YEAR(A243),MONTH(A243),1))</f>
        <v/>
      </c>
      <c r="M243" s="52">
        <f>IF(OR(A243="",NOT(ISNUMBER(I243))),"",IF(G243=Lists!$B$5,I243/2,IF(G243=Lists!$B$6,I243,0)))</f>
        <v/>
      </c>
      <c r="N243" s="52">
        <f>IF(OR(A243="",NOT(ISNUMBER(I243))),"",IF(G243=Lists!$B$5,I243/2,IF(G243=Lists!$B$7,I243,0)))</f>
        <v/>
      </c>
      <c r="O243" s="53">
        <f>IF(COUNTA(A243:K243)=0,"",IF(OR(A243="",B243="",C243="",D243="",E243="",F243="",G243="",NOT(ISNUMBER(I243))),"Incomplete",IF(COUNTIF(Lists!$H$4:$AA$4,C243)=0,"Check category",IF(COUNTIF(INDEX(Lists!$H$6:$AA$45,0,MATCH(C243,Lists!$H$4:$AA$4,0)),D243)=0,"Check sub-category","OK"))))</f>
        <v/>
      </c>
      <c r="P243">
        <f>IF(ISNUMBER(I243),I243+ROW()/10000000,"")</f>
        <v/>
      </c>
      <c r="Q243">
        <f>IF(AND(ISNUMBER(P243),ISNUMBER(A243)),IF(AND(A243&gt;=Dashboard!$Q$3,A243&lt;=Dashboard!$Q$4,OR(J243&lt;&gt;"Yes",Dashboard!$Q$15="Yes")),P243,""),"")</f>
        <v/>
      </c>
    </row>
    <row r="244">
      <c r="A244" s="47" t="n"/>
      <c r="B244" s="48" t="n"/>
      <c r="C244" s="48" t="n"/>
      <c r="D244" s="48" t="n"/>
      <c r="E244" s="48" t="n"/>
      <c r="F244" s="48" t="n"/>
      <c r="G244" s="48" t="n"/>
      <c r="H244" s="48" t="n"/>
      <c r="I244" s="49" t="n"/>
      <c r="J244" s="50" t="n"/>
      <c r="K244" s="48" t="n"/>
      <c r="L244" s="51">
        <f>IF(A244="","",DATE(YEAR(A244),MONTH(A244),1))</f>
        <v/>
      </c>
      <c r="M244" s="52">
        <f>IF(OR(A244="",NOT(ISNUMBER(I244))),"",IF(G244=Lists!$B$5,I244/2,IF(G244=Lists!$B$6,I244,0)))</f>
        <v/>
      </c>
      <c r="N244" s="52">
        <f>IF(OR(A244="",NOT(ISNUMBER(I244))),"",IF(G244=Lists!$B$5,I244/2,IF(G244=Lists!$B$7,I244,0)))</f>
        <v/>
      </c>
      <c r="O244" s="53">
        <f>IF(COUNTA(A244:K244)=0,"",IF(OR(A244="",B244="",C244="",D244="",E244="",F244="",G244="",NOT(ISNUMBER(I244))),"Incomplete",IF(COUNTIF(Lists!$H$4:$AA$4,C244)=0,"Check category",IF(COUNTIF(INDEX(Lists!$H$6:$AA$45,0,MATCH(C244,Lists!$H$4:$AA$4,0)),D244)=0,"Check sub-category","OK"))))</f>
        <v/>
      </c>
      <c r="P244">
        <f>IF(ISNUMBER(I244),I244+ROW()/10000000,"")</f>
        <v/>
      </c>
      <c r="Q244">
        <f>IF(AND(ISNUMBER(P244),ISNUMBER(A244)),IF(AND(A244&gt;=Dashboard!$Q$3,A244&lt;=Dashboard!$Q$4,OR(J244&lt;&gt;"Yes",Dashboard!$Q$15="Yes")),P244,""),"")</f>
        <v/>
      </c>
    </row>
    <row r="245">
      <c r="A245" s="47" t="n"/>
      <c r="B245" s="48" t="n"/>
      <c r="C245" s="48" t="n"/>
      <c r="D245" s="48" t="n"/>
      <c r="E245" s="48" t="n"/>
      <c r="F245" s="48" t="n"/>
      <c r="G245" s="48" t="n"/>
      <c r="H245" s="48" t="n"/>
      <c r="I245" s="49" t="n"/>
      <c r="J245" s="50" t="n"/>
      <c r="K245" s="48" t="n"/>
      <c r="L245" s="51">
        <f>IF(A245="","",DATE(YEAR(A245),MONTH(A245),1))</f>
        <v/>
      </c>
      <c r="M245" s="52">
        <f>IF(OR(A245="",NOT(ISNUMBER(I245))),"",IF(G245=Lists!$B$5,I245/2,IF(G245=Lists!$B$6,I245,0)))</f>
        <v/>
      </c>
      <c r="N245" s="52">
        <f>IF(OR(A245="",NOT(ISNUMBER(I245))),"",IF(G245=Lists!$B$5,I245/2,IF(G245=Lists!$B$7,I245,0)))</f>
        <v/>
      </c>
      <c r="O245" s="53">
        <f>IF(COUNTA(A245:K245)=0,"",IF(OR(A245="",B245="",C245="",D245="",E245="",F245="",G245="",NOT(ISNUMBER(I245))),"Incomplete",IF(COUNTIF(Lists!$H$4:$AA$4,C245)=0,"Check category",IF(COUNTIF(INDEX(Lists!$H$6:$AA$45,0,MATCH(C245,Lists!$H$4:$AA$4,0)),D245)=0,"Check sub-category","OK"))))</f>
        <v/>
      </c>
      <c r="P245">
        <f>IF(ISNUMBER(I245),I245+ROW()/10000000,"")</f>
        <v/>
      </c>
      <c r="Q245">
        <f>IF(AND(ISNUMBER(P245),ISNUMBER(A245)),IF(AND(A245&gt;=Dashboard!$Q$3,A245&lt;=Dashboard!$Q$4,OR(J245&lt;&gt;"Yes",Dashboard!$Q$15="Yes")),P245,""),"")</f>
        <v/>
      </c>
    </row>
    <row r="246">
      <c r="A246" s="47" t="n"/>
      <c r="B246" s="48" t="n"/>
      <c r="C246" s="48" t="n"/>
      <c r="D246" s="48" t="n"/>
      <c r="E246" s="48" t="n"/>
      <c r="F246" s="48" t="n"/>
      <c r="G246" s="48" t="n"/>
      <c r="H246" s="48" t="n"/>
      <c r="I246" s="49" t="n"/>
      <c r="J246" s="50" t="n"/>
      <c r="K246" s="48" t="n"/>
      <c r="L246" s="51">
        <f>IF(A246="","",DATE(YEAR(A246),MONTH(A246),1))</f>
        <v/>
      </c>
      <c r="M246" s="52">
        <f>IF(OR(A246="",NOT(ISNUMBER(I246))),"",IF(G246=Lists!$B$5,I246/2,IF(G246=Lists!$B$6,I246,0)))</f>
        <v/>
      </c>
      <c r="N246" s="52">
        <f>IF(OR(A246="",NOT(ISNUMBER(I246))),"",IF(G246=Lists!$B$5,I246/2,IF(G246=Lists!$B$7,I246,0)))</f>
        <v/>
      </c>
      <c r="O246" s="53">
        <f>IF(COUNTA(A246:K246)=0,"",IF(OR(A246="",B246="",C246="",D246="",E246="",F246="",G246="",NOT(ISNUMBER(I246))),"Incomplete",IF(COUNTIF(Lists!$H$4:$AA$4,C246)=0,"Check category",IF(COUNTIF(INDEX(Lists!$H$6:$AA$45,0,MATCH(C246,Lists!$H$4:$AA$4,0)),D246)=0,"Check sub-category","OK"))))</f>
        <v/>
      </c>
      <c r="P246">
        <f>IF(ISNUMBER(I246),I246+ROW()/10000000,"")</f>
        <v/>
      </c>
      <c r="Q246">
        <f>IF(AND(ISNUMBER(P246),ISNUMBER(A246)),IF(AND(A246&gt;=Dashboard!$Q$3,A246&lt;=Dashboard!$Q$4,OR(J246&lt;&gt;"Yes",Dashboard!$Q$15="Yes")),P246,""),"")</f>
        <v/>
      </c>
    </row>
    <row r="247">
      <c r="A247" s="47" t="n"/>
      <c r="B247" s="48" t="n"/>
      <c r="C247" s="48" t="n"/>
      <c r="D247" s="48" t="n"/>
      <c r="E247" s="48" t="n"/>
      <c r="F247" s="48" t="n"/>
      <c r="G247" s="48" t="n"/>
      <c r="H247" s="48" t="n"/>
      <c r="I247" s="49" t="n"/>
      <c r="J247" s="50" t="n"/>
      <c r="K247" s="48" t="n"/>
      <c r="L247" s="51">
        <f>IF(A247="","",DATE(YEAR(A247),MONTH(A247),1))</f>
        <v/>
      </c>
      <c r="M247" s="52">
        <f>IF(OR(A247="",NOT(ISNUMBER(I247))),"",IF(G247=Lists!$B$5,I247/2,IF(G247=Lists!$B$6,I247,0)))</f>
        <v/>
      </c>
      <c r="N247" s="52">
        <f>IF(OR(A247="",NOT(ISNUMBER(I247))),"",IF(G247=Lists!$B$5,I247/2,IF(G247=Lists!$B$7,I247,0)))</f>
        <v/>
      </c>
      <c r="O247" s="53">
        <f>IF(COUNTA(A247:K247)=0,"",IF(OR(A247="",B247="",C247="",D247="",E247="",F247="",G247="",NOT(ISNUMBER(I247))),"Incomplete",IF(COUNTIF(Lists!$H$4:$AA$4,C247)=0,"Check category",IF(COUNTIF(INDEX(Lists!$H$6:$AA$45,0,MATCH(C247,Lists!$H$4:$AA$4,0)),D247)=0,"Check sub-category","OK"))))</f>
        <v/>
      </c>
      <c r="P247">
        <f>IF(ISNUMBER(I247),I247+ROW()/10000000,"")</f>
        <v/>
      </c>
      <c r="Q247">
        <f>IF(AND(ISNUMBER(P247),ISNUMBER(A247)),IF(AND(A247&gt;=Dashboard!$Q$3,A247&lt;=Dashboard!$Q$4,OR(J247&lt;&gt;"Yes",Dashboard!$Q$15="Yes")),P247,""),"")</f>
        <v/>
      </c>
    </row>
    <row r="248">
      <c r="A248" s="47" t="n"/>
      <c r="B248" s="48" t="n"/>
      <c r="C248" s="48" t="n"/>
      <c r="D248" s="48" t="n"/>
      <c r="E248" s="48" t="n"/>
      <c r="F248" s="48" t="n"/>
      <c r="G248" s="48" t="n"/>
      <c r="H248" s="48" t="n"/>
      <c r="I248" s="49" t="n"/>
      <c r="J248" s="50" t="n"/>
      <c r="K248" s="48" t="n"/>
      <c r="L248" s="51">
        <f>IF(A248="","",DATE(YEAR(A248),MONTH(A248),1))</f>
        <v/>
      </c>
      <c r="M248" s="52">
        <f>IF(OR(A248="",NOT(ISNUMBER(I248))),"",IF(G248=Lists!$B$5,I248/2,IF(G248=Lists!$B$6,I248,0)))</f>
        <v/>
      </c>
      <c r="N248" s="52">
        <f>IF(OR(A248="",NOT(ISNUMBER(I248))),"",IF(G248=Lists!$B$5,I248/2,IF(G248=Lists!$B$7,I248,0)))</f>
        <v/>
      </c>
      <c r="O248" s="53">
        <f>IF(COUNTA(A248:K248)=0,"",IF(OR(A248="",B248="",C248="",D248="",E248="",F248="",G248="",NOT(ISNUMBER(I248))),"Incomplete",IF(COUNTIF(Lists!$H$4:$AA$4,C248)=0,"Check category",IF(COUNTIF(INDEX(Lists!$H$6:$AA$45,0,MATCH(C248,Lists!$H$4:$AA$4,0)),D248)=0,"Check sub-category","OK"))))</f>
        <v/>
      </c>
      <c r="P248">
        <f>IF(ISNUMBER(I248),I248+ROW()/10000000,"")</f>
        <v/>
      </c>
      <c r="Q248">
        <f>IF(AND(ISNUMBER(P248),ISNUMBER(A248)),IF(AND(A248&gt;=Dashboard!$Q$3,A248&lt;=Dashboard!$Q$4,OR(J248&lt;&gt;"Yes",Dashboard!$Q$15="Yes")),P248,""),"")</f>
        <v/>
      </c>
    </row>
    <row r="249">
      <c r="A249" s="47" t="n"/>
      <c r="B249" s="48" t="n"/>
      <c r="C249" s="48" t="n"/>
      <c r="D249" s="48" t="n"/>
      <c r="E249" s="48" t="n"/>
      <c r="F249" s="48" t="n"/>
      <c r="G249" s="48" t="n"/>
      <c r="H249" s="48" t="n"/>
      <c r="I249" s="49" t="n"/>
      <c r="J249" s="50" t="n"/>
      <c r="K249" s="48" t="n"/>
      <c r="L249" s="51">
        <f>IF(A249="","",DATE(YEAR(A249),MONTH(A249),1))</f>
        <v/>
      </c>
      <c r="M249" s="52">
        <f>IF(OR(A249="",NOT(ISNUMBER(I249))),"",IF(G249=Lists!$B$5,I249/2,IF(G249=Lists!$B$6,I249,0)))</f>
        <v/>
      </c>
      <c r="N249" s="52">
        <f>IF(OR(A249="",NOT(ISNUMBER(I249))),"",IF(G249=Lists!$B$5,I249/2,IF(G249=Lists!$B$7,I249,0)))</f>
        <v/>
      </c>
      <c r="O249" s="53">
        <f>IF(COUNTA(A249:K249)=0,"",IF(OR(A249="",B249="",C249="",D249="",E249="",F249="",G249="",NOT(ISNUMBER(I249))),"Incomplete",IF(COUNTIF(Lists!$H$4:$AA$4,C249)=0,"Check category",IF(COUNTIF(INDEX(Lists!$H$6:$AA$45,0,MATCH(C249,Lists!$H$4:$AA$4,0)),D249)=0,"Check sub-category","OK"))))</f>
        <v/>
      </c>
      <c r="P249">
        <f>IF(ISNUMBER(I249),I249+ROW()/10000000,"")</f>
        <v/>
      </c>
      <c r="Q249">
        <f>IF(AND(ISNUMBER(P249),ISNUMBER(A249)),IF(AND(A249&gt;=Dashboard!$Q$3,A249&lt;=Dashboard!$Q$4,OR(J249&lt;&gt;"Yes",Dashboard!$Q$15="Yes")),P249,""),"")</f>
        <v/>
      </c>
    </row>
    <row r="250">
      <c r="A250" s="47" t="n"/>
      <c r="B250" s="48" t="n"/>
      <c r="C250" s="48" t="n"/>
      <c r="D250" s="48" t="n"/>
      <c r="E250" s="48" t="n"/>
      <c r="F250" s="48" t="n"/>
      <c r="G250" s="48" t="n"/>
      <c r="H250" s="48" t="n"/>
      <c r="I250" s="49" t="n"/>
      <c r="J250" s="50" t="n"/>
      <c r="K250" s="48" t="n"/>
      <c r="L250" s="51">
        <f>IF(A250="","",DATE(YEAR(A250),MONTH(A250),1))</f>
        <v/>
      </c>
      <c r="M250" s="52">
        <f>IF(OR(A250="",NOT(ISNUMBER(I250))),"",IF(G250=Lists!$B$5,I250/2,IF(G250=Lists!$B$6,I250,0)))</f>
        <v/>
      </c>
      <c r="N250" s="52">
        <f>IF(OR(A250="",NOT(ISNUMBER(I250))),"",IF(G250=Lists!$B$5,I250/2,IF(G250=Lists!$B$7,I250,0)))</f>
        <v/>
      </c>
      <c r="O250" s="53">
        <f>IF(COUNTA(A250:K250)=0,"",IF(OR(A250="",B250="",C250="",D250="",E250="",F250="",G250="",NOT(ISNUMBER(I250))),"Incomplete",IF(COUNTIF(Lists!$H$4:$AA$4,C250)=0,"Check category",IF(COUNTIF(INDEX(Lists!$H$6:$AA$45,0,MATCH(C250,Lists!$H$4:$AA$4,0)),D250)=0,"Check sub-category","OK"))))</f>
        <v/>
      </c>
      <c r="P250">
        <f>IF(ISNUMBER(I250),I250+ROW()/10000000,"")</f>
        <v/>
      </c>
      <c r="Q250">
        <f>IF(AND(ISNUMBER(P250),ISNUMBER(A250)),IF(AND(A250&gt;=Dashboard!$Q$3,A250&lt;=Dashboard!$Q$4,OR(J250&lt;&gt;"Yes",Dashboard!$Q$15="Yes")),P250,""),"")</f>
        <v/>
      </c>
    </row>
    <row r="251">
      <c r="A251" s="47" t="n"/>
      <c r="B251" s="48" t="n"/>
      <c r="C251" s="48" t="n"/>
      <c r="D251" s="48" t="n"/>
      <c r="E251" s="48" t="n"/>
      <c r="F251" s="48" t="n"/>
      <c r="G251" s="48" t="n"/>
      <c r="H251" s="48" t="n"/>
      <c r="I251" s="49" t="n"/>
      <c r="J251" s="50" t="n"/>
      <c r="K251" s="48" t="n"/>
      <c r="L251" s="51">
        <f>IF(A251="","",DATE(YEAR(A251),MONTH(A251),1))</f>
        <v/>
      </c>
      <c r="M251" s="52">
        <f>IF(OR(A251="",NOT(ISNUMBER(I251))),"",IF(G251=Lists!$B$5,I251/2,IF(G251=Lists!$B$6,I251,0)))</f>
        <v/>
      </c>
      <c r="N251" s="52">
        <f>IF(OR(A251="",NOT(ISNUMBER(I251))),"",IF(G251=Lists!$B$5,I251/2,IF(G251=Lists!$B$7,I251,0)))</f>
        <v/>
      </c>
      <c r="O251" s="53">
        <f>IF(COUNTA(A251:K251)=0,"",IF(OR(A251="",B251="",C251="",D251="",E251="",F251="",G251="",NOT(ISNUMBER(I251))),"Incomplete",IF(COUNTIF(Lists!$H$4:$AA$4,C251)=0,"Check category",IF(COUNTIF(INDEX(Lists!$H$6:$AA$45,0,MATCH(C251,Lists!$H$4:$AA$4,0)),D251)=0,"Check sub-category","OK"))))</f>
        <v/>
      </c>
      <c r="P251">
        <f>IF(ISNUMBER(I251),I251+ROW()/10000000,"")</f>
        <v/>
      </c>
      <c r="Q251">
        <f>IF(AND(ISNUMBER(P251),ISNUMBER(A251)),IF(AND(A251&gt;=Dashboard!$Q$3,A251&lt;=Dashboard!$Q$4,OR(J251&lt;&gt;"Yes",Dashboard!$Q$15="Yes")),P251,""),"")</f>
        <v/>
      </c>
    </row>
    <row r="252">
      <c r="A252" s="47" t="n"/>
      <c r="B252" s="48" t="n"/>
      <c r="C252" s="48" t="n"/>
      <c r="D252" s="48" t="n"/>
      <c r="E252" s="48" t="n"/>
      <c r="F252" s="48" t="n"/>
      <c r="G252" s="48" t="n"/>
      <c r="H252" s="48" t="n"/>
      <c r="I252" s="49" t="n"/>
      <c r="J252" s="50" t="n"/>
      <c r="K252" s="48" t="n"/>
      <c r="L252" s="51">
        <f>IF(A252="","",DATE(YEAR(A252),MONTH(A252),1))</f>
        <v/>
      </c>
      <c r="M252" s="52">
        <f>IF(OR(A252="",NOT(ISNUMBER(I252))),"",IF(G252=Lists!$B$5,I252/2,IF(G252=Lists!$B$6,I252,0)))</f>
        <v/>
      </c>
      <c r="N252" s="52">
        <f>IF(OR(A252="",NOT(ISNUMBER(I252))),"",IF(G252=Lists!$B$5,I252/2,IF(G252=Lists!$B$7,I252,0)))</f>
        <v/>
      </c>
      <c r="O252" s="53">
        <f>IF(COUNTA(A252:K252)=0,"",IF(OR(A252="",B252="",C252="",D252="",E252="",F252="",G252="",NOT(ISNUMBER(I252))),"Incomplete",IF(COUNTIF(Lists!$H$4:$AA$4,C252)=0,"Check category",IF(COUNTIF(INDEX(Lists!$H$6:$AA$45,0,MATCH(C252,Lists!$H$4:$AA$4,0)),D252)=0,"Check sub-category","OK"))))</f>
        <v/>
      </c>
      <c r="P252">
        <f>IF(ISNUMBER(I252),I252+ROW()/10000000,"")</f>
        <v/>
      </c>
      <c r="Q252">
        <f>IF(AND(ISNUMBER(P252),ISNUMBER(A252)),IF(AND(A252&gt;=Dashboard!$Q$3,A252&lt;=Dashboard!$Q$4,OR(J252&lt;&gt;"Yes",Dashboard!$Q$15="Yes")),P252,""),"")</f>
        <v/>
      </c>
    </row>
    <row r="253">
      <c r="A253" s="47" t="n"/>
      <c r="B253" s="48" t="n"/>
      <c r="C253" s="48" t="n"/>
      <c r="D253" s="48" t="n"/>
      <c r="E253" s="48" t="n"/>
      <c r="F253" s="48" t="n"/>
      <c r="G253" s="48" t="n"/>
      <c r="H253" s="48" t="n"/>
      <c r="I253" s="49" t="n"/>
      <c r="J253" s="50" t="n"/>
      <c r="K253" s="48" t="n"/>
      <c r="L253" s="51">
        <f>IF(A253="","",DATE(YEAR(A253),MONTH(A253),1))</f>
        <v/>
      </c>
      <c r="M253" s="52">
        <f>IF(OR(A253="",NOT(ISNUMBER(I253))),"",IF(G253=Lists!$B$5,I253/2,IF(G253=Lists!$B$6,I253,0)))</f>
        <v/>
      </c>
      <c r="N253" s="52">
        <f>IF(OR(A253="",NOT(ISNUMBER(I253))),"",IF(G253=Lists!$B$5,I253/2,IF(G253=Lists!$B$7,I253,0)))</f>
        <v/>
      </c>
      <c r="O253" s="53">
        <f>IF(COUNTA(A253:K253)=0,"",IF(OR(A253="",B253="",C253="",D253="",E253="",F253="",G253="",NOT(ISNUMBER(I253))),"Incomplete",IF(COUNTIF(Lists!$H$4:$AA$4,C253)=0,"Check category",IF(COUNTIF(INDEX(Lists!$H$6:$AA$45,0,MATCH(C253,Lists!$H$4:$AA$4,0)),D253)=0,"Check sub-category","OK"))))</f>
        <v/>
      </c>
      <c r="P253">
        <f>IF(ISNUMBER(I253),I253+ROW()/10000000,"")</f>
        <v/>
      </c>
      <c r="Q253">
        <f>IF(AND(ISNUMBER(P253),ISNUMBER(A253)),IF(AND(A253&gt;=Dashboard!$Q$3,A253&lt;=Dashboard!$Q$4,OR(J253&lt;&gt;"Yes",Dashboard!$Q$15="Yes")),P253,""),"")</f>
        <v/>
      </c>
    </row>
    <row r="254">
      <c r="A254" s="47" t="n"/>
      <c r="B254" s="48" t="n"/>
      <c r="C254" s="48" t="n"/>
      <c r="D254" s="48" t="n"/>
      <c r="E254" s="48" t="n"/>
      <c r="F254" s="48" t="n"/>
      <c r="G254" s="48" t="n"/>
      <c r="H254" s="48" t="n"/>
      <c r="I254" s="49" t="n"/>
      <c r="J254" s="50" t="n"/>
      <c r="K254" s="48" t="n"/>
      <c r="L254" s="51">
        <f>IF(A254="","",DATE(YEAR(A254),MONTH(A254),1))</f>
        <v/>
      </c>
      <c r="M254" s="52">
        <f>IF(OR(A254="",NOT(ISNUMBER(I254))),"",IF(G254=Lists!$B$5,I254/2,IF(G254=Lists!$B$6,I254,0)))</f>
        <v/>
      </c>
      <c r="N254" s="52">
        <f>IF(OR(A254="",NOT(ISNUMBER(I254))),"",IF(G254=Lists!$B$5,I254/2,IF(G254=Lists!$B$7,I254,0)))</f>
        <v/>
      </c>
      <c r="O254" s="53">
        <f>IF(COUNTA(A254:K254)=0,"",IF(OR(A254="",B254="",C254="",D254="",E254="",F254="",G254="",NOT(ISNUMBER(I254))),"Incomplete",IF(COUNTIF(Lists!$H$4:$AA$4,C254)=0,"Check category",IF(COUNTIF(INDEX(Lists!$H$6:$AA$45,0,MATCH(C254,Lists!$H$4:$AA$4,0)),D254)=0,"Check sub-category","OK"))))</f>
        <v/>
      </c>
      <c r="P254">
        <f>IF(ISNUMBER(I254),I254+ROW()/10000000,"")</f>
        <v/>
      </c>
      <c r="Q254">
        <f>IF(AND(ISNUMBER(P254),ISNUMBER(A254)),IF(AND(A254&gt;=Dashboard!$Q$3,A254&lt;=Dashboard!$Q$4,OR(J254&lt;&gt;"Yes",Dashboard!$Q$15="Yes")),P254,""),"")</f>
        <v/>
      </c>
    </row>
    <row r="255">
      <c r="A255" s="47" t="n"/>
      <c r="B255" s="48" t="n"/>
      <c r="C255" s="48" t="n"/>
      <c r="D255" s="48" t="n"/>
      <c r="E255" s="48" t="n"/>
      <c r="F255" s="48" t="n"/>
      <c r="G255" s="48" t="n"/>
      <c r="H255" s="48" t="n"/>
      <c r="I255" s="49" t="n"/>
      <c r="J255" s="50" t="n"/>
      <c r="K255" s="48" t="n"/>
      <c r="L255" s="51">
        <f>IF(A255="","",DATE(YEAR(A255),MONTH(A255),1))</f>
        <v/>
      </c>
      <c r="M255" s="52">
        <f>IF(OR(A255="",NOT(ISNUMBER(I255))),"",IF(G255=Lists!$B$5,I255/2,IF(G255=Lists!$B$6,I255,0)))</f>
        <v/>
      </c>
      <c r="N255" s="52">
        <f>IF(OR(A255="",NOT(ISNUMBER(I255))),"",IF(G255=Lists!$B$5,I255/2,IF(G255=Lists!$B$7,I255,0)))</f>
        <v/>
      </c>
      <c r="O255" s="53">
        <f>IF(COUNTA(A255:K255)=0,"",IF(OR(A255="",B255="",C255="",D255="",E255="",F255="",G255="",NOT(ISNUMBER(I255))),"Incomplete",IF(COUNTIF(Lists!$H$4:$AA$4,C255)=0,"Check category",IF(COUNTIF(INDEX(Lists!$H$6:$AA$45,0,MATCH(C255,Lists!$H$4:$AA$4,0)),D255)=0,"Check sub-category","OK"))))</f>
        <v/>
      </c>
      <c r="P255">
        <f>IF(ISNUMBER(I255),I255+ROW()/10000000,"")</f>
        <v/>
      </c>
      <c r="Q255">
        <f>IF(AND(ISNUMBER(P255),ISNUMBER(A255)),IF(AND(A255&gt;=Dashboard!$Q$3,A255&lt;=Dashboard!$Q$4,OR(J255&lt;&gt;"Yes",Dashboard!$Q$15="Yes")),P255,""),"")</f>
        <v/>
      </c>
    </row>
    <row r="256">
      <c r="A256" s="47" t="n"/>
      <c r="B256" s="48" t="n"/>
      <c r="C256" s="48" t="n"/>
      <c r="D256" s="48" t="n"/>
      <c r="E256" s="48" t="n"/>
      <c r="F256" s="48" t="n"/>
      <c r="G256" s="48" t="n"/>
      <c r="H256" s="48" t="n"/>
      <c r="I256" s="49" t="n"/>
      <c r="J256" s="50" t="n"/>
      <c r="K256" s="48" t="n"/>
      <c r="L256" s="51">
        <f>IF(A256="","",DATE(YEAR(A256),MONTH(A256),1))</f>
        <v/>
      </c>
      <c r="M256" s="52">
        <f>IF(OR(A256="",NOT(ISNUMBER(I256))),"",IF(G256=Lists!$B$5,I256/2,IF(G256=Lists!$B$6,I256,0)))</f>
        <v/>
      </c>
      <c r="N256" s="52">
        <f>IF(OR(A256="",NOT(ISNUMBER(I256))),"",IF(G256=Lists!$B$5,I256/2,IF(G256=Lists!$B$7,I256,0)))</f>
        <v/>
      </c>
      <c r="O256" s="53">
        <f>IF(COUNTA(A256:K256)=0,"",IF(OR(A256="",B256="",C256="",D256="",E256="",F256="",G256="",NOT(ISNUMBER(I256))),"Incomplete",IF(COUNTIF(Lists!$H$4:$AA$4,C256)=0,"Check category",IF(COUNTIF(INDEX(Lists!$H$6:$AA$45,0,MATCH(C256,Lists!$H$4:$AA$4,0)),D256)=0,"Check sub-category","OK"))))</f>
        <v/>
      </c>
      <c r="P256">
        <f>IF(ISNUMBER(I256),I256+ROW()/10000000,"")</f>
        <v/>
      </c>
      <c r="Q256">
        <f>IF(AND(ISNUMBER(P256),ISNUMBER(A256)),IF(AND(A256&gt;=Dashboard!$Q$3,A256&lt;=Dashboard!$Q$4,OR(J256&lt;&gt;"Yes",Dashboard!$Q$15="Yes")),P256,""),"")</f>
        <v/>
      </c>
    </row>
    <row r="257">
      <c r="A257" s="47" t="n"/>
      <c r="B257" s="48" t="n"/>
      <c r="C257" s="48" t="n"/>
      <c r="D257" s="48" t="n"/>
      <c r="E257" s="48" t="n"/>
      <c r="F257" s="48" t="n"/>
      <c r="G257" s="48" t="n"/>
      <c r="H257" s="48" t="n"/>
      <c r="I257" s="49" t="n"/>
      <c r="J257" s="50" t="n"/>
      <c r="K257" s="48" t="n"/>
      <c r="L257" s="51">
        <f>IF(A257="","",DATE(YEAR(A257),MONTH(A257),1))</f>
        <v/>
      </c>
      <c r="M257" s="52">
        <f>IF(OR(A257="",NOT(ISNUMBER(I257))),"",IF(G257=Lists!$B$5,I257/2,IF(G257=Lists!$B$6,I257,0)))</f>
        <v/>
      </c>
      <c r="N257" s="52">
        <f>IF(OR(A257="",NOT(ISNUMBER(I257))),"",IF(G257=Lists!$B$5,I257/2,IF(G257=Lists!$B$7,I257,0)))</f>
        <v/>
      </c>
      <c r="O257" s="53">
        <f>IF(COUNTA(A257:K257)=0,"",IF(OR(A257="",B257="",C257="",D257="",E257="",F257="",G257="",NOT(ISNUMBER(I257))),"Incomplete",IF(COUNTIF(Lists!$H$4:$AA$4,C257)=0,"Check category",IF(COUNTIF(INDEX(Lists!$H$6:$AA$45,0,MATCH(C257,Lists!$H$4:$AA$4,0)),D257)=0,"Check sub-category","OK"))))</f>
        <v/>
      </c>
      <c r="P257">
        <f>IF(ISNUMBER(I257),I257+ROW()/10000000,"")</f>
        <v/>
      </c>
      <c r="Q257">
        <f>IF(AND(ISNUMBER(P257),ISNUMBER(A257)),IF(AND(A257&gt;=Dashboard!$Q$3,A257&lt;=Dashboard!$Q$4,OR(J257&lt;&gt;"Yes",Dashboard!$Q$15="Yes")),P257,""),"")</f>
        <v/>
      </c>
    </row>
    <row r="258">
      <c r="A258" s="47" t="n"/>
      <c r="B258" s="48" t="n"/>
      <c r="C258" s="48" t="n"/>
      <c r="D258" s="48" t="n"/>
      <c r="E258" s="48" t="n"/>
      <c r="F258" s="48" t="n"/>
      <c r="G258" s="48" t="n"/>
      <c r="H258" s="48" t="n"/>
      <c r="I258" s="49" t="n"/>
      <c r="J258" s="50" t="n"/>
      <c r="K258" s="48" t="n"/>
      <c r="L258" s="51">
        <f>IF(A258="","",DATE(YEAR(A258),MONTH(A258),1))</f>
        <v/>
      </c>
      <c r="M258" s="52">
        <f>IF(OR(A258="",NOT(ISNUMBER(I258))),"",IF(G258=Lists!$B$5,I258/2,IF(G258=Lists!$B$6,I258,0)))</f>
        <v/>
      </c>
      <c r="N258" s="52">
        <f>IF(OR(A258="",NOT(ISNUMBER(I258))),"",IF(G258=Lists!$B$5,I258/2,IF(G258=Lists!$B$7,I258,0)))</f>
        <v/>
      </c>
      <c r="O258" s="53">
        <f>IF(COUNTA(A258:K258)=0,"",IF(OR(A258="",B258="",C258="",D258="",E258="",F258="",G258="",NOT(ISNUMBER(I258))),"Incomplete",IF(COUNTIF(Lists!$H$4:$AA$4,C258)=0,"Check category",IF(COUNTIF(INDEX(Lists!$H$6:$AA$45,0,MATCH(C258,Lists!$H$4:$AA$4,0)),D258)=0,"Check sub-category","OK"))))</f>
        <v/>
      </c>
      <c r="P258">
        <f>IF(ISNUMBER(I258),I258+ROW()/10000000,"")</f>
        <v/>
      </c>
      <c r="Q258">
        <f>IF(AND(ISNUMBER(P258),ISNUMBER(A258)),IF(AND(A258&gt;=Dashboard!$Q$3,A258&lt;=Dashboard!$Q$4,OR(J258&lt;&gt;"Yes",Dashboard!$Q$15="Yes")),P258,""),"")</f>
        <v/>
      </c>
    </row>
    <row r="259">
      <c r="A259" s="47" t="n"/>
      <c r="B259" s="48" t="n"/>
      <c r="C259" s="48" t="n"/>
      <c r="D259" s="48" t="n"/>
      <c r="E259" s="48" t="n"/>
      <c r="F259" s="48" t="n"/>
      <c r="G259" s="48" t="n"/>
      <c r="H259" s="48" t="n"/>
      <c r="I259" s="49" t="n"/>
      <c r="J259" s="50" t="n"/>
      <c r="K259" s="48" t="n"/>
      <c r="L259" s="51">
        <f>IF(A259="","",DATE(YEAR(A259),MONTH(A259),1))</f>
        <v/>
      </c>
      <c r="M259" s="52">
        <f>IF(OR(A259="",NOT(ISNUMBER(I259))),"",IF(G259=Lists!$B$5,I259/2,IF(G259=Lists!$B$6,I259,0)))</f>
        <v/>
      </c>
      <c r="N259" s="52">
        <f>IF(OR(A259="",NOT(ISNUMBER(I259))),"",IF(G259=Lists!$B$5,I259/2,IF(G259=Lists!$B$7,I259,0)))</f>
        <v/>
      </c>
      <c r="O259" s="53">
        <f>IF(COUNTA(A259:K259)=0,"",IF(OR(A259="",B259="",C259="",D259="",E259="",F259="",G259="",NOT(ISNUMBER(I259))),"Incomplete",IF(COUNTIF(Lists!$H$4:$AA$4,C259)=0,"Check category",IF(COUNTIF(INDEX(Lists!$H$6:$AA$45,0,MATCH(C259,Lists!$H$4:$AA$4,0)),D259)=0,"Check sub-category","OK"))))</f>
        <v/>
      </c>
      <c r="P259">
        <f>IF(ISNUMBER(I259),I259+ROW()/10000000,"")</f>
        <v/>
      </c>
      <c r="Q259">
        <f>IF(AND(ISNUMBER(P259),ISNUMBER(A259)),IF(AND(A259&gt;=Dashboard!$Q$3,A259&lt;=Dashboard!$Q$4,OR(J259&lt;&gt;"Yes",Dashboard!$Q$15="Yes")),P259,""),"")</f>
        <v/>
      </c>
    </row>
    <row r="260">
      <c r="A260" s="47" t="n"/>
      <c r="B260" s="48" t="n"/>
      <c r="C260" s="48" t="n"/>
      <c r="D260" s="48" t="n"/>
      <c r="E260" s="48" t="n"/>
      <c r="F260" s="48" t="n"/>
      <c r="G260" s="48" t="n"/>
      <c r="H260" s="48" t="n"/>
      <c r="I260" s="49" t="n"/>
      <c r="J260" s="50" t="n"/>
      <c r="K260" s="48" t="n"/>
      <c r="L260" s="51">
        <f>IF(A260="","",DATE(YEAR(A260),MONTH(A260),1))</f>
        <v/>
      </c>
      <c r="M260" s="52">
        <f>IF(OR(A260="",NOT(ISNUMBER(I260))),"",IF(G260=Lists!$B$5,I260/2,IF(G260=Lists!$B$6,I260,0)))</f>
        <v/>
      </c>
      <c r="N260" s="52">
        <f>IF(OR(A260="",NOT(ISNUMBER(I260))),"",IF(G260=Lists!$B$5,I260/2,IF(G260=Lists!$B$7,I260,0)))</f>
        <v/>
      </c>
      <c r="O260" s="53">
        <f>IF(COUNTA(A260:K260)=0,"",IF(OR(A260="",B260="",C260="",D260="",E260="",F260="",G260="",NOT(ISNUMBER(I260))),"Incomplete",IF(COUNTIF(Lists!$H$4:$AA$4,C260)=0,"Check category",IF(COUNTIF(INDEX(Lists!$H$6:$AA$45,0,MATCH(C260,Lists!$H$4:$AA$4,0)),D260)=0,"Check sub-category","OK"))))</f>
        <v/>
      </c>
      <c r="P260">
        <f>IF(ISNUMBER(I260),I260+ROW()/10000000,"")</f>
        <v/>
      </c>
      <c r="Q260">
        <f>IF(AND(ISNUMBER(P260),ISNUMBER(A260)),IF(AND(A260&gt;=Dashboard!$Q$3,A260&lt;=Dashboard!$Q$4,OR(J260&lt;&gt;"Yes",Dashboard!$Q$15="Yes")),P260,""),"")</f>
        <v/>
      </c>
    </row>
    <row r="261">
      <c r="A261" s="47" t="n"/>
      <c r="B261" s="48" t="n"/>
      <c r="C261" s="48" t="n"/>
      <c r="D261" s="48" t="n"/>
      <c r="E261" s="48" t="n"/>
      <c r="F261" s="48" t="n"/>
      <c r="G261" s="48" t="n"/>
      <c r="H261" s="48" t="n"/>
      <c r="I261" s="49" t="n"/>
      <c r="J261" s="50" t="n"/>
      <c r="K261" s="48" t="n"/>
      <c r="L261" s="51">
        <f>IF(A261="","",DATE(YEAR(A261),MONTH(A261),1))</f>
        <v/>
      </c>
      <c r="M261" s="52">
        <f>IF(OR(A261="",NOT(ISNUMBER(I261))),"",IF(G261=Lists!$B$5,I261/2,IF(G261=Lists!$B$6,I261,0)))</f>
        <v/>
      </c>
      <c r="N261" s="52">
        <f>IF(OR(A261="",NOT(ISNUMBER(I261))),"",IF(G261=Lists!$B$5,I261/2,IF(G261=Lists!$B$7,I261,0)))</f>
        <v/>
      </c>
      <c r="O261" s="53">
        <f>IF(COUNTA(A261:K261)=0,"",IF(OR(A261="",B261="",C261="",D261="",E261="",F261="",G261="",NOT(ISNUMBER(I261))),"Incomplete",IF(COUNTIF(Lists!$H$4:$AA$4,C261)=0,"Check category",IF(COUNTIF(INDEX(Lists!$H$6:$AA$45,0,MATCH(C261,Lists!$H$4:$AA$4,0)),D261)=0,"Check sub-category","OK"))))</f>
        <v/>
      </c>
      <c r="P261">
        <f>IF(ISNUMBER(I261),I261+ROW()/10000000,"")</f>
        <v/>
      </c>
      <c r="Q261">
        <f>IF(AND(ISNUMBER(P261),ISNUMBER(A261)),IF(AND(A261&gt;=Dashboard!$Q$3,A261&lt;=Dashboard!$Q$4,OR(J261&lt;&gt;"Yes",Dashboard!$Q$15="Yes")),P261,""),"")</f>
        <v/>
      </c>
    </row>
    <row r="262">
      <c r="A262" s="47" t="n"/>
      <c r="B262" s="48" t="n"/>
      <c r="C262" s="48" t="n"/>
      <c r="D262" s="48" t="n"/>
      <c r="E262" s="48" t="n"/>
      <c r="F262" s="48" t="n"/>
      <c r="G262" s="48" t="n"/>
      <c r="H262" s="48" t="n"/>
      <c r="I262" s="49" t="n"/>
      <c r="J262" s="50" t="n"/>
      <c r="K262" s="48" t="n"/>
      <c r="L262" s="51">
        <f>IF(A262="","",DATE(YEAR(A262),MONTH(A262),1))</f>
        <v/>
      </c>
      <c r="M262" s="52">
        <f>IF(OR(A262="",NOT(ISNUMBER(I262))),"",IF(G262=Lists!$B$5,I262/2,IF(G262=Lists!$B$6,I262,0)))</f>
        <v/>
      </c>
      <c r="N262" s="52">
        <f>IF(OR(A262="",NOT(ISNUMBER(I262))),"",IF(G262=Lists!$B$5,I262/2,IF(G262=Lists!$B$7,I262,0)))</f>
        <v/>
      </c>
      <c r="O262" s="53">
        <f>IF(COUNTA(A262:K262)=0,"",IF(OR(A262="",B262="",C262="",D262="",E262="",F262="",G262="",NOT(ISNUMBER(I262))),"Incomplete",IF(COUNTIF(Lists!$H$4:$AA$4,C262)=0,"Check category",IF(COUNTIF(INDEX(Lists!$H$6:$AA$45,0,MATCH(C262,Lists!$H$4:$AA$4,0)),D262)=0,"Check sub-category","OK"))))</f>
        <v/>
      </c>
      <c r="P262">
        <f>IF(ISNUMBER(I262),I262+ROW()/10000000,"")</f>
        <v/>
      </c>
      <c r="Q262">
        <f>IF(AND(ISNUMBER(P262),ISNUMBER(A262)),IF(AND(A262&gt;=Dashboard!$Q$3,A262&lt;=Dashboard!$Q$4,OR(J262&lt;&gt;"Yes",Dashboard!$Q$15="Yes")),P262,""),"")</f>
        <v/>
      </c>
    </row>
    <row r="263">
      <c r="A263" s="47" t="n"/>
      <c r="B263" s="48" t="n"/>
      <c r="C263" s="48" t="n"/>
      <c r="D263" s="48" t="n"/>
      <c r="E263" s="48" t="n"/>
      <c r="F263" s="48" t="n"/>
      <c r="G263" s="48" t="n"/>
      <c r="H263" s="48" t="n"/>
      <c r="I263" s="49" t="n"/>
      <c r="J263" s="50" t="n"/>
      <c r="K263" s="48" t="n"/>
      <c r="L263" s="51">
        <f>IF(A263="","",DATE(YEAR(A263),MONTH(A263),1))</f>
        <v/>
      </c>
      <c r="M263" s="52">
        <f>IF(OR(A263="",NOT(ISNUMBER(I263))),"",IF(G263=Lists!$B$5,I263/2,IF(G263=Lists!$B$6,I263,0)))</f>
        <v/>
      </c>
      <c r="N263" s="52">
        <f>IF(OR(A263="",NOT(ISNUMBER(I263))),"",IF(G263=Lists!$B$5,I263/2,IF(G263=Lists!$B$7,I263,0)))</f>
        <v/>
      </c>
      <c r="O263" s="53">
        <f>IF(COUNTA(A263:K263)=0,"",IF(OR(A263="",B263="",C263="",D263="",E263="",F263="",G263="",NOT(ISNUMBER(I263))),"Incomplete",IF(COUNTIF(Lists!$H$4:$AA$4,C263)=0,"Check category",IF(COUNTIF(INDEX(Lists!$H$6:$AA$45,0,MATCH(C263,Lists!$H$4:$AA$4,0)),D263)=0,"Check sub-category","OK"))))</f>
        <v/>
      </c>
      <c r="P263">
        <f>IF(ISNUMBER(I263),I263+ROW()/10000000,"")</f>
        <v/>
      </c>
      <c r="Q263">
        <f>IF(AND(ISNUMBER(P263),ISNUMBER(A263)),IF(AND(A263&gt;=Dashboard!$Q$3,A263&lt;=Dashboard!$Q$4,OR(J263&lt;&gt;"Yes",Dashboard!$Q$15="Yes")),P263,""),"")</f>
        <v/>
      </c>
    </row>
    <row r="264">
      <c r="A264" s="47" t="n"/>
      <c r="B264" s="48" t="n"/>
      <c r="C264" s="48" t="n"/>
      <c r="D264" s="48" t="n"/>
      <c r="E264" s="48" t="n"/>
      <c r="F264" s="48" t="n"/>
      <c r="G264" s="48" t="n"/>
      <c r="H264" s="48" t="n"/>
      <c r="I264" s="49" t="n"/>
      <c r="J264" s="50" t="n"/>
      <c r="K264" s="48" t="n"/>
      <c r="L264" s="51">
        <f>IF(A264="","",DATE(YEAR(A264),MONTH(A264),1))</f>
        <v/>
      </c>
      <c r="M264" s="52">
        <f>IF(OR(A264="",NOT(ISNUMBER(I264))),"",IF(G264=Lists!$B$5,I264/2,IF(G264=Lists!$B$6,I264,0)))</f>
        <v/>
      </c>
      <c r="N264" s="52">
        <f>IF(OR(A264="",NOT(ISNUMBER(I264))),"",IF(G264=Lists!$B$5,I264/2,IF(G264=Lists!$B$7,I264,0)))</f>
        <v/>
      </c>
      <c r="O264" s="53">
        <f>IF(COUNTA(A264:K264)=0,"",IF(OR(A264="",B264="",C264="",D264="",E264="",F264="",G264="",NOT(ISNUMBER(I264))),"Incomplete",IF(COUNTIF(Lists!$H$4:$AA$4,C264)=0,"Check category",IF(COUNTIF(INDEX(Lists!$H$6:$AA$45,0,MATCH(C264,Lists!$H$4:$AA$4,0)),D264)=0,"Check sub-category","OK"))))</f>
        <v/>
      </c>
      <c r="P264">
        <f>IF(ISNUMBER(I264),I264+ROW()/10000000,"")</f>
        <v/>
      </c>
      <c r="Q264">
        <f>IF(AND(ISNUMBER(P264),ISNUMBER(A264)),IF(AND(A264&gt;=Dashboard!$Q$3,A264&lt;=Dashboard!$Q$4,OR(J264&lt;&gt;"Yes",Dashboard!$Q$15="Yes")),P264,""),"")</f>
        <v/>
      </c>
    </row>
    <row r="265">
      <c r="A265" s="47" t="n"/>
      <c r="B265" s="48" t="n"/>
      <c r="C265" s="48" t="n"/>
      <c r="D265" s="48" t="n"/>
      <c r="E265" s="48" t="n"/>
      <c r="F265" s="48" t="n"/>
      <c r="G265" s="48" t="n"/>
      <c r="H265" s="48" t="n"/>
      <c r="I265" s="49" t="n"/>
      <c r="J265" s="50" t="n"/>
      <c r="K265" s="48" t="n"/>
      <c r="L265" s="51">
        <f>IF(A265="","",DATE(YEAR(A265),MONTH(A265),1))</f>
        <v/>
      </c>
      <c r="M265" s="52">
        <f>IF(OR(A265="",NOT(ISNUMBER(I265))),"",IF(G265=Lists!$B$5,I265/2,IF(G265=Lists!$B$6,I265,0)))</f>
        <v/>
      </c>
      <c r="N265" s="52">
        <f>IF(OR(A265="",NOT(ISNUMBER(I265))),"",IF(G265=Lists!$B$5,I265/2,IF(G265=Lists!$B$7,I265,0)))</f>
        <v/>
      </c>
      <c r="O265" s="53">
        <f>IF(COUNTA(A265:K265)=0,"",IF(OR(A265="",B265="",C265="",D265="",E265="",F265="",G265="",NOT(ISNUMBER(I265))),"Incomplete",IF(COUNTIF(Lists!$H$4:$AA$4,C265)=0,"Check category",IF(COUNTIF(INDEX(Lists!$H$6:$AA$45,0,MATCH(C265,Lists!$H$4:$AA$4,0)),D265)=0,"Check sub-category","OK"))))</f>
        <v/>
      </c>
      <c r="P265">
        <f>IF(ISNUMBER(I265),I265+ROW()/10000000,"")</f>
        <v/>
      </c>
      <c r="Q265">
        <f>IF(AND(ISNUMBER(P265),ISNUMBER(A265)),IF(AND(A265&gt;=Dashboard!$Q$3,A265&lt;=Dashboard!$Q$4,OR(J265&lt;&gt;"Yes",Dashboard!$Q$15="Yes")),P265,""),"")</f>
        <v/>
      </c>
    </row>
    <row r="266">
      <c r="A266" s="47" t="n"/>
      <c r="B266" s="48" t="n"/>
      <c r="C266" s="48" t="n"/>
      <c r="D266" s="48" t="n"/>
      <c r="E266" s="48" t="n"/>
      <c r="F266" s="48" t="n"/>
      <c r="G266" s="48" t="n"/>
      <c r="H266" s="48" t="n"/>
      <c r="I266" s="49" t="n"/>
      <c r="J266" s="50" t="n"/>
      <c r="K266" s="48" t="n"/>
      <c r="L266" s="51">
        <f>IF(A266="","",DATE(YEAR(A266),MONTH(A266),1))</f>
        <v/>
      </c>
      <c r="M266" s="52">
        <f>IF(OR(A266="",NOT(ISNUMBER(I266))),"",IF(G266=Lists!$B$5,I266/2,IF(G266=Lists!$B$6,I266,0)))</f>
        <v/>
      </c>
      <c r="N266" s="52">
        <f>IF(OR(A266="",NOT(ISNUMBER(I266))),"",IF(G266=Lists!$B$5,I266/2,IF(G266=Lists!$B$7,I266,0)))</f>
        <v/>
      </c>
      <c r="O266" s="53">
        <f>IF(COUNTA(A266:K266)=0,"",IF(OR(A266="",B266="",C266="",D266="",E266="",F266="",G266="",NOT(ISNUMBER(I266))),"Incomplete",IF(COUNTIF(Lists!$H$4:$AA$4,C266)=0,"Check category",IF(COUNTIF(INDEX(Lists!$H$6:$AA$45,0,MATCH(C266,Lists!$H$4:$AA$4,0)),D266)=0,"Check sub-category","OK"))))</f>
        <v/>
      </c>
      <c r="P266">
        <f>IF(ISNUMBER(I266),I266+ROW()/10000000,"")</f>
        <v/>
      </c>
      <c r="Q266">
        <f>IF(AND(ISNUMBER(P266),ISNUMBER(A266)),IF(AND(A266&gt;=Dashboard!$Q$3,A266&lt;=Dashboard!$Q$4,OR(J266&lt;&gt;"Yes",Dashboard!$Q$15="Yes")),P266,""),"")</f>
        <v/>
      </c>
    </row>
    <row r="267">
      <c r="A267" s="47" t="n"/>
      <c r="B267" s="48" t="n"/>
      <c r="C267" s="48" t="n"/>
      <c r="D267" s="48" t="n"/>
      <c r="E267" s="48" t="n"/>
      <c r="F267" s="48" t="n"/>
      <c r="G267" s="48" t="n"/>
      <c r="H267" s="48" t="n"/>
      <c r="I267" s="49" t="n"/>
      <c r="J267" s="50" t="n"/>
      <c r="K267" s="48" t="n"/>
      <c r="L267" s="51">
        <f>IF(A267="","",DATE(YEAR(A267),MONTH(A267),1))</f>
        <v/>
      </c>
      <c r="M267" s="52">
        <f>IF(OR(A267="",NOT(ISNUMBER(I267))),"",IF(G267=Lists!$B$5,I267/2,IF(G267=Lists!$B$6,I267,0)))</f>
        <v/>
      </c>
      <c r="N267" s="52">
        <f>IF(OR(A267="",NOT(ISNUMBER(I267))),"",IF(G267=Lists!$B$5,I267/2,IF(G267=Lists!$B$7,I267,0)))</f>
        <v/>
      </c>
      <c r="O267" s="53">
        <f>IF(COUNTA(A267:K267)=0,"",IF(OR(A267="",B267="",C267="",D267="",E267="",F267="",G267="",NOT(ISNUMBER(I267))),"Incomplete",IF(COUNTIF(Lists!$H$4:$AA$4,C267)=0,"Check category",IF(COUNTIF(INDEX(Lists!$H$6:$AA$45,0,MATCH(C267,Lists!$H$4:$AA$4,0)),D267)=0,"Check sub-category","OK"))))</f>
        <v/>
      </c>
      <c r="P267">
        <f>IF(ISNUMBER(I267),I267+ROW()/10000000,"")</f>
        <v/>
      </c>
      <c r="Q267">
        <f>IF(AND(ISNUMBER(P267),ISNUMBER(A267)),IF(AND(A267&gt;=Dashboard!$Q$3,A267&lt;=Dashboard!$Q$4,OR(J267&lt;&gt;"Yes",Dashboard!$Q$15="Yes")),P267,""),"")</f>
        <v/>
      </c>
    </row>
    <row r="268">
      <c r="A268" s="47" t="n"/>
      <c r="B268" s="48" t="n"/>
      <c r="C268" s="48" t="n"/>
      <c r="D268" s="48" t="n"/>
      <c r="E268" s="48" t="n"/>
      <c r="F268" s="48" t="n"/>
      <c r="G268" s="48" t="n"/>
      <c r="H268" s="48" t="n"/>
      <c r="I268" s="49" t="n"/>
      <c r="J268" s="50" t="n"/>
      <c r="K268" s="48" t="n"/>
      <c r="L268" s="51">
        <f>IF(A268="","",DATE(YEAR(A268),MONTH(A268),1))</f>
        <v/>
      </c>
      <c r="M268" s="52">
        <f>IF(OR(A268="",NOT(ISNUMBER(I268))),"",IF(G268=Lists!$B$5,I268/2,IF(G268=Lists!$B$6,I268,0)))</f>
        <v/>
      </c>
      <c r="N268" s="52">
        <f>IF(OR(A268="",NOT(ISNUMBER(I268))),"",IF(G268=Lists!$B$5,I268/2,IF(G268=Lists!$B$7,I268,0)))</f>
        <v/>
      </c>
      <c r="O268" s="53">
        <f>IF(COUNTA(A268:K268)=0,"",IF(OR(A268="",B268="",C268="",D268="",E268="",F268="",G268="",NOT(ISNUMBER(I268))),"Incomplete",IF(COUNTIF(Lists!$H$4:$AA$4,C268)=0,"Check category",IF(COUNTIF(INDEX(Lists!$H$6:$AA$45,0,MATCH(C268,Lists!$H$4:$AA$4,0)),D268)=0,"Check sub-category","OK"))))</f>
        <v/>
      </c>
      <c r="P268">
        <f>IF(ISNUMBER(I268),I268+ROW()/10000000,"")</f>
        <v/>
      </c>
      <c r="Q268">
        <f>IF(AND(ISNUMBER(P268),ISNUMBER(A268)),IF(AND(A268&gt;=Dashboard!$Q$3,A268&lt;=Dashboard!$Q$4,OR(J268&lt;&gt;"Yes",Dashboard!$Q$15="Yes")),P268,""),"")</f>
        <v/>
      </c>
    </row>
    <row r="269">
      <c r="A269" s="47" t="n"/>
      <c r="B269" s="48" t="n"/>
      <c r="C269" s="48" t="n"/>
      <c r="D269" s="48" t="n"/>
      <c r="E269" s="48" t="n"/>
      <c r="F269" s="48" t="n"/>
      <c r="G269" s="48" t="n"/>
      <c r="H269" s="48" t="n"/>
      <c r="I269" s="49" t="n"/>
      <c r="J269" s="50" t="n"/>
      <c r="K269" s="48" t="n"/>
      <c r="L269" s="51">
        <f>IF(A269="","",DATE(YEAR(A269),MONTH(A269),1))</f>
        <v/>
      </c>
      <c r="M269" s="52">
        <f>IF(OR(A269="",NOT(ISNUMBER(I269))),"",IF(G269=Lists!$B$5,I269/2,IF(G269=Lists!$B$6,I269,0)))</f>
        <v/>
      </c>
      <c r="N269" s="52">
        <f>IF(OR(A269="",NOT(ISNUMBER(I269))),"",IF(G269=Lists!$B$5,I269/2,IF(G269=Lists!$B$7,I269,0)))</f>
        <v/>
      </c>
      <c r="O269" s="53">
        <f>IF(COUNTA(A269:K269)=0,"",IF(OR(A269="",B269="",C269="",D269="",E269="",F269="",G269="",NOT(ISNUMBER(I269))),"Incomplete",IF(COUNTIF(Lists!$H$4:$AA$4,C269)=0,"Check category",IF(COUNTIF(INDEX(Lists!$H$6:$AA$45,0,MATCH(C269,Lists!$H$4:$AA$4,0)),D269)=0,"Check sub-category","OK"))))</f>
        <v/>
      </c>
      <c r="P269">
        <f>IF(ISNUMBER(I269),I269+ROW()/10000000,"")</f>
        <v/>
      </c>
      <c r="Q269">
        <f>IF(AND(ISNUMBER(P269),ISNUMBER(A269)),IF(AND(A269&gt;=Dashboard!$Q$3,A269&lt;=Dashboard!$Q$4,OR(J269&lt;&gt;"Yes",Dashboard!$Q$15="Yes")),P269,""),"")</f>
        <v/>
      </c>
    </row>
    <row r="270">
      <c r="A270" s="47" t="n"/>
      <c r="B270" s="48" t="n"/>
      <c r="C270" s="48" t="n"/>
      <c r="D270" s="48" t="n"/>
      <c r="E270" s="48" t="n"/>
      <c r="F270" s="48" t="n"/>
      <c r="G270" s="48" t="n"/>
      <c r="H270" s="48" t="n"/>
      <c r="I270" s="49" t="n"/>
      <c r="J270" s="50" t="n"/>
      <c r="K270" s="48" t="n"/>
      <c r="L270" s="51">
        <f>IF(A270="","",DATE(YEAR(A270),MONTH(A270),1))</f>
        <v/>
      </c>
      <c r="M270" s="52">
        <f>IF(OR(A270="",NOT(ISNUMBER(I270))),"",IF(G270=Lists!$B$5,I270/2,IF(G270=Lists!$B$6,I270,0)))</f>
        <v/>
      </c>
      <c r="N270" s="52">
        <f>IF(OR(A270="",NOT(ISNUMBER(I270))),"",IF(G270=Lists!$B$5,I270/2,IF(G270=Lists!$B$7,I270,0)))</f>
        <v/>
      </c>
      <c r="O270" s="53">
        <f>IF(COUNTA(A270:K270)=0,"",IF(OR(A270="",B270="",C270="",D270="",E270="",F270="",G270="",NOT(ISNUMBER(I270))),"Incomplete",IF(COUNTIF(Lists!$H$4:$AA$4,C270)=0,"Check category",IF(COUNTIF(INDEX(Lists!$H$6:$AA$45,0,MATCH(C270,Lists!$H$4:$AA$4,0)),D270)=0,"Check sub-category","OK"))))</f>
        <v/>
      </c>
      <c r="P270">
        <f>IF(ISNUMBER(I270),I270+ROW()/10000000,"")</f>
        <v/>
      </c>
      <c r="Q270">
        <f>IF(AND(ISNUMBER(P270),ISNUMBER(A270)),IF(AND(A270&gt;=Dashboard!$Q$3,A270&lt;=Dashboard!$Q$4,OR(J270&lt;&gt;"Yes",Dashboard!$Q$15="Yes")),P270,""),"")</f>
        <v/>
      </c>
    </row>
    <row r="271">
      <c r="A271" s="47" t="n"/>
      <c r="B271" s="48" t="n"/>
      <c r="C271" s="48" t="n"/>
      <c r="D271" s="48" t="n"/>
      <c r="E271" s="48" t="n"/>
      <c r="F271" s="48" t="n"/>
      <c r="G271" s="48" t="n"/>
      <c r="H271" s="48" t="n"/>
      <c r="I271" s="49" t="n"/>
      <c r="J271" s="50" t="n"/>
      <c r="K271" s="48" t="n"/>
      <c r="L271" s="51">
        <f>IF(A271="","",DATE(YEAR(A271),MONTH(A271),1))</f>
        <v/>
      </c>
      <c r="M271" s="52">
        <f>IF(OR(A271="",NOT(ISNUMBER(I271))),"",IF(G271=Lists!$B$5,I271/2,IF(G271=Lists!$B$6,I271,0)))</f>
        <v/>
      </c>
      <c r="N271" s="52">
        <f>IF(OR(A271="",NOT(ISNUMBER(I271))),"",IF(G271=Lists!$B$5,I271/2,IF(G271=Lists!$B$7,I271,0)))</f>
        <v/>
      </c>
      <c r="O271" s="53">
        <f>IF(COUNTA(A271:K271)=0,"",IF(OR(A271="",B271="",C271="",D271="",E271="",F271="",G271="",NOT(ISNUMBER(I271))),"Incomplete",IF(COUNTIF(Lists!$H$4:$AA$4,C271)=0,"Check category",IF(COUNTIF(INDEX(Lists!$H$6:$AA$45,0,MATCH(C271,Lists!$H$4:$AA$4,0)),D271)=0,"Check sub-category","OK"))))</f>
        <v/>
      </c>
      <c r="P271">
        <f>IF(ISNUMBER(I271),I271+ROW()/10000000,"")</f>
        <v/>
      </c>
      <c r="Q271">
        <f>IF(AND(ISNUMBER(P271),ISNUMBER(A271)),IF(AND(A271&gt;=Dashboard!$Q$3,A271&lt;=Dashboard!$Q$4,OR(J271&lt;&gt;"Yes",Dashboard!$Q$15="Yes")),P271,""),"")</f>
        <v/>
      </c>
    </row>
    <row r="272">
      <c r="A272" s="47" t="n"/>
      <c r="B272" s="48" t="n"/>
      <c r="C272" s="48" t="n"/>
      <c r="D272" s="48" t="n"/>
      <c r="E272" s="48" t="n"/>
      <c r="F272" s="48" t="n"/>
      <c r="G272" s="48" t="n"/>
      <c r="H272" s="48" t="n"/>
      <c r="I272" s="49" t="n"/>
      <c r="J272" s="50" t="n"/>
      <c r="K272" s="48" t="n"/>
      <c r="L272" s="51">
        <f>IF(A272="","",DATE(YEAR(A272),MONTH(A272),1))</f>
        <v/>
      </c>
      <c r="M272" s="52">
        <f>IF(OR(A272="",NOT(ISNUMBER(I272))),"",IF(G272=Lists!$B$5,I272/2,IF(G272=Lists!$B$6,I272,0)))</f>
        <v/>
      </c>
      <c r="N272" s="52">
        <f>IF(OR(A272="",NOT(ISNUMBER(I272))),"",IF(G272=Lists!$B$5,I272/2,IF(G272=Lists!$B$7,I272,0)))</f>
        <v/>
      </c>
      <c r="O272" s="53">
        <f>IF(COUNTA(A272:K272)=0,"",IF(OR(A272="",B272="",C272="",D272="",E272="",F272="",G272="",NOT(ISNUMBER(I272))),"Incomplete",IF(COUNTIF(Lists!$H$4:$AA$4,C272)=0,"Check category",IF(COUNTIF(INDEX(Lists!$H$6:$AA$45,0,MATCH(C272,Lists!$H$4:$AA$4,0)),D272)=0,"Check sub-category","OK"))))</f>
        <v/>
      </c>
      <c r="P272">
        <f>IF(ISNUMBER(I272),I272+ROW()/10000000,"")</f>
        <v/>
      </c>
      <c r="Q272">
        <f>IF(AND(ISNUMBER(P272),ISNUMBER(A272)),IF(AND(A272&gt;=Dashboard!$Q$3,A272&lt;=Dashboard!$Q$4,OR(J272&lt;&gt;"Yes",Dashboard!$Q$15="Yes")),P272,""),"")</f>
        <v/>
      </c>
    </row>
    <row r="273">
      <c r="A273" s="47" t="n"/>
      <c r="B273" s="48" t="n"/>
      <c r="C273" s="48" t="n"/>
      <c r="D273" s="48" t="n"/>
      <c r="E273" s="48" t="n"/>
      <c r="F273" s="48" t="n"/>
      <c r="G273" s="48" t="n"/>
      <c r="H273" s="48" t="n"/>
      <c r="I273" s="49" t="n"/>
      <c r="J273" s="50" t="n"/>
      <c r="K273" s="48" t="n"/>
      <c r="L273" s="51">
        <f>IF(A273="","",DATE(YEAR(A273),MONTH(A273),1))</f>
        <v/>
      </c>
      <c r="M273" s="52">
        <f>IF(OR(A273="",NOT(ISNUMBER(I273))),"",IF(G273=Lists!$B$5,I273/2,IF(G273=Lists!$B$6,I273,0)))</f>
        <v/>
      </c>
      <c r="N273" s="52">
        <f>IF(OR(A273="",NOT(ISNUMBER(I273))),"",IF(G273=Lists!$B$5,I273/2,IF(G273=Lists!$B$7,I273,0)))</f>
        <v/>
      </c>
      <c r="O273" s="53">
        <f>IF(COUNTA(A273:K273)=0,"",IF(OR(A273="",B273="",C273="",D273="",E273="",F273="",G273="",NOT(ISNUMBER(I273))),"Incomplete",IF(COUNTIF(Lists!$H$4:$AA$4,C273)=0,"Check category",IF(COUNTIF(INDEX(Lists!$H$6:$AA$45,0,MATCH(C273,Lists!$H$4:$AA$4,0)),D273)=0,"Check sub-category","OK"))))</f>
        <v/>
      </c>
      <c r="P273">
        <f>IF(ISNUMBER(I273),I273+ROW()/10000000,"")</f>
        <v/>
      </c>
      <c r="Q273">
        <f>IF(AND(ISNUMBER(P273),ISNUMBER(A273)),IF(AND(A273&gt;=Dashboard!$Q$3,A273&lt;=Dashboard!$Q$4,OR(J273&lt;&gt;"Yes",Dashboard!$Q$15="Yes")),P273,""),"")</f>
        <v/>
      </c>
    </row>
    <row r="274">
      <c r="A274" s="47" t="n"/>
      <c r="B274" s="48" t="n"/>
      <c r="C274" s="48" t="n"/>
      <c r="D274" s="48" t="n"/>
      <c r="E274" s="48" t="n"/>
      <c r="F274" s="48" t="n"/>
      <c r="G274" s="48" t="n"/>
      <c r="H274" s="48" t="n"/>
      <c r="I274" s="49" t="n"/>
      <c r="J274" s="50" t="n"/>
      <c r="K274" s="48" t="n"/>
      <c r="L274" s="51">
        <f>IF(A274="","",DATE(YEAR(A274),MONTH(A274),1))</f>
        <v/>
      </c>
      <c r="M274" s="52">
        <f>IF(OR(A274="",NOT(ISNUMBER(I274))),"",IF(G274=Lists!$B$5,I274/2,IF(G274=Lists!$B$6,I274,0)))</f>
        <v/>
      </c>
      <c r="N274" s="52">
        <f>IF(OR(A274="",NOT(ISNUMBER(I274))),"",IF(G274=Lists!$B$5,I274/2,IF(G274=Lists!$B$7,I274,0)))</f>
        <v/>
      </c>
      <c r="O274" s="53">
        <f>IF(COUNTA(A274:K274)=0,"",IF(OR(A274="",B274="",C274="",D274="",E274="",F274="",G274="",NOT(ISNUMBER(I274))),"Incomplete",IF(COUNTIF(Lists!$H$4:$AA$4,C274)=0,"Check category",IF(COUNTIF(INDEX(Lists!$H$6:$AA$45,0,MATCH(C274,Lists!$H$4:$AA$4,0)),D274)=0,"Check sub-category","OK"))))</f>
        <v/>
      </c>
      <c r="P274">
        <f>IF(ISNUMBER(I274),I274+ROW()/10000000,"")</f>
        <v/>
      </c>
      <c r="Q274">
        <f>IF(AND(ISNUMBER(P274),ISNUMBER(A274)),IF(AND(A274&gt;=Dashboard!$Q$3,A274&lt;=Dashboard!$Q$4,OR(J274&lt;&gt;"Yes",Dashboard!$Q$15="Yes")),P274,""),"")</f>
        <v/>
      </c>
    </row>
    <row r="275">
      <c r="A275" s="47" t="n"/>
      <c r="B275" s="48" t="n"/>
      <c r="C275" s="48" t="n"/>
      <c r="D275" s="48" t="n"/>
      <c r="E275" s="48" t="n"/>
      <c r="F275" s="48" t="n"/>
      <c r="G275" s="48" t="n"/>
      <c r="H275" s="48" t="n"/>
      <c r="I275" s="49" t="n"/>
      <c r="J275" s="50" t="n"/>
      <c r="K275" s="48" t="n"/>
      <c r="L275" s="51">
        <f>IF(A275="","",DATE(YEAR(A275),MONTH(A275),1))</f>
        <v/>
      </c>
      <c r="M275" s="52">
        <f>IF(OR(A275="",NOT(ISNUMBER(I275))),"",IF(G275=Lists!$B$5,I275/2,IF(G275=Lists!$B$6,I275,0)))</f>
        <v/>
      </c>
      <c r="N275" s="52">
        <f>IF(OR(A275="",NOT(ISNUMBER(I275))),"",IF(G275=Lists!$B$5,I275/2,IF(G275=Lists!$B$7,I275,0)))</f>
        <v/>
      </c>
      <c r="O275" s="53">
        <f>IF(COUNTA(A275:K275)=0,"",IF(OR(A275="",B275="",C275="",D275="",E275="",F275="",G275="",NOT(ISNUMBER(I275))),"Incomplete",IF(COUNTIF(Lists!$H$4:$AA$4,C275)=0,"Check category",IF(COUNTIF(INDEX(Lists!$H$6:$AA$45,0,MATCH(C275,Lists!$H$4:$AA$4,0)),D275)=0,"Check sub-category","OK"))))</f>
        <v/>
      </c>
      <c r="P275">
        <f>IF(ISNUMBER(I275),I275+ROW()/10000000,"")</f>
        <v/>
      </c>
      <c r="Q275">
        <f>IF(AND(ISNUMBER(P275),ISNUMBER(A275)),IF(AND(A275&gt;=Dashboard!$Q$3,A275&lt;=Dashboard!$Q$4,OR(J275&lt;&gt;"Yes",Dashboard!$Q$15="Yes")),P275,""),"")</f>
        <v/>
      </c>
    </row>
    <row r="276">
      <c r="A276" s="47" t="n"/>
      <c r="B276" s="48" t="n"/>
      <c r="C276" s="48" t="n"/>
      <c r="D276" s="48" t="n"/>
      <c r="E276" s="48" t="n"/>
      <c r="F276" s="48" t="n"/>
      <c r="G276" s="48" t="n"/>
      <c r="H276" s="48" t="n"/>
      <c r="I276" s="49" t="n"/>
      <c r="J276" s="50" t="n"/>
      <c r="K276" s="48" t="n"/>
      <c r="L276" s="51">
        <f>IF(A276="","",DATE(YEAR(A276),MONTH(A276),1))</f>
        <v/>
      </c>
      <c r="M276" s="52">
        <f>IF(OR(A276="",NOT(ISNUMBER(I276))),"",IF(G276=Lists!$B$5,I276/2,IF(G276=Lists!$B$6,I276,0)))</f>
        <v/>
      </c>
      <c r="N276" s="52">
        <f>IF(OR(A276="",NOT(ISNUMBER(I276))),"",IF(G276=Lists!$B$5,I276/2,IF(G276=Lists!$B$7,I276,0)))</f>
        <v/>
      </c>
      <c r="O276" s="53">
        <f>IF(COUNTA(A276:K276)=0,"",IF(OR(A276="",B276="",C276="",D276="",E276="",F276="",G276="",NOT(ISNUMBER(I276))),"Incomplete",IF(COUNTIF(Lists!$H$4:$AA$4,C276)=0,"Check category",IF(COUNTIF(INDEX(Lists!$H$6:$AA$45,0,MATCH(C276,Lists!$H$4:$AA$4,0)),D276)=0,"Check sub-category","OK"))))</f>
        <v/>
      </c>
      <c r="P276">
        <f>IF(ISNUMBER(I276),I276+ROW()/10000000,"")</f>
        <v/>
      </c>
      <c r="Q276">
        <f>IF(AND(ISNUMBER(P276),ISNUMBER(A276)),IF(AND(A276&gt;=Dashboard!$Q$3,A276&lt;=Dashboard!$Q$4,OR(J276&lt;&gt;"Yes",Dashboard!$Q$15="Yes")),P276,""),"")</f>
        <v/>
      </c>
    </row>
    <row r="277">
      <c r="A277" s="47" t="n"/>
      <c r="B277" s="48" t="n"/>
      <c r="C277" s="48" t="n"/>
      <c r="D277" s="48" t="n"/>
      <c r="E277" s="48" t="n"/>
      <c r="F277" s="48" t="n"/>
      <c r="G277" s="48" t="n"/>
      <c r="H277" s="48" t="n"/>
      <c r="I277" s="49" t="n"/>
      <c r="J277" s="50" t="n"/>
      <c r="K277" s="48" t="n"/>
      <c r="L277" s="51">
        <f>IF(A277="","",DATE(YEAR(A277),MONTH(A277),1))</f>
        <v/>
      </c>
      <c r="M277" s="52">
        <f>IF(OR(A277="",NOT(ISNUMBER(I277))),"",IF(G277=Lists!$B$5,I277/2,IF(G277=Lists!$B$6,I277,0)))</f>
        <v/>
      </c>
      <c r="N277" s="52">
        <f>IF(OR(A277="",NOT(ISNUMBER(I277))),"",IF(G277=Lists!$B$5,I277/2,IF(G277=Lists!$B$7,I277,0)))</f>
        <v/>
      </c>
      <c r="O277" s="53">
        <f>IF(COUNTA(A277:K277)=0,"",IF(OR(A277="",B277="",C277="",D277="",E277="",F277="",G277="",NOT(ISNUMBER(I277))),"Incomplete",IF(COUNTIF(Lists!$H$4:$AA$4,C277)=0,"Check category",IF(COUNTIF(INDEX(Lists!$H$6:$AA$45,0,MATCH(C277,Lists!$H$4:$AA$4,0)),D277)=0,"Check sub-category","OK"))))</f>
        <v/>
      </c>
      <c r="P277">
        <f>IF(ISNUMBER(I277),I277+ROW()/10000000,"")</f>
        <v/>
      </c>
      <c r="Q277">
        <f>IF(AND(ISNUMBER(P277),ISNUMBER(A277)),IF(AND(A277&gt;=Dashboard!$Q$3,A277&lt;=Dashboard!$Q$4,OR(J277&lt;&gt;"Yes",Dashboard!$Q$15="Yes")),P277,""),"")</f>
        <v/>
      </c>
    </row>
    <row r="278">
      <c r="A278" s="47" t="n"/>
      <c r="B278" s="48" t="n"/>
      <c r="C278" s="48" t="n"/>
      <c r="D278" s="48" t="n"/>
      <c r="E278" s="48" t="n"/>
      <c r="F278" s="48" t="n"/>
      <c r="G278" s="48" t="n"/>
      <c r="H278" s="48" t="n"/>
      <c r="I278" s="49" t="n"/>
      <c r="J278" s="50" t="n"/>
      <c r="K278" s="48" t="n"/>
      <c r="L278" s="51">
        <f>IF(A278="","",DATE(YEAR(A278),MONTH(A278),1))</f>
        <v/>
      </c>
      <c r="M278" s="52">
        <f>IF(OR(A278="",NOT(ISNUMBER(I278))),"",IF(G278=Lists!$B$5,I278/2,IF(G278=Lists!$B$6,I278,0)))</f>
        <v/>
      </c>
      <c r="N278" s="52">
        <f>IF(OR(A278="",NOT(ISNUMBER(I278))),"",IF(G278=Lists!$B$5,I278/2,IF(G278=Lists!$B$7,I278,0)))</f>
        <v/>
      </c>
      <c r="O278" s="53">
        <f>IF(COUNTA(A278:K278)=0,"",IF(OR(A278="",B278="",C278="",D278="",E278="",F278="",G278="",NOT(ISNUMBER(I278))),"Incomplete",IF(COUNTIF(Lists!$H$4:$AA$4,C278)=0,"Check category",IF(COUNTIF(INDEX(Lists!$H$6:$AA$45,0,MATCH(C278,Lists!$H$4:$AA$4,0)),D278)=0,"Check sub-category","OK"))))</f>
        <v/>
      </c>
      <c r="P278">
        <f>IF(ISNUMBER(I278),I278+ROW()/10000000,"")</f>
        <v/>
      </c>
      <c r="Q278">
        <f>IF(AND(ISNUMBER(P278),ISNUMBER(A278)),IF(AND(A278&gt;=Dashboard!$Q$3,A278&lt;=Dashboard!$Q$4,OR(J278&lt;&gt;"Yes",Dashboard!$Q$15="Yes")),P278,""),"")</f>
        <v/>
      </c>
    </row>
    <row r="279">
      <c r="A279" s="47" t="n"/>
      <c r="B279" s="48" t="n"/>
      <c r="C279" s="48" t="n"/>
      <c r="D279" s="48" t="n"/>
      <c r="E279" s="48" t="n"/>
      <c r="F279" s="48" t="n"/>
      <c r="G279" s="48" t="n"/>
      <c r="H279" s="48" t="n"/>
      <c r="I279" s="49" t="n"/>
      <c r="J279" s="50" t="n"/>
      <c r="K279" s="48" t="n"/>
      <c r="L279" s="51">
        <f>IF(A279="","",DATE(YEAR(A279),MONTH(A279),1))</f>
        <v/>
      </c>
      <c r="M279" s="52">
        <f>IF(OR(A279="",NOT(ISNUMBER(I279))),"",IF(G279=Lists!$B$5,I279/2,IF(G279=Lists!$B$6,I279,0)))</f>
        <v/>
      </c>
      <c r="N279" s="52">
        <f>IF(OR(A279="",NOT(ISNUMBER(I279))),"",IF(G279=Lists!$B$5,I279/2,IF(G279=Lists!$B$7,I279,0)))</f>
        <v/>
      </c>
      <c r="O279" s="53">
        <f>IF(COUNTA(A279:K279)=0,"",IF(OR(A279="",B279="",C279="",D279="",E279="",F279="",G279="",NOT(ISNUMBER(I279))),"Incomplete",IF(COUNTIF(Lists!$H$4:$AA$4,C279)=0,"Check category",IF(COUNTIF(INDEX(Lists!$H$6:$AA$45,0,MATCH(C279,Lists!$H$4:$AA$4,0)),D279)=0,"Check sub-category","OK"))))</f>
        <v/>
      </c>
      <c r="P279">
        <f>IF(ISNUMBER(I279),I279+ROW()/10000000,"")</f>
        <v/>
      </c>
      <c r="Q279">
        <f>IF(AND(ISNUMBER(P279),ISNUMBER(A279)),IF(AND(A279&gt;=Dashboard!$Q$3,A279&lt;=Dashboard!$Q$4,OR(J279&lt;&gt;"Yes",Dashboard!$Q$15="Yes")),P279,""),"")</f>
        <v/>
      </c>
    </row>
    <row r="280">
      <c r="A280" s="47" t="n"/>
      <c r="B280" s="48" t="n"/>
      <c r="C280" s="48" t="n"/>
      <c r="D280" s="48" t="n"/>
      <c r="E280" s="48" t="n"/>
      <c r="F280" s="48" t="n"/>
      <c r="G280" s="48" t="n"/>
      <c r="H280" s="48" t="n"/>
      <c r="I280" s="49" t="n"/>
      <c r="J280" s="50" t="n"/>
      <c r="K280" s="48" t="n"/>
      <c r="L280" s="51">
        <f>IF(A280="","",DATE(YEAR(A280),MONTH(A280),1))</f>
        <v/>
      </c>
      <c r="M280" s="52">
        <f>IF(OR(A280="",NOT(ISNUMBER(I280))),"",IF(G280=Lists!$B$5,I280/2,IF(G280=Lists!$B$6,I280,0)))</f>
        <v/>
      </c>
      <c r="N280" s="52">
        <f>IF(OR(A280="",NOT(ISNUMBER(I280))),"",IF(G280=Lists!$B$5,I280/2,IF(G280=Lists!$B$7,I280,0)))</f>
        <v/>
      </c>
      <c r="O280" s="53">
        <f>IF(COUNTA(A280:K280)=0,"",IF(OR(A280="",B280="",C280="",D280="",E280="",F280="",G280="",NOT(ISNUMBER(I280))),"Incomplete",IF(COUNTIF(Lists!$H$4:$AA$4,C280)=0,"Check category",IF(COUNTIF(INDEX(Lists!$H$6:$AA$45,0,MATCH(C280,Lists!$H$4:$AA$4,0)),D280)=0,"Check sub-category","OK"))))</f>
        <v/>
      </c>
      <c r="P280">
        <f>IF(ISNUMBER(I280),I280+ROW()/10000000,"")</f>
        <v/>
      </c>
      <c r="Q280">
        <f>IF(AND(ISNUMBER(P280),ISNUMBER(A280)),IF(AND(A280&gt;=Dashboard!$Q$3,A280&lt;=Dashboard!$Q$4,OR(J280&lt;&gt;"Yes",Dashboard!$Q$15="Yes")),P280,""),"")</f>
        <v/>
      </c>
    </row>
    <row r="281">
      <c r="A281" s="47" t="n"/>
      <c r="B281" s="48" t="n"/>
      <c r="C281" s="48" t="n"/>
      <c r="D281" s="48" t="n"/>
      <c r="E281" s="48" t="n"/>
      <c r="F281" s="48" t="n"/>
      <c r="G281" s="48" t="n"/>
      <c r="H281" s="48" t="n"/>
      <c r="I281" s="49" t="n"/>
      <c r="J281" s="50" t="n"/>
      <c r="K281" s="48" t="n"/>
      <c r="L281" s="51">
        <f>IF(A281="","",DATE(YEAR(A281),MONTH(A281),1))</f>
        <v/>
      </c>
      <c r="M281" s="52">
        <f>IF(OR(A281="",NOT(ISNUMBER(I281))),"",IF(G281=Lists!$B$5,I281/2,IF(G281=Lists!$B$6,I281,0)))</f>
        <v/>
      </c>
      <c r="N281" s="52">
        <f>IF(OR(A281="",NOT(ISNUMBER(I281))),"",IF(G281=Lists!$B$5,I281/2,IF(G281=Lists!$B$7,I281,0)))</f>
        <v/>
      </c>
      <c r="O281" s="53">
        <f>IF(COUNTA(A281:K281)=0,"",IF(OR(A281="",B281="",C281="",D281="",E281="",F281="",G281="",NOT(ISNUMBER(I281))),"Incomplete",IF(COUNTIF(Lists!$H$4:$AA$4,C281)=0,"Check category",IF(COUNTIF(INDEX(Lists!$H$6:$AA$45,0,MATCH(C281,Lists!$H$4:$AA$4,0)),D281)=0,"Check sub-category","OK"))))</f>
        <v/>
      </c>
      <c r="P281">
        <f>IF(ISNUMBER(I281),I281+ROW()/10000000,"")</f>
        <v/>
      </c>
      <c r="Q281">
        <f>IF(AND(ISNUMBER(P281),ISNUMBER(A281)),IF(AND(A281&gt;=Dashboard!$Q$3,A281&lt;=Dashboard!$Q$4,OR(J281&lt;&gt;"Yes",Dashboard!$Q$15="Yes")),P281,""),"")</f>
        <v/>
      </c>
    </row>
    <row r="282">
      <c r="A282" s="47" t="n"/>
      <c r="B282" s="48" t="n"/>
      <c r="C282" s="48" t="n"/>
      <c r="D282" s="48" t="n"/>
      <c r="E282" s="48" t="n"/>
      <c r="F282" s="48" t="n"/>
      <c r="G282" s="48" t="n"/>
      <c r="H282" s="48" t="n"/>
      <c r="I282" s="49" t="n"/>
      <c r="J282" s="50" t="n"/>
      <c r="K282" s="48" t="n"/>
      <c r="L282" s="51">
        <f>IF(A282="","",DATE(YEAR(A282),MONTH(A282),1))</f>
        <v/>
      </c>
      <c r="M282" s="52">
        <f>IF(OR(A282="",NOT(ISNUMBER(I282))),"",IF(G282=Lists!$B$5,I282/2,IF(G282=Lists!$B$6,I282,0)))</f>
        <v/>
      </c>
      <c r="N282" s="52">
        <f>IF(OR(A282="",NOT(ISNUMBER(I282))),"",IF(G282=Lists!$B$5,I282/2,IF(G282=Lists!$B$7,I282,0)))</f>
        <v/>
      </c>
      <c r="O282" s="53">
        <f>IF(COUNTA(A282:K282)=0,"",IF(OR(A282="",B282="",C282="",D282="",E282="",F282="",G282="",NOT(ISNUMBER(I282))),"Incomplete",IF(COUNTIF(Lists!$H$4:$AA$4,C282)=0,"Check category",IF(COUNTIF(INDEX(Lists!$H$6:$AA$45,0,MATCH(C282,Lists!$H$4:$AA$4,0)),D282)=0,"Check sub-category","OK"))))</f>
        <v/>
      </c>
      <c r="P282">
        <f>IF(ISNUMBER(I282),I282+ROW()/10000000,"")</f>
        <v/>
      </c>
      <c r="Q282">
        <f>IF(AND(ISNUMBER(P282),ISNUMBER(A282)),IF(AND(A282&gt;=Dashboard!$Q$3,A282&lt;=Dashboard!$Q$4,OR(J282&lt;&gt;"Yes",Dashboard!$Q$15="Yes")),P282,""),"")</f>
        <v/>
      </c>
    </row>
    <row r="283">
      <c r="A283" s="47" t="n"/>
      <c r="B283" s="48" t="n"/>
      <c r="C283" s="48" t="n"/>
      <c r="D283" s="48" t="n"/>
      <c r="E283" s="48" t="n"/>
      <c r="F283" s="48" t="n"/>
      <c r="G283" s="48" t="n"/>
      <c r="H283" s="48" t="n"/>
      <c r="I283" s="49" t="n"/>
      <c r="J283" s="50" t="n"/>
      <c r="K283" s="48" t="n"/>
      <c r="L283" s="51">
        <f>IF(A283="","",DATE(YEAR(A283),MONTH(A283),1))</f>
        <v/>
      </c>
      <c r="M283" s="52">
        <f>IF(OR(A283="",NOT(ISNUMBER(I283))),"",IF(G283=Lists!$B$5,I283/2,IF(G283=Lists!$B$6,I283,0)))</f>
        <v/>
      </c>
      <c r="N283" s="52">
        <f>IF(OR(A283="",NOT(ISNUMBER(I283))),"",IF(G283=Lists!$B$5,I283/2,IF(G283=Lists!$B$7,I283,0)))</f>
        <v/>
      </c>
      <c r="O283" s="53">
        <f>IF(COUNTA(A283:K283)=0,"",IF(OR(A283="",B283="",C283="",D283="",E283="",F283="",G283="",NOT(ISNUMBER(I283))),"Incomplete",IF(COUNTIF(Lists!$H$4:$AA$4,C283)=0,"Check category",IF(COUNTIF(INDEX(Lists!$H$6:$AA$45,0,MATCH(C283,Lists!$H$4:$AA$4,0)),D283)=0,"Check sub-category","OK"))))</f>
        <v/>
      </c>
      <c r="P283">
        <f>IF(ISNUMBER(I283),I283+ROW()/10000000,"")</f>
        <v/>
      </c>
      <c r="Q283">
        <f>IF(AND(ISNUMBER(P283),ISNUMBER(A283)),IF(AND(A283&gt;=Dashboard!$Q$3,A283&lt;=Dashboard!$Q$4,OR(J283&lt;&gt;"Yes",Dashboard!$Q$15="Yes")),P283,""),"")</f>
        <v/>
      </c>
    </row>
    <row r="284">
      <c r="A284" s="47" t="n"/>
      <c r="B284" s="48" t="n"/>
      <c r="C284" s="48" t="n"/>
      <c r="D284" s="48" t="n"/>
      <c r="E284" s="48" t="n"/>
      <c r="F284" s="48" t="n"/>
      <c r="G284" s="48" t="n"/>
      <c r="H284" s="48" t="n"/>
      <c r="I284" s="49" t="n"/>
      <c r="J284" s="50" t="n"/>
      <c r="K284" s="48" t="n"/>
      <c r="L284" s="51">
        <f>IF(A284="","",DATE(YEAR(A284),MONTH(A284),1))</f>
        <v/>
      </c>
      <c r="M284" s="52">
        <f>IF(OR(A284="",NOT(ISNUMBER(I284))),"",IF(G284=Lists!$B$5,I284/2,IF(G284=Lists!$B$6,I284,0)))</f>
        <v/>
      </c>
      <c r="N284" s="52">
        <f>IF(OR(A284="",NOT(ISNUMBER(I284))),"",IF(G284=Lists!$B$5,I284/2,IF(G284=Lists!$B$7,I284,0)))</f>
        <v/>
      </c>
      <c r="O284" s="53">
        <f>IF(COUNTA(A284:K284)=0,"",IF(OR(A284="",B284="",C284="",D284="",E284="",F284="",G284="",NOT(ISNUMBER(I284))),"Incomplete",IF(COUNTIF(Lists!$H$4:$AA$4,C284)=0,"Check category",IF(COUNTIF(INDEX(Lists!$H$6:$AA$45,0,MATCH(C284,Lists!$H$4:$AA$4,0)),D284)=0,"Check sub-category","OK"))))</f>
        <v/>
      </c>
      <c r="P284">
        <f>IF(ISNUMBER(I284),I284+ROW()/10000000,"")</f>
        <v/>
      </c>
      <c r="Q284">
        <f>IF(AND(ISNUMBER(P284),ISNUMBER(A284)),IF(AND(A284&gt;=Dashboard!$Q$3,A284&lt;=Dashboard!$Q$4,OR(J284&lt;&gt;"Yes",Dashboard!$Q$15="Yes")),P284,""),"")</f>
        <v/>
      </c>
    </row>
    <row r="285">
      <c r="A285" s="47" t="n"/>
      <c r="B285" s="48" t="n"/>
      <c r="C285" s="48" t="n"/>
      <c r="D285" s="48" t="n"/>
      <c r="E285" s="48" t="n"/>
      <c r="F285" s="48" t="n"/>
      <c r="G285" s="48" t="n"/>
      <c r="H285" s="48" t="n"/>
      <c r="I285" s="49" t="n"/>
      <c r="J285" s="50" t="n"/>
      <c r="K285" s="48" t="n"/>
      <c r="L285" s="51">
        <f>IF(A285="","",DATE(YEAR(A285),MONTH(A285),1))</f>
        <v/>
      </c>
      <c r="M285" s="52">
        <f>IF(OR(A285="",NOT(ISNUMBER(I285))),"",IF(G285=Lists!$B$5,I285/2,IF(G285=Lists!$B$6,I285,0)))</f>
        <v/>
      </c>
      <c r="N285" s="52">
        <f>IF(OR(A285="",NOT(ISNUMBER(I285))),"",IF(G285=Lists!$B$5,I285/2,IF(G285=Lists!$B$7,I285,0)))</f>
        <v/>
      </c>
      <c r="O285" s="53">
        <f>IF(COUNTA(A285:K285)=0,"",IF(OR(A285="",B285="",C285="",D285="",E285="",F285="",G285="",NOT(ISNUMBER(I285))),"Incomplete",IF(COUNTIF(Lists!$H$4:$AA$4,C285)=0,"Check category",IF(COUNTIF(INDEX(Lists!$H$6:$AA$45,0,MATCH(C285,Lists!$H$4:$AA$4,0)),D285)=0,"Check sub-category","OK"))))</f>
        <v/>
      </c>
      <c r="P285">
        <f>IF(ISNUMBER(I285),I285+ROW()/10000000,"")</f>
        <v/>
      </c>
      <c r="Q285">
        <f>IF(AND(ISNUMBER(P285),ISNUMBER(A285)),IF(AND(A285&gt;=Dashboard!$Q$3,A285&lt;=Dashboard!$Q$4,OR(J285&lt;&gt;"Yes",Dashboard!$Q$15="Yes")),P285,""),"")</f>
        <v/>
      </c>
    </row>
    <row r="286">
      <c r="A286" s="47" t="n"/>
      <c r="B286" s="48" t="n"/>
      <c r="C286" s="48" t="n"/>
      <c r="D286" s="48" t="n"/>
      <c r="E286" s="48" t="n"/>
      <c r="F286" s="48" t="n"/>
      <c r="G286" s="48" t="n"/>
      <c r="H286" s="48" t="n"/>
      <c r="I286" s="49" t="n"/>
      <c r="J286" s="50" t="n"/>
      <c r="K286" s="48" t="n"/>
      <c r="L286" s="51">
        <f>IF(A286="","",DATE(YEAR(A286),MONTH(A286),1))</f>
        <v/>
      </c>
      <c r="M286" s="52">
        <f>IF(OR(A286="",NOT(ISNUMBER(I286))),"",IF(G286=Lists!$B$5,I286/2,IF(G286=Lists!$B$6,I286,0)))</f>
        <v/>
      </c>
      <c r="N286" s="52">
        <f>IF(OR(A286="",NOT(ISNUMBER(I286))),"",IF(G286=Lists!$B$5,I286/2,IF(G286=Lists!$B$7,I286,0)))</f>
        <v/>
      </c>
      <c r="O286" s="53">
        <f>IF(COUNTA(A286:K286)=0,"",IF(OR(A286="",B286="",C286="",D286="",E286="",F286="",G286="",NOT(ISNUMBER(I286))),"Incomplete",IF(COUNTIF(Lists!$H$4:$AA$4,C286)=0,"Check category",IF(COUNTIF(INDEX(Lists!$H$6:$AA$45,0,MATCH(C286,Lists!$H$4:$AA$4,0)),D286)=0,"Check sub-category","OK"))))</f>
        <v/>
      </c>
      <c r="P286">
        <f>IF(ISNUMBER(I286),I286+ROW()/10000000,"")</f>
        <v/>
      </c>
      <c r="Q286">
        <f>IF(AND(ISNUMBER(P286),ISNUMBER(A286)),IF(AND(A286&gt;=Dashboard!$Q$3,A286&lt;=Dashboard!$Q$4,OR(J286&lt;&gt;"Yes",Dashboard!$Q$15="Yes")),P286,""),"")</f>
        <v/>
      </c>
    </row>
    <row r="287">
      <c r="A287" s="47" t="n"/>
      <c r="B287" s="48" t="n"/>
      <c r="C287" s="48" t="n"/>
      <c r="D287" s="48" t="n"/>
      <c r="E287" s="48" t="n"/>
      <c r="F287" s="48" t="n"/>
      <c r="G287" s="48" t="n"/>
      <c r="H287" s="48" t="n"/>
      <c r="I287" s="49" t="n"/>
      <c r="J287" s="50" t="n"/>
      <c r="K287" s="48" t="n"/>
      <c r="L287" s="51">
        <f>IF(A287="","",DATE(YEAR(A287),MONTH(A287),1))</f>
        <v/>
      </c>
      <c r="M287" s="52">
        <f>IF(OR(A287="",NOT(ISNUMBER(I287))),"",IF(G287=Lists!$B$5,I287/2,IF(G287=Lists!$B$6,I287,0)))</f>
        <v/>
      </c>
      <c r="N287" s="52">
        <f>IF(OR(A287="",NOT(ISNUMBER(I287))),"",IF(G287=Lists!$B$5,I287/2,IF(G287=Lists!$B$7,I287,0)))</f>
        <v/>
      </c>
      <c r="O287" s="53">
        <f>IF(COUNTA(A287:K287)=0,"",IF(OR(A287="",B287="",C287="",D287="",E287="",F287="",G287="",NOT(ISNUMBER(I287))),"Incomplete",IF(COUNTIF(Lists!$H$4:$AA$4,C287)=0,"Check category",IF(COUNTIF(INDEX(Lists!$H$6:$AA$45,0,MATCH(C287,Lists!$H$4:$AA$4,0)),D287)=0,"Check sub-category","OK"))))</f>
        <v/>
      </c>
      <c r="P287">
        <f>IF(ISNUMBER(I287),I287+ROW()/10000000,"")</f>
        <v/>
      </c>
      <c r="Q287">
        <f>IF(AND(ISNUMBER(P287),ISNUMBER(A287)),IF(AND(A287&gt;=Dashboard!$Q$3,A287&lt;=Dashboard!$Q$4,OR(J287&lt;&gt;"Yes",Dashboard!$Q$15="Yes")),P287,""),"")</f>
        <v/>
      </c>
    </row>
    <row r="288">
      <c r="A288" s="47" t="n"/>
      <c r="B288" s="48" t="n"/>
      <c r="C288" s="48" t="n"/>
      <c r="D288" s="48" t="n"/>
      <c r="E288" s="48" t="n"/>
      <c r="F288" s="48" t="n"/>
      <c r="G288" s="48" t="n"/>
      <c r="H288" s="48" t="n"/>
      <c r="I288" s="49" t="n"/>
      <c r="J288" s="50" t="n"/>
      <c r="K288" s="48" t="n"/>
      <c r="L288" s="51">
        <f>IF(A288="","",DATE(YEAR(A288),MONTH(A288),1))</f>
        <v/>
      </c>
      <c r="M288" s="52">
        <f>IF(OR(A288="",NOT(ISNUMBER(I288))),"",IF(G288=Lists!$B$5,I288/2,IF(G288=Lists!$B$6,I288,0)))</f>
        <v/>
      </c>
      <c r="N288" s="52">
        <f>IF(OR(A288="",NOT(ISNUMBER(I288))),"",IF(G288=Lists!$B$5,I288/2,IF(G288=Lists!$B$7,I288,0)))</f>
        <v/>
      </c>
      <c r="O288" s="53">
        <f>IF(COUNTA(A288:K288)=0,"",IF(OR(A288="",B288="",C288="",D288="",E288="",F288="",G288="",NOT(ISNUMBER(I288))),"Incomplete",IF(COUNTIF(Lists!$H$4:$AA$4,C288)=0,"Check category",IF(COUNTIF(INDEX(Lists!$H$6:$AA$45,0,MATCH(C288,Lists!$H$4:$AA$4,0)),D288)=0,"Check sub-category","OK"))))</f>
        <v/>
      </c>
      <c r="P288">
        <f>IF(ISNUMBER(I288),I288+ROW()/10000000,"")</f>
        <v/>
      </c>
      <c r="Q288">
        <f>IF(AND(ISNUMBER(P288),ISNUMBER(A288)),IF(AND(A288&gt;=Dashboard!$Q$3,A288&lt;=Dashboard!$Q$4,OR(J288&lt;&gt;"Yes",Dashboard!$Q$15="Yes")),P288,""),"")</f>
        <v/>
      </c>
    </row>
    <row r="289">
      <c r="A289" s="47" t="n"/>
      <c r="B289" s="48" t="n"/>
      <c r="C289" s="48" t="n"/>
      <c r="D289" s="48" t="n"/>
      <c r="E289" s="48" t="n"/>
      <c r="F289" s="48" t="n"/>
      <c r="G289" s="48" t="n"/>
      <c r="H289" s="48" t="n"/>
      <c r="I289" s="49" t="n"/>
      <c r="J289" s="50" t="n"/>
      <c r="K289" s="48" t="n"/>
      <c r="L289" s="51">
        <f>IF(A289="","",DATE(YEAR(A289),MONTH(A289),1))</f>
        <v/>
      </c>
      <c r="M289" s="52">
        <f>IF(OR(A289="",NOT(ISNUMBER(I289))),"",IF(G289=Lists!$B$5,I289/2,IF(G289=Lists!$B$6,I289,0)))</f>
        <v/>
      </c>
      <c r="N289" s="52">
        <f>IF(OR(A289="",NOT(ISNUMBER(I289))),"",IF(G289=Lists!$B$5,I289/2,IF(G289=Lists!$B$7,I289,0)))</f>
        <v/>
      </c>
      <c r="O289" s="53">
        <f>IF(COUNTA(A289:K289)=0,"",IF(OR(A289="",B289="",C289="",D289="",E289="",F289="",G289="",NOT(ISNUMBER(I289))),"Incomplete",IF(COUNTIF(Lists!$H$4:$AA$4,C289)=0,"Check category",IF(COUNTIF(INDEX(Lists!$H$6:$AA$45,0,MATCH(C289,Lists!$H$4:$AA$4,0)),D289)=0,"Check sub-category","OK"))))</f>
        <v/>
      </c>
      <c r="P289">
        <f>IF(ISNUMBER(I289),I289+ROW()/10000000,"")</f>
        <v/>
      </c>
      <c r="Q289">
        <f>IF(AND(ISNUMBER(P289),ISNUMBER(A289)),IF(AND(A289&gt;=Dashboard!$Q$3,A289&lt;=Dashboard!$Q$4,OR(J289&lt;&gt;"Yes",Dashboard!$Q$15="Yes")),P289,""),"")</f>
        <v/>
      </c>
    </row>
    <row r="290">
      <c r="A290" s="47" t="n"/>
      <c r="B290" s="48" t="n"/>
      <c r="C290" s="48" t="n"/>
      <c r="D290" s="48" t="n"/>
      <c r="E290" s="48" t="n"/>
      <c r="F290" s="48" t="n"/>
      <c r="G290" s="48" t="n"/>
      <c r="H290" s="48" t="n"/>
      <c r="I290" s="49" t="n"/>
      <c r="J290" s="50" t="n"/>
      <c r="K290" s="48" t="n"/>
      <c r="L290" s="51">
        <f>IF(A290="","",DATE(YEAR(A290),MONTH(A290),1))</f>
        <v/>
      </c>
      <c r="M290" s="52">
        <f>IF(OR(A290="",NOT(ISNUMBER(I290))),"",IF(G290=Lists!$B$5,I290/2,IF(G290=Lists!$B$6,I290,0)))</f>
        <v/>
      </c>
      <c r="N290" s="52">
        <f>IF(OR(A290="",NOT(ISNUMBER(I290))),"",IF(G290=Lists!$B$5,I290/2,IF(G290=Lists!$B$7,I290,0)))</f>
        <v/>
      </c>
      <c r="O290" s="53">
        <f>IF(COUNTA(A290:K290)=0,"",IF(OR(A290="",B290="",C290="",D290="",E290="",F290="",G290="",NOT(ISNUMBER(I290))),"Incomplete",IF(COUNTIF(Lists!$H$4:$AA$4,C290)=0,"Check category",IF(COUNTIF(INDEX(Lists!$H$6:$AA$45,0,MATCH(C290,Lists!$H$4:$AA$4,0)),D290)=0,"Check sub-category","OK"))))</f>
        <v/>
      </c>
      <c r="P290">
        <f>IF(ISNUMBER(I290),I290+ROW()/10000000,"")</f>
        <v/>
      </c>
      <c r="Q290">
        <f>IF(AND(ISNUMBER(P290),ISNUMBER(A290)),IF(AND(A290&gt;=Dashboard!$Q$3,A290&lt;=Dashboard!$Q$4,OR(J290&lt;&gt;"Yes",Dashboard!$Q$15="Yes")),P290,""),"")</f>
        <v/>
      </c>
    </row>
    <row r="291">
      <c r="A291" s="47" t="n"/>
      <c r="B291" s="48" t="n"/>
      <c r="C291" s="48" t="n"/>
      <c r="D291" s="48" t="n"/>
      <c r="E291" s="48" t="n"/>
      <c r="F291" s="48" t="n"/>
      <c r="G291" s="48" t="n"/>
      <c r="H291" s="48" t="n"/>
      <c r="I291" s="49" t="n"/>
      <c r="J291" s="50" t="n"/>
      <c r="K291" s="48" t="n"/>
      <c r="L291" s="51">
        <f>IF(A291="","",DATE(YEAR(A291),MONTH(A291),1))</f>
        <v/>
      </c>
      <c r="M291" s="52">
        <f>IF(OR(A291="",NOT(ISNUMBER(I291))),"",IF(G291=Lists!$B$5,I291/2,IF(G291=Lists!$B$6,I291,0)))</f>
        <v/>
      </c>
      <c r="N291" s="52">
        <f>IF(OR(A291="",NOT(ISNUMBER(I291))),"",IF(G291=Lists!$B$5,I291/2,IF(G291=Lists!$B$7,I291,0)))</f>
        <v/>
      </c>
      <c r="O291" s="53">
        <f>IF(COUNTA(A291:K291)=0,"",IF(OR(A291="",B291="",C291="",D291="",E291="",F291="",G291="",NOT(ISNUMBER(I291))),"Incomplete",IF(COUNTIF(Lists!$H$4:$AA$4,C291)=0,"Check category",IF(COUNTIF(INDEX(Lists!$H$6:$AA$45,0,MATCH(C291,Lists!$H$4:$AA$4,0)),D291)=0,"Check sub-category","OK"))))</f>
        <v/>
      </c>
      <c r="P291">
        <f>IF(ISNUMBER(I291),I291+ROW()/10000000,"")</f>
        <v/>
      </c>
      <c r="Q291">
        <f>IF(AND(ISNUMBER(P291),ISNUMBER(A291)),IF(AND(A291&gt;=Dashboard!$Q$3,A291&lt;=Dashboard!$Q$4,OR(J291&lt;&gt;"Yes",Dashboard!$Q$15="Yes")),P291,""),"")</f>
        <v/>
      </c>
    </row>
    <row r="292">
      <c r="A292" s="47" t="n"/>
      <c r="B292" s="48" t="n"/>
      <c r="C292" s="48" t="n"/>
      <c r="D292" s="48" t="n"/>
      <c r="E292" s="48" t="n"/>
      <c r="F292" s="48" t="n"/>
      <c r="G292" s="48" t="n"/>
      <c r="H292" s="48" t="n"/>
      <c r="I292" s="49" t="n"/>
      <c r="J292" s="50" t="n"/>
      <c r="K292" s="48" t="n"/>
      <c r="L292" s="51">
        <f>IF(A292="","",DATE(YEAR(A292),MONTH(A292),1))</f>
        <v/>
      </c>
      <c r="M292" s="52">
        <f>IF(OR(A292="",NOT(ISNUMBER(I292))),"",IF(G292=Lists!$B$5,I292/2,IF(G292=Lists!$B$6,I292,0)))</f>
        <v/>
      </c>
      <c r="N292" s="52">
        <f>IF(OR(A292="",NOT(ISNUMBER(I292))),"",IF(G292=Lists!$B$5,I292/2,IF(G292=Lists!$B$7,I292,0)))</f>
        <v/>
      </c>
      <c r="O292" s="53">
        <f>IF(COUNTA(A292:K292)=0,"",IF(OR(A292="",B292="",C292="",D292="",E292="",F292="",G292="",NOT(ISNUMBER(I292))),"Incomplete",IF(COUNTIF(Lists!$H$4:$AA$4,C292)=0,"Check category",IF(COUNTIF(INDEX(Lists!$H$6:$AA$45,0,MATCH(C292,Lists!$H$4:$AA$4,0)),D292)=0,"Check sub-category","OK"))))</f>
        <v/>
      </c>
      <c r="P292">
        <f>IF(ISNUMBER(I292),I292+ROW()/10000000,"")</f>
        <v/>
      </c>
      <c r="Q292">
        <f>IF(AND(ISNUMBER(P292),ISNUMBER(A292)),IF(AND(A292&gt;=Dashboard!$Q$3,A292&lt;=Dashboard!$Q$4,OR(J292&lt;&gt;"Yes",Dashboard!$Q$15="Yes")),P292,""),"")</f>
        <v/>
      </c>
    </row>
    <row r="293">
      <c r="A293" s="47" t="n"/>
      <c r="B293" s="48" t="n"/>
      <c r="C293" s="48" t="n"/>
      <c r="D293" s="48" t="n"/>
      <c r="E293" s="48" t="n"/>
      <c r="F293" s="48" t="n"/>
      <c r="G293" s="48" t="n"/>
      <c r="H293" s="48" t="n"/>
      <c r="I293" s="49" t="n"/>
      <c r="J293" s="50" t="n"/>
      <c r="K293" s="48" t="n"/>
      <c r="L293" s="51">
        <f>IF(A293="","",DATE(YEAR(A293),MONTH(A293),1))</f>
        <v/>
      </c>
      <c r="M293" s="52">
        <f>IF(OR(A293="",NOT(ISNUMBER(I293))),"",IF(G293=Lists!$B$5,I293/2,IF(G293=Lists!$B$6,I293,0)))</f>
        <v/>
      </c>
      <c r="N293" s="52">
        <f>IF(OR(A293="",NOT(ISNUMBER(I293))),"",IF(G293=Lists!$B$5,I293/2,IF(G293=Lists!$B$7,I293,0)))</f>
        <v/>
      </c>
      <c r="O293" s="53">
        <f>IF(COUNTA(A293:K293)=0,"",IF(OR(A293="",B293="",C293="",D293="",E293="",F293="",G293="",NOT(ISNUMBER(I293))),"Incomplete",IF(COUNTIF(Lists!$H$4:$AA$4,C293)=0,"Check category",IF(COUNTIF(INDEX(Lists!$H$6:$AA$45,0,MATCH(C293,Lists!$H$4:$AA$4,0)),D293)=0,"Check sub-category","OK"))))</f>
        <v/>
      </c>
      <c r="P293">
        <f>IF(ISNUMBER(I293),I293+ROW()/10000000,"")</f>
        <v/>
      </c>
      <c r="Q293">
        <f>IF(AND(ISNUMBER(P293),ISNUMBER(A293)),IF(AND(A293&gt;=Dashboard!$Q$3,A293&lt;=Dashboard!$Q$4,OR(J293&lt;&gt;"Yes",Dashboard!$Q$15="Yes")),P293,""),"")</f>
        <v/>
      </c>
    </row>
    <row r="294">
      <c r="A294" s="47" t="n"/>
      <c r="B294" s="48" t="n"/>
      <c r="C294" s="48" t="n"/>
      <c r="D294" s="48" t="n"/>
      <c r="E294" s="48" t="n"/>
      <c r="F294" s="48" t="n"/>
      <c r="G294" s="48" t="n"/>
      <c r="H294" s="48" t="n"/>
      <c r="I294" s="49" t="n"/>
      <c r="J294" s="50" t="n"/>
      <c r="K294" s="48" t="n"/>
      <c r="L294" s="51">
        <f>IF(A294="","",DATE(YEAR(A294),MONTH(A294),1))</f>
        <v/>
      </c>
      <c r="M294" s="52">
        <f>IF(OR(A294="",NOT(ISNUMBER(I294))),"",IF(G294=Lists!$B$5,I294/2,IF(G294=Lists!$B$6,I294,0)))</f>
        <v/>
      </c>
      <c r="N294" s="52">
        <f>IF(OR(A294="",NOT(ISNUMBER(I294))),"",IF(G294=Lists!$B$5,I294/2,IF(G294=Lists!$B$7,I294,0)))</f>
        <v/>
      </c>
      <c r="O294" s="53">
        <f>IF(COUNTA(A294:K294)=0,"",IF(OR(A294="",B294="",C294="",D294="",E294="",F294="",G294="",NOT(ISNUMBER(I294))),"Incomplete",IF(COUNTIF(Lists!$H$4:$AA$4,C294)=0,"Check category",IF(COUNTIF(INDEX(Lists!$H$6:$AA$45,0,MATCH(C294,Lists!$H$4:$AA$4,0)),D294)=0,"Check sub-category","OK"))))</f>
        <v/>
      </c>
      <c r="P294">
        <f>IF(ISNUMBER(I294),I294+ROW()/10000000,"")</f>
        <v/>
      </c>
      <c r="Q294">
        <f>IF(AND(ISNUMBER(P294),ISNUMBER(A294)),IF(AND(A294&gt;=Dashboard!$Q$3,A294&lt;=Dashboard!$Q$4,OR(J294&lt;&gt;"Yes",Dashboard!$Q$15="Yes")),P294,""),"")</f>
        <v/>
      </c>
    </row>
    <row r="295">
      <c r="A295" s="47" t="n"/>
      <c r="B295" s="48" t="n"/>
      <c r="C295" s="48" t="n"/>
      <c r="D295" s="48" t="n"/>
      <c r="E295" s="48" t="n"/>
      <c r="F295" s="48" t="n"/>
      <c r="G295" s="48" t="n"/>
      <c r="H295" s="48" t="n"/>
      <c r="I295" s="49" t="n"/>
      <c r="J295" s="50" t="n"/>
      <c r="K295" s="48" t="n"/>
      <c r="L295" s="51">
        <f>IF(A295="","",DATE(YEAR(A295),MONTH(A295),1))</f>
        <v/>
      </c>
      <c r="M295" s="52">
        <f>IF(OR(A295="",NOT(ISNUMBER(I295))),"",IF(G295=Lists!$B$5,I295/2,IF(G295=Lists!$B$6,I295,0)))</f>
        <v/>
      </c>
      <c r="N295" s="52">
        <f>IF(OR(A295="",NOT(ISNUMBER(I295))),"",IF(G295=Lists!$B$5,I295/2,IF(G295=Lists!$B$7,I295,0)))</f>
        <v/>
      </c>
      <c r="O295" s="53">
        <f>IF(COUNTA(A295:K295)=0,"",IF(OR(A295="",B295="",C295="",D295="",E295="",F295="",G295="",NOT(ISNUMBER(I295))),"Incomplete",IF(COUNTIF(Lists!$H$4:$AA$4,C295)=0,"Check category",IF(COUNTIF(INDEX(Lists!$H$6:$AA$45,0,MATCH(C295,Lists!$H$4:$AA$4,0)),D295)=0,"Check sub-category","OK"))))</f>
        <v/>
      </c>
      <c r="P295">
        <f>IF(ISNUMBER(I295),I295+ROW()/10000000,"")</f>
        <v/>
      </c>
      <c r="Q295">
        <f>IF(AND(ISNUMBER(P295),ISNUMBER(A295)),IF(AND(A295&gt;=Dashboard!$Q$3,A295&lt;=Dashboard!$Q$4,OR(J295&lt;&gt;"Yes",Dashboard!$Q$15="Yes")),P295,""),"")</f>
        <v/>
      </c>
    </row>
    <row r="296">
      <c r="A296" s="47" t="n"/>
      <c r="B296" s="48" t="n"/>
      <c r="C296" s="48" t="n"/>
      <c r="D296" s="48" t="n"/>
      <c r="E296" s="48" t="n"/>
      <c r="F296" s="48" t="n"/>
      <c r="G296" s="48" t="n"/>
      <c r="H296" s="48" t="n"/>
      <c r="I296" s="49" t="n"/>
      <c r="J296" s="50" t="n"/>
      <c r="K296" s="48" t="n"/>
      <c r="L296" s="51">
        <f>IF(A296="","",DATE(YEAR(A296),MONTH(A296),1))</f>
        <v/>
      </c>
      <c r="M296" s="52">
        <f>IF(OR(A296="",NOT(ISNUMBER(I296))),"",IF(G296=Lists!$B$5,I296/2,IF(G296=Lists!$B$6,I296,0)))</f>
        <v/>
      </c>
      <c r="N296" s="52">
        <f>IF(OR(A296="",NOT(ISNUMBER(I296))),"",IF(G296=Lists!$B$5,I296/2,IF(G296=Lists!$B$7,I296,0)))</f>
        <v/>
      </c>
      <c r="O296" s="53">
        <f>IF(COUNTA(A296:K296)=0,"",IF(OR(A296="",B296="",C296="",D296="",E296="",F296="",G296="",NOT(ISNUMBER(I296))),"Incomplete",IF(COUNTIF(Lists!$H$4:$AA$4,C296)=0,"Check category",IF(COUNTIF(INDEX(Lists!$H$6:$AA$45,0,MATCH(C296,Lists!$H$4:$AA$4,0)),D296)=0,"Check sub-category","OK"))))</f>
        <v/>
      </c>
      <c r="P296">
        <f>IF(ISNUMBER(I296),I296+ROW()/10000000,"")</f>
        <v/>
      </c>
      <c r="Q296">
        <f>IF(AND(ISNUMBER(P296),ISNUMBER(A296)),IF(AND(A296&gt;=Dashboard!$Q$3,A296&lt;=Dashboard!$Q$4,OR(J296&lt;&gt;"Yes",Dashboard!$Q$15="Yes")),P296,""),"")</f>
        <v/>
      </c>
    </row>
    <row r="297">
      <c r="A297" s="47" t="n"/>
      <c r="B297" s="48" t="n"/>
      <c r="C297" s="48" t="n"/>
      <c r="D297" s="48" t="n"/>
      <c r="E297" s="48" t="n"/>
      <c r="F297" s="48" t="n"/>
      <c r="G297" s="48" t="n"/>
      <c r="H297" s="48" t="n"/>
      <c r="I297" s="49" t="n"/>
      <c r="J297" s="50" t="n"/>
      <c r="K297" s="48" t="n"/>
      <c r="L297" s="51">
        <f>IF(A297="","",DATE(YEAR(A297),MONTH(A297),1))</f>
        <v/>
      </c>
      <c r="M297" s="52">
        <f>IF(OR(A297="",NOT(ISNUMBER(I297))),"",IF(G297=Lists!$B$5,I297/2,IF(G297=Lists!$B$6,I297,0)))</f>
        <v/>
      </c>
      <c r="N297" s="52">
        <f>IF(OR(A297="",NOT(ISNUMBER(I297))),"",IF(G297=Lists!$B$5,I297/2,IF(G297=Lists!$B$7,I297,0)))</f>
        <v/>
      </c>
      <c r="O297" s="53">
        <f>IF(COUNTA(A297:K297)=0,"",IF(OR(A297="",B297="",C297="",D297="",E297="",F297="",G297="",NOT(ISNUMBER(I297))),"Incomplete",IF(COUNTIF(Lists!$H$4:$AA$4,C297)=0,"Check category",IF(COUNTIF(INDEX(Lists!$H$6:$AA$45,0,MATCH(C297,Lists!$H$4:$AA$4,0)),D297)=0,"Check sub-category","OK"))))</f>
        <v/>
      </c>
      <c r="P297">
        <f>IF(ISNUMBER(I297),I297+ROW()/10000000,"")</f>
        <v/>
      </c>
      <c r="Q297">
        <f>IF(AND(ISNUMBER(P297),ISNUMBER(A297)),IF(AND(A297&gt;=Dashboard!$Q$3,A297&lt;=Dashboard!$Q$4,OR(J297&lt;&gt;"Yes",Dashboard!$Q$15="Yes")),P297,""),"")</f>
        <v/>
      </c>
    </row>
    <row r="298">
      <c r="A298" s="47" t="n"/>
      <c r="B298" s="48" t="n"/>
      <c r="C298" s="48" t="n"/>
      <c r="D298" s="48" t="n"/>
      <c r="E298" s="48" t="n"/>
      <c r="F298" s="48" t="n"/>
      <c r="G298" s="48" t="n"/>
      <c r="H298" s="48" t="n"/>
      <c r="I298" s="49" t="n"/>
      <c r="J298" s="50" t="n"/>
      <c r="K298" s="48" t="n"/>
      <c r="L298" s="51">
        <f>IF(A298="","",DATE(YEAR(A298),MONTH(A298),1))</f>
        <v/>
      </c>
      <c r="M298" s="52">
        <f>IF(OR(A298="",NOT(ISNUMBER(I298))),"",IF(G298=Lists!$B$5,I298/2,IF(G298=Lists!$B$6,I298,0)))</f>
        <v/>
      </c>
      <c r="N298" s="52">
        <f>IF(OR(A298="",NOT(ISNUMBER(I298))),"",IF(G298=Lists!$B$5,I298/2,IF(G298=Lists!$B$7,I298,0)))</f>
        <v/>
      </c>
      <c r="O298" s="53">
        <f>IF(COUNTA(A298:K298)=0,"",IF(OR(A298="",B298="",C298="",D298="",E298="",F298="",G298="",NOT(ISNUMBER(I298))),"Incomplete",IF(COUNTIF(Lists!$H$4:$AA$4,C298)=0,"Check category",IF(COUNTIF(INDEX(Lists!$H$6:$AA$45,0,MATCH(C298,Lists!$H$4:$AA$4,0)),D298)=0,"Check sub-category","OK"))))</f>
        <v/>
      </c>
      <c r="P298">
        <f>IF(ISNUMBER(I298),I298+ROW()/10000000,"")</f>
        <v/>
      </c>
      <c r="Q298">
        <f>IF(AND(ISNUMBER(P298),ISNUMBER(A298)),IF(AND(A298&gt;=Dashboard!$Q$3,A298&lt;=Dashboard!$Q$4,OR(J298&lt;&gt;"Yes",Dashboard!$Q$15="Yes")),P298,""),"")</f>
        <v/>
      </c>
    </row>
    <row r="299">
      <c r="A299" s="47" t="n"/>
      <c r="B299" s="48" t="n"/>
      <c r="C299" s="48" t="n"/>
      <c r="D299" s="48" t="n"/>
      <c r="E299" s="48" t="n"/>
      <c r="F299" s="48" t="n"/>
      <c r="G299" s="48" t="n"/>
      <c r="H299" s="48" t="n"/>
      <c r="I299" s="49" t="n"/>
      <c r="J299" s="50" t="n"/>
      <c r="K299" s="48" t="n"/>
      <c r="L299" s="51">
        <f>IF(A299="","",DATE(YEAR(A299),MONTH(A299),1))</f>
        <v/>
      </c>
      <c r="M299" s="52">
        <f>IF(OR(A299="",NOT(ISNUMBER(I299))),"",IF(G299=Lists!$B$5,I299/2,IF(G299=Lists!$B$6,I299,0)))</f>
        <v/>
      </c>
      <c r="N299" s="52">
        <f>IF(OR(A299="",NOT(ISNUMBER(I299))),"",IF(G299=Lists!$B$5,I299/2,IF(G299=Lists!$B$7,I299,0)))</f>
        <v/>
      </c>
      <c r="O299" s="53">
        <f>IF(COUNTA(A299:K299)=0,"",IF(OR(A299="",B299="",C299="",D299="",E299="",F299="",G299="",NOT(ISNUMBER(I299))),"Incomplete",IF(COUNTIF(Lists!$H$4:$AA$4,C299)=0,"Check category",IF(COUNTIF(INDEX(Lists!$H$6:$AA$45,0,MATCH(C299,Lists!$H$4:$AA$4,0)),D299)=0,"Check sub-category","OK"))))</f>
        <v/>
      </c>
      <c r="P299">
        <f>IF(ISNUMBER(I299),I299+ROW()/10000000,"")</f>
        <v/>
      </c>
      <c r="Q299">
        <f>IF(AND(ISNUMBER(P299),ISNUMBER(A299)),IF(AND(A299&gt;=Dashboard!$Q$3,A299&lt;=Dashboard!$Q$4,OR(J299&lt;&gt;"Yes",Dashboard!$Q$15="Yes")),P299,""),"")</f>
        <v/>
      </c>
    </row>
    <row r="300">
      <c r="A300" s="47" t="n"/>
      <c r="B300" s="48" t="n"/>
      <c r="C300" s="48" t="n"/>
      <c r="D300" s="48" t="n"/>
      <c r="E300" s="48" t="n"/>
      <c r="F300" s="48" t="n"/>
      <c r="G300" s="48" t="n"/>
      <c r="H300" s="48" t="n"/>
      <c r="I300" s="49" t="n"/>
      <c r="J300" s="50" t="n"/>
      <c r="K300" s="48" t="n"/>
      <c r="L300" s="51">
        <f>IF(A300="","",DATE(YEAR(A300),MONTH(A300),1))</f>
        <v/>
      </c>
      <c r="M300" s="52">
        <f>IF(OR(A300="",NOT(ISNUMBER(I300))),"",IF(G300=Lists!$B$5,I300/2,IF(G300=Lists!$B$6,I300,0)))</f>
        <v/>
      </c>
      <c r="N300" s="52">
        <f>IF(OR(A300="",NOT(ISNUMBER(I300))),"",IF(G300=Lists!$B$5,I300/2,IF(G300=Lists!$B$7,I300,0)))</f>
        <v/>
      </c>
      <c r="O300" s="53">
        <f>IF(COUNTA(A300:K300)=0,"",IF(OR(A300="",B300="",C300="",D300="",E300="",F300="",G300="",NOT(ISNUMBER(I300))),"Incomplete",IF(COUNTIF(Lists!$H$4:$AA$4,C300)=0,"Check category",IF(COUNTIF(INDEX(Lists!$H$6:$AA$45,0,MATCH(C300,Lists!$H$4:$AA$4,0)),D300)=0,"Check sub-category","OK"))))</f>
        <v/>
      </c>
      <c r="P300">
        <f>IF(ISNUMBER(I300),I300+ROW()/10000000,"")</f>
        <v/>
      </c>
      <c r="Q300">
        <f>IF(AND(ISNUMBER(P300),ISNUMBER(A300)),IF(AND(A300&gt;=Dashboard!$Q$3,A300&lt;=Dashboard!$Q$4,OR(J300&lt;&gt;"Yes",Dashboard!$Q$15="Yes")),P300,""),"")</f>
        <v/>
      </c>
    </row>
    <row r="301">
      <c r="A301" s="47" t="n"/>
      <c r="B301" s="48" t="n"/>
      <c r="C301" s="48" t="n"/>
      <c r="D301" s="48" t="n"/>
      <c r="E301" s="48" t="n"/>
      <c r="F301" s="48" t="n"/>
      <c r="G301" s="48" t="n"/>
      <c r="H301" s="48" t="n"/>
      <c r="I301" s="49" t="n"/>
      <c r="J301" s="50" t="n"/>
      <c r="K301" s="48" t="n"/>
      <c r="L301" s="51">
        <f>IF(A301="","",DATE(YEAR(A301),MONTH(A301),1))</f>
        <v/>
      </c>
      <c r="M301" s="52">
        <f>IF(OR(A301="",NOT(ISNUMBER(I301))),"",IF(G301=Lists!$B$5,I301/2,IF(G301=Lists!$B$6,I301,0)))</f>
        <v/>
      </c>
      <c r="N301" s="52">
        <f>IF(OR(A301="",NOT(ISNUMBER(I301))),"",IF(G301=Lists!$B$5,I301/2,IF(G301=Lists!$B$7,I301,0)))</f>
        <v/>
      </c>
      <c r="O301" s="53">
        <f>IF(COUNTA(A301:K301)=0,"",IF(OR(A301="",B301="",C301="",D301="",E301="",F301="",G301="",NOT(ISNUMBER(I301))),"Incomplete",IF(COUNTIF(Lists!$H$4:$AA$4,C301)=0,"Check category",IF(COUNTIF(INDEX(Lists!$H$6:$AA$45,0,MATCH(C301,Lists!$H$4:$AA$4,0)),D301)=0,"Check sub-category","OK"))))</f>
        <v/>
      </c>
      <c r="P301">
        <f>IF(ISNUMBER(I301),I301+ROW()/10000000,"")</f>
        <v/>
      </c>
      <c r="Q301">
        <f>IF(AND(ISNUMBER(P301),ISNUMBER(A301)),IF(AND(A301&gt;=Dashboard!$Q$3,A301&lt;=Dashboard!$Q$4,OR(J301&lt;&gt;"Yes",Dashboard!$Q$15="Yes")),P301,""),"")</f>
        <v/>
      </c>
    </row>
    <row r="302">
      <c r="A302" s="47" t="n"/>
      <c r="B302" s="48" t="n"/>
      <c r="C302" s="48" t="n"/>
      <c r="D302" s="48" t="n"/>
      <c r="E302" s="48" t="n"/>
      <c r="F302" s="48" t="n"/>
      <c r="G302" s="48" t="n"/>
      <c r="H302" s="48" t="n"/>
      <c r="I302" s="49" t="n"/>
      <c r="J302" s="50" t="n"/>
      <c r="K302" s="48" t="n"/>
      <c r="L302" s="51">
        <f>IF(A302="","",DATE(YEAR(A302),MONTH(A302),1))</f>
        <v/>
      </c>
      <c r="M302" s="52">
        <f>IF(OR(A302="",NOT(ISNUMBER(I302))),"",IF(G302=Lists!$B$5,I302/2,IF(G302=Lists!$B$6,I302,0)))</f>
        <v/>
      </c>
      <c r="N302" s="52">
        <f>IF(OR(A302="",NOT(ISNUMBER(I302))),"",IF(G302=Lists!$B$5,I302/2,IF(G302=Lists!$B$7,I302,0)))</f>
        <v/>
      </c>
      <c r="O302" s="53">
        <f>IF(COUNTA(A302:K302)=0,"",IF(OR(A302="",B302="",C302="",D302="",E302="",F302="",G302="",NOT(ISNUMBER(I302))),"Incomplete",IF(COUNTIF(Lists!$H$4:$AA$4,C302)=0,"Check category",IF(COUNTIF(INDEX(Lists!$H$6:$AA$45,0,MATCH(C302,Lists!$H$4:$AA$4,0)),D302)=0,"Check sub-category","OK"))))</f>
        <v/>
      </c>
      <c r="P302">
        <f>IF(ISNUMBER(I302),I302+ROW()/10000000,"")</f>
        <v/>
      </c>
      <c r="Q302">
        <f>IF(AND(ISNUMBER(P302),ISNUMBER(A302)),IF(AND(A302&gt;=Dashboard!$Q$3,A302&lt;=Dashboard!$Q$4,OR(J302&lt;&gt;"Yes",Dashboard!$Q$15="Yes")),P302,""),"")</f>
        <v/>
      </c>
    </row>
    <row r="303">
      <c r="A303" s="47" t="n"/>
      <c r="B303" s="48" t="n"/>
      <c r="C303" s="48" t="n"/>
      <c r="D303" s="48" t="n"/>
      <c r="E303" s="48" t="n"/>
      <c r="F303" s="48" t="n"/>
      <c r="G303" s="48" t="n"/>
      <c r="H303" s="48" t="n"/>
      <c r="I303" s="49" t="n"/>
      <c r="J303" s="50" t="n"/>
      <c r="K303" s="48" t="n"/>
      <c r="L303" s="51">
        <f>IF(A303="","",DATE(YEAR(A303),MONTH(A303),1))</f>
        <v/>
      </c>
      <c r="M303" s="52">
        <f>IF(OR(A303="",NOT(ISNUMBER(I303))),"",IF(G303=Lists!$B$5,I303/2,IF(G303=Lists!$B$6,I303,0)))</f>
        <v/>
      </c>
      <c r="N303" s="52">
        <f>IF(OR(A303="",NOT(ISNUMBER(I303))),"",IF(G303=Lists!$B$5,I303/2,IF(G303=Lists!$B$7,I303,0)))</f>
        <v/>
      </c>
      <c r="O303" s="53">
        <f>IF(COUNTA(A303:K303)=0,"",IF(OR(A303="",B303="",C303="",D303="",E303="",F303="",G303="",NOT(ISNUMBER(I303))),"Incomplete",IF(COUNTIF(Lists!$H$4:$AA$4,C303)=0,"Check category",IF(COUNTIF(INDEX(Lists!$H$6:$AA$45,0,MATCH(C303,Lists!$H$4:$AA$4,0)),D303)=0,"Check sub-category","OK"))))</f>
        <v/>
      </c>
      <c r="P303">
        <f>IF(ISNUMBER(I303),I303+ROW()/10000000,"")</f>
        <v/>
      </c>
      <c r="Q303">
        <f>IF(AND(ISNUMBER(P303),ISNUMBER(A303)),IF(AND(A303&gt;=Dashboard!$Q$3,A303&lt;=Dashboard!$Q$4,OR(J303&lt;&gt;"Yes",Dashboard!$Q$15="Yes")),P303,""),"")</f>
        <v/>
      </c>
    </row>
    <row r="304">
      <c r="A304" s="47" t="n"/>
      <c r="B304" s="48" t="n"/>
      <c r="C304" s="48" t="n"/>
      <c r="D304" s="48" t="n"/>
      <c r="E304" s="48" t="n"/>
      <c r="F304" s="48" t="n"/>
      <c r="G304" s="48" t="n"/>
      <c r="H304" s="48" t="n"/>
      <c r="I304" s="49" t="n"/>
      <c r="J304" s="50" t="n"/>
      <c r="K304" s="48" t="n"/>
      <c r="L304" s="51">
        <f>IF(A304="","",DATE(YEAR(A304),MONTH(A304),1))</f>
        <v/>
      </c>
      <c r="M304" s="52">
        <f>IF(OR(A304="",NOT(ISNUMBER(I304))),"",IF(G304=Lists!$B$5,I304/2,IF(G304=Lists!$B$6,I304,0)))</f>
        <v/>
      </c>
      <c r="N304" s="52">
        <f>IF(OR(A304="",NOT(ISNUMBER(I304))),"",IF(G304=Lists!$B$5,I304/2,IF(G304=Lists!$B$7,I304,0)))</f>
        <v/>
      </c>
      <c r="O304" s="53">
        <f>IF(COUNTA(A304:K304)=0,"",IF(OR(A304="",B304="",C304="",D304="",E304="",F304="",G304="",NOT(ISNUMBER(I304))),"Incomplete",IF(COUNTIF(Lists!$H$4:$AA$4,C304)=0,"Check category",IF(COUNTIF(INDEX(Lists!$H$6:$AA$45,0,MATCH(C304,Lists!$H$4:$AA$4,0)),D304)=0,"Check sub-category","OK"))))</f>
        <v/>
      </c>
      <c r="P304">
        <f>IF(ISNUMBER(I304),I304+ROW()/10000000,"")</f>
        <v/>
      </c>
      <c r="Q304">
        <f>IF(AND(ISNUMBER(P304),ISNUMBER(A304)),IF(AND(A304&gt;=Dashboard!$Q$3,A304&lt;=Dashboard!$Q$4,OR(J304&lt;&gt;"Yes",Dashboard!$Q$15="Yes")),P304,""),"")</f>
        <v/>
      </c>
    </row>
    <row r="305">
      <c r="A305" s="47" t="n"/>
      <c r="B305" s="48" t="n"/>
      <c r="C305" s="48" t="n"/>
      <c r="D305" s="48" t="n"/>
      <c r="E305" s="48" t="n"/>
      <c r="F305" s="48" t="n"/>
      <c r="G305" s="48" t="n"/>
      <c r="H305" s="48" t="n"/>
      <c r="I305" s="49" t="n"/>
      <c r="J305" s="50" t="n"/>
      <c r="K305" s="48" t="n"/>
      <c r="L305" s="51">
        <f>IF(A305="","",DATE(YEAR(A305),MONTH(A305),1))</f>
        <v/>
      </c>
      <c r="M305" s="52">
        <f>IF(OR(A305="",NOT(ISNUMBER(I305))),"",IF(G305=Lists!$B$5,I305/2,IF(G305=Lists!$B$6,I305,0)))</f>
        <v/>
      </c>
      <c r="N305" s="52">
        <f>IF(OR(A305="",NOT(ISNUMBER(I305))),"",IF(G305=Lists!$B$5,I305/2,IF(G305=Lists!$B$7,I305,0)))</f>
        <v/>
      </c>
      <c r="O305" s="53">
        <f>IF(COUNTA(A305:K305)=0,"",IF(OR(A305="",B305="",C305="",D305="",E305="",F305="",G305="",NOT(ISNUMBER(I305))),"Incomplete",IF(COUNTIF(Lists!$H$4:$AA$4,C305)=0,"Check category",IF(COUNTIF(INDEX(Lists!$H$6:$AA$45,0,MATCH(C305,Lists!$H$4:$AA$4,0)),D305)=0,"Check sub-category","OK"))))</f>
        <v/>
      </c>
      <c r="P305">
        <f>IF(ISNUMBER(I305),I305+ROW()/10000000,"")</f>
        <v/>
      </c>
      <c r="Q305">
        <f>IF(AND(ISNUMBER(P305),ISNUMBER(A305)),IF(AND(A305&gt;=Dashboard!$Q$3,A305&lt;=Dashboard!$Q$4,OR(J305&lt;&gt;"Yes",Dashboard!$Q$15="Yes")),P305,""),"")</f>
        <v/>
      </c>
    </row>
    <row r="306">
      <c r="A306" s="47" t="n"/>
      <c r="B306" s="48" t="n"/>
      <c r="C306" s="48" t="n"/>
      <c r="D306" s="48" t="n"/>
      <c r="E306" s="48" t="n"/>
      <c r="F306" s="48" t="n"/>
      <c r="G306" s="48" t="n"/>
      <c r="H306" s="48" t="n"/>
      <c r="I306" s="49" t="n"/>
      <c r="J306" s="50" t="n"/>
      <c r="K306" s="48" t="n"/>
      <c r="L306" s="51">
        <f>IF(A306="","",DATE(YEAR(A306),MONTH(A306),1))</f>
        <v/>
      </c>
      <c r="M306" s="52">
        <f>IF(OR(A306="",NOT(ISNUMBER(I306))),"",IF(G306=Lists!$B$5,I306/2,IF(G306=Lists!$B$6,I306,0)))</f>
        <v/>
      </c>
      <c r="N306" s="52">
        <f>IF(OR(A306="",NOT(ISNUMBER(I306))),"",IF(G306=Lists!$B$5,I306/2,IF(G306=Lists!$B$7,I306,0)))</f>
        <v/>
      </c>
      <c r="O306" s="53">
        <f>IF(COUNTA(A306:K306)=0,"",IF(OR(A306="",B306="",C306="",D306="",E306="",F306="",G306="",NOT(ISNUMBER(I306))),"Incomplete",IF(COUNTIF(Lists!$H$4:$AA$4,C306)=0,"Check category",IF(COUNTIF(INDEX(Lists!$H$6:$AA$45,0,MATCH(C306,Lists!$H$4:$AA$4,0)),D306)=0,"Check sub-category","OK"))))</f>
        <v/>
      </c>
      <c r="P306">
        <f>IF(ISNUMBER(I306),I306+ROW()/10000000,"")</f>
        <v/>
      </c>
      <c r="Q306">
        <f>IF(AND(ISNUMBER(P306),ISNUMBER(A306)),IF(AND(A306&gt;=Dashboard!$Q$3,A306&lt;=Dashboard!$Q$4,OR(J306&lt;&gt;"Yes",Dashboard!$Q$15="Yes")),P306,""),"")</f>
        <v/>
      </c>
    </row>
    <row r="307">
      <c r="A307" s="47" t="n"/>
      <c r="B307" s="48" t="n"/>
      <c r="C307" s="48" t="n"/>
      <c r="D307" s="48" t="n"/>
      <c r="E307" s="48" t="n"/>
      <c r="F307" s="48" t="n"/>
      <c r="G307" s="48" t="n"/>
      <c r="H307" s="48" t="n"/>
      <c r="I307" s="49" t="n"/>
      <c r="J307" s="50" t="n"/>
      <c r="K307" s="48" t="n"/>
      <c r="L307" s="51">
        <f>IF(A307="","",DATE(YEAR(A307),MONTH(A307),1))</f>
        <v/>
      </c>
      <c r="M307" s="52">
        <f>IF(OR(A307="",NOT(ISNUMBER(I307))),"",IF(G307=Lists!$B$5,I307/2,IF(G307=Lists!$B$6,I307,0)))</f>
        <v/>
      </c>
      <c r="N307" s="52">
        <f>IF(OR(A307="",NOT(ISNUMBER(I307))),"",IF(G307=Lists!$B$5,I307/2,IF(G307=Lists!$B$7,I307,0)))</f>
        <v/>
      </c>
      <c r="O307" s="53">
        <f>IF(COUNTA(A307:K307)=0,"",IF(OR(A307="",B307="",C307="",D307="",E307="",F307="",G307="",NOT(ISNUMBER(I307))),"Incomplete",IF(COUNTIF(Lists!$H$4:$AA$4,C307)=0,"Check category",IF(COUNTIF(INDEX(Lists!$H$6:$AA$45,0,MATCH(C307,Lists!$H$4:$AA$4,0)),D307)=0,"Check sub-category","OK"))))</f>
        <v/>
      </c>
      <c r="P307">
        <f>IF(ISNUMBER(I307),I307+ROW()/10000000,"")</f>
        <v/>
      </c>
      <c r="Q307">
        <f>IF(AND(ISNUMBER(P307),ISNUMBER(A307)),IF(AND(A307&gt;=Dashboard!$Q$3,A307&lt;=Dashboard!$Q$4,OR(J307&lt;&gt;"Yes",Dashboard!$Q$15="Yes")),P307,""),"")</f>
        <v/>
      </c>
    </row>
    <row r="308">
      <c r="A308" s="47" t="n"/>
      <c r="B308" s="48" t="n"/>
      <c r="C308" s="48" t="n"/>
      <c r="D308" s="48" t="n"/>
      <c r="E308" s="48" t="n"/>
      <c r="F308" s="48" t="n"/>
      <c r="G308" s="48" t="n"/>
      <c r="H308" s="48" t="n"/>
      <c r="I308" s="49" t="n"/>
      <c r="J308" s="50" t="n"/>
      <c r="K308" s="48" t="n"/>
      <c r="L308" s="51">
        <f>IF(A308="","",DATE(YEAR(A308),MONTH(A308),1))</f>
        <v/>
      </c>
      <c r="M308" s="52">
        <f>IF(OR(A308="",NOT(ISNUMBER(I308))),"",IF(G308=Lists!$B$5,I308/2,IF(G308=Lists!$B$6,I308,0)))</f>
        <v/>
      </c>
      <c r="N308" s="52">
        <f>IF(OR(A308="",NOT(ISNUMBER(I308))),"",IF(G308=Lists!$B$5,I308/2,IF(G308=Lists!$B$7,I308,0)))</f>
        <v/>
      </c>
      <c r="O308" s="53">
        <f>IF(COUNTA(A308:K308)=0,"",IF(OR(A308="",B308="",C308="",D308="",E308="",F308="",G308="",NOT(ISNUMBER(I308))),"Incomplete",IF(COUNTIF(Lists!$H$4:$AA$4,C308)=0,"Check category",IF(COUNTIF(INDEX(Lists!$H$6:$AA$45,0,MATCH(C308,Lists!$H$4:$AA$4,0)),D308)=0,"Check sub-category","OK"))))</f>
        <v/>
      </c>
      <c r="P308">
        <f>IF(ISNUMBER(I308),I308+ROW()/10000000,"")</f>
        <v/>
      </c>
      <c r="Q308">
        <f>IF(AND(ISNUMBER(P308),ISNUMBER(A308)),IF(AND(A308&gt;=Dashboard!$Q$3,A308&lt;=Dashboard!$Q$4,OR(J308&lt;&gt;"Yes",Dashboard!$Q$15="Yes")),P308,""),"")</f>
        <v/>
      </c>
    </row>
    <row r="309">
      <c r="A309" s="47" t="n"/>
      <c r="B309" s="48" t="n"/>
      <c r="C309" s="48" t="n"/>
      <c r="D309" s="48" t="n"/>
      <c r="E309" s="48" t="n"/>
      <c r="F309" s="48" t="n"/>
      <c r="G309" s="48" t="n"/>
      <c r="H309" s="48" t="n"/>
      <c r="I309" s="49" t="n"/>
      <c r="J309" s="50" t="n"/>
      <c r="K309" s="48" t="n"/>
      <c r="L309" s="51">
        <f>IF(A309="","",DATE(YEAR(A309),MONTH(A309),1))</f>
        <v/>
      </c>
      <c r="M309" s="52">
        <f>IF(OR(A309="",NOT(ISNUMBER(I309))),"",IF(G309=Lists!$B$5,I309/2,IF(G309=Lists!$B$6,I309,0)))</f>
        <v/>
      </c>
      <c r="N309" s="52">
        <f>IF(OR(A309="",NOT(ISNUMBER(I309))),"",IF(G309=Lists!$B$5,I309/2,IF(G309=Lists!$B$7,I309,0)))</f>
        <v/>
      </c>
      <c r="O309" s="53">
        <f>IF(COUNTA(A309:K309)=0,"",IF(OR(A309="",B309="",C309="",D309="",E309="",F309="",G309="",NOT(ISNUMBER(I309))),"Incomplete",IF(COUNTIF(Lists!$H$4:$AA$4,C309)=0,"Check category",IF(COUNTIF(INDEX(Lists!$H$6:$AA$45,0,MATCH(C309,Lists!$H$4:$AA$4,0)),D309)=0,"Check sub-category","OK"))))</f>
        <v/>
      </c>
      <c r="P309">
        <f>IF(ISNUMBER(I309),I309+ROW()/10000000,"")</f>
        <v/>
      </c>
      <c r="Q309">
        <f>IF(AND(ISNUMBER(P309),ISNUMBER(A309)),IF(AND(A309&gt;=Dashboard!$Q$3,A309&lt;=Dashboard!$Q$4,OR(J309&lt;&gt;"Yes",Dashboard!$Q$15="Yes")),P309,""),"")</f>
        <v/>
      </c>
    </row>
    <row r="310">
      <c r="A310" s="47" t="n"/>
      <c r="B310" s="48" t="n"/>
      <c r="C310" s="48" t="n"/>
      <c r="D310" s="48" t="n"/>
      <c r="E310" s="48" t="n"/>
      <c r="F310" s="48" t="n"/>
      <c r="G310" s="48" t="n"/>
      <c r="H310" s="48" t="n"/>
      <c r="I310" s="49" t="n"/>
      <c r="J310" s="50" t="n"/>
      <c r="K310" s="48" t="n"/>
      <c r="L310" s="51">
        <f>IF(A310="","",DATE(YEAR(A310),MONTH(A310),1))</f>
        <v/>
      </c>
      <c r="M310" s="52">
        <f>IF(OR(A310="",NOT(ISNUMBER(I310))),"",IF(G310=Lists!$B$5,I310/2,IF(G310=Lists!$B$6,I310,0)))</f>
        <v/>
      </c>
      <c r="N310" s="52">
        <f>IF(OR(A310="",NOT(ISNUMBER(I310))),"",IF(G310=Lists!$B$5,I310/2,IF(G310=Lists!$B$7,I310,0)))</f>
        <v/>
      </c>
      <c r="O310" s="53">
        <f>IF(COUNTA(A310:K310)=0,"",IF(OR(A310="",B310="",C310="",D310="",E310="",F310="",G310="",NOT(ISNUMBER(I310))),"Incomplete",IF(COUNTIF(Lists!$H$4:$AA$4,C310)=0,"Check category",IF(COUNTIF(INDEX(Lists!$H$6:$AA$45,0,MATCH(C310,Lists!$H$4:$AA$4,0)),D310)=0,"Check sub-category","OK"))))</f>
        <v/>
      </c>
      <c r="P310">
        <f>IF(ISNUMBER(I310),I310+ROW()/10000000,"")</f>
        <v/>
      </c>
      <c r="Q310">
        <f>IF(AND(ISNUMBER(P310),ISNUMBER(A310)),IF(AND(A310&gt;=Dashboard!$Q$3,A310&lt;=Dashboard!$Q$4,OR(J310&lt;&gt;"Yes",Dashboard!$Q$15="Yes")),P310,""),"")</f>
        <v/>
      </c>
    </row>
    <row r="311">
      <c r="A311" s="47" t="n"/>
      <c r="B311" s="48" t="n"/>
      <c r="C311" s="48" t="n"/>
      <c r="D311" s="48" t="n"/>
      <c r="E311" s="48" t="n"/>
      <c r="F311" s="48" t="n"/>
      <c r="G311" s="48" t="n"/>
      <c r="H311" s="48" t="n"/>
      <c r="I311" s="49" t="n"/>
      <c r="J311" s="50" t="n"/>
      <c r="K311" s="48" t="n"/>
      <c r="L311" s="51">
        <f>IF(A311="","",DATE(YEAR(A311),MONTH(A311),1))</f>
        <v/>
      </c>
      <c r="M311" s="52">
        <f>IF(OR(A311="",NOT(ISNUMBER(I311))),"",IF(G311=Lists!$B$5,I311/2,IF(G311=Lists!$B$6,I311,0)))</f>
        <v/>
      </c>
      <c r="N311" s="52">
        <f>IF(OR(A311="",NOT(ISNUMBER(I311))),"",IF(G311=Lists!$B$5,I311/2,IF(G311=Lists!$B$7,I311,0)))</f>
        <v/>
      </c>
      <c r="O311" s="53">
        <f>IF(COUNTA(A311:K311)=0,"",IF(OR(A311="",B311="",C311="",D311="",E311="",F311="",G311="",NOT(ISNUMBER(I311))),"Incomplete",IF(COUNTIF(Lists!$H$4:$AA$4,C311)=0,"Check category",IF(COUNTIF(INDEX(Lists!$H$6:$AA$45,0,MATCH(C311,Lists!$H$4:$AA$4,0)),D311)=0,"Check sub-category","OK"))))</f>
        <v/>
      </c>
      <c r="P311">
        <f>IF(ISNUMBER(I311),I311+ROW()/10000000,"")</f>
        <v/>
      </c>
      <c r="Q311">
        <f>IF(AND(ISNUMBER(P311),ISNUMBER(A311)),IF(AND(A311&gt;=Dashboard!$Q$3,A311&lt;=Dashboard!$Q$4,OR(J311&lt;&gt;"Yes",Dashboard!$Q$15="Yes")),P311,""),"")</f>
        <v/>
      </c>
    </row>
    <row r="312">
      <c r="A312" s="47" t="n"/>
      <c r="B312" s="48" t="n"/>
      <c r="C312" s="48" t="n"/>
      <c r="D312" s="48" t="n"/>
      <c r="E312" s="48" t="n"/>
      <c r="F312" s="48" t="n"/>
      <c r="G312" s="48" t="n"/>
      <c r="H312" s="48" t="n"/>
      <c r="I312" s="49" t="n"/>
      <c r="J312" s="50" t="n"/>
      <c r="K312" s="48" t="n"/>
      <c r="L312" s="51">
        <f>IF(A312="","",DATE(YEAR(A312),MONTH(A312),1))</f>
        <v/>
      </c>
      <c r="M312" s="52">
        <f>IF(OR(A312="",NOT(ISNUMBER(I312))),"",IF(G312=Lists!$B$5,I312/2,IF(G312=Lists!$B$6,I312,0)))</f>
        <v/>
      </c>
      <c r="N312" s="52">
        <f>IF(OR(A312="",NOT(ISNUMBER(I312))),"",IF(G312=Lists!$B$5,I312/2,IF(G312=Lists!$B$7,I312,0)))</f>
        <v/>
      </c>
      <c r="O312" s="53">
        <f>IF(COUNTA(A312:K312)=0,"",IF(OR(A312="",B312="",C312="",D312="",E312="",F312="",G312="",NOT(ISNUMBER(I312))),"Incomplete",IF(COUNTIF(Lists!$H$4:$AA$4,C312)=0,"Check category",IF(COUNTIF(INDEX(Lists!$H$6:$AA$45,0,MATCH(C312,Lists!$H$4:$AA$4,0)),D312)=0,"Check sub-category","OK"))))</f>
        <v/>
      </c>
      <c r="P312">
        <f>IF(ISNUMBER(I312),I312+ROW()/10000000,"")</f>
        <v/>
      </c>
      <c r="Q312">
        <f>IF(AND(ISNUMBER(P312),ISNUMBER(A312)),IF(AND(A312&gt;=Dashboard!$Q$3,A312&lt;=Dashboard!$Q$4,OR(J312&lt;&gt;"Yes",Dashboard!$Q$15="Yes")),P312,""),"")</f>
        <v/>
      </c>
    </row>
    <row r="313">
      <c r="A313" s="47" t="n"/>
      <c r="B313" s="48" t="n"/>
      <c r="C313" s="48" t="n"/>
      <c r="D313" s="48" t="n"/>
      <c r="E313" s="48" t="n"/>
      <c r="F313" s="48" t="n"/>
      <c r="G313" s="48" t="n"/>
      <c r="H313" s="48" t="n"/>
      <c r="I313" s="49" t="n"/>
      <c r="J313" s="50" t="n"/>
      <c r="K313" s="48" t="n"/>
      <c r="L313" s="51">
        <f>IF(A313="","",DATE(YEAR(A313),MONTH(A313),1))</f>
        <v/>
      </c>
      <c r="M313" s="52">
        <f>IF(OR(A313="",NOT(ISNUMBER(I313))),"",IF(G313=Lists!$B$5,I313/2,IF(G313=Lists!$B$6,I313,0)))</f>
        <v/>
      </c>
      <c r="N313" s="52">
        <f>IF(OR(A313="",NOT(ISNUMBER(I313))),"",IF(G313=Lists!$B$5,I313/2,IF(G313=Lists!$B$7,I313,0)))</f>
        <v/>
      </c>
      <c r="O313" s="53">
        <f>IF(COUNTA(A313:K313)=0,"",IF(OR(A313="",B313="",C313="",D313="",E313="",F313="",G313="",NOT(ISNUMBER(I313))),"Incomplete",IF(COUNTIF(Lists!$H$4:$AA$4,C313)=0,"Check category",IF(COUNTIF(INDEX(Lists!$H$6:$AA$45,0,MATCH(C313,Lists!$H$4:$AA$4,0)),D313)=0,"Check sub-category","OK"))))</f>
        <v/>
      </c>
      <c r="P313">
        <f>IF(ISNUMBER(I313),I313+ROW()/10000000,"")</f>
        <v/>
      </c>
      <c r="Q313">
        <f>IF(AND(ISNUMBER(P313),ISNUMBER(A313)),IF(AND(A313&gt;=Dashboard!$Q$3,A313&lt;=Dashboard!$Q$4,OR(J313&lt;&gt;"Yes",Dashboard!$Q$15="Yes")),P313,""),"")</f>
        <v/>
      </c>
    </row>
    <row r="314">
      <c r="A314" s="47" t="n"/>
      <c r="B314" s="48" t="n"/>
      <c r="C314" s="48" t="n"/>
      <c r="D314" s="48" t="n"/>
      <c r="E314" s="48" t="n"/>
      <c r="F314" s="48" t="n"/>
      <c r="G314" s="48" t="n"/>
      <c r="H314" s="48" t="n"/>
      <c r="I314" s="49" t="n"/>
      <c r="J314" s="50" t="n"/>
      <c r="K314" s="48" t="n"/>
      <c r="L314" s="51">
        <f>IF(A314="","",DATE(YEAR(A314),MONTH(A314),1))</f>
        <v/>
      </c>
      <c r="M314" s="52">
        <f>IF(OR(A314="",NOT(ISNUMBER(I314))),"",IF(G314=Lists!$B$5,I314/2,IF(G314=Lists!$B$6,I314,0)))</f>
        <v/>
      </c>
      <c r="N314" s="52">
        <f>IF(OR(A314="",NOT(ISNUMBER(I314))),"",IF(G314=Lists!$B$5,I314/2,IF(G314=Lists!$B$7,I314,0)))</f>
        <v/>
      </c>
      <c r="O314" s="53">
        <f>IF(COUNTA(A314:K314)=0,"",IF(OR(A314="",B314="",C314="",D314="",E314="",F314="",G314="",NOT(ISNUMBER(I314))),"Incomplete",IF(COUNTIF(Lists!$H$4:$AA$4,C314)=0,"Check category",IF(COUNTIF(INDEX(Lists!$H$6:$AA$45,0,MATCH(C314,Lists!$H$4:$AA$4,0)),D314)=0,"Check sub-category","OK"))))</f>
        <v/>
      </c>
      <c r="P314">
        <f>IF(ISNUMBER(I314),I314+ROW()/10000000,"")</f>
        <v/>
      </c>
      <c r="Q314">
        <f>IF(AND(ISNUMBER(P314),ISNUMBER(A314)),IF(AND(A314&gt;=Dashboard!$Q$3,A314&lt;=Dashboard!$Q$4,OR(J314&lt;&gt;"Yes",Dashboard!$Q$15="Yes")),P314,""),"")</f>
        <v/>
      </c>
    </row>
    <row r="315">
      <c r="A315" s="47" t="n"/>
      <c r="B315" s="48" t="n"/>
      <c r="C315" s="48" t="n"/>
      <c r="D315" s="48" t="n"/>
      <c r="E315" s="48" t="n"/>
      <c r="F315" s="48" t="n"/>
      <c r="G315" s="48" t="n"/>
      <c r="H315" s="48" t="n"/>
      <c r="I315" s="49" t="n"/>
      <c r="J315" s="50" t="n"/>
      <c r="K315" s="48" t="n"/>
      <c r="L315" s="51">
        <f>IF(A315="","",DATE(YEAR(A315),MONTH(A315),1))</f>
        <v/>
      </c>
      <c r="M315" s="52">
        <f>IF(OR(A315="",NOT(ISNUMBER(I315))),"",IF(G315=Lists!$B$5,I315/2,IF(G315=Lists!$B$6,I315,0)))</f>
        <v/>
      </c>
      <c r="N315" s="52">
        <f>IF(OR(A315="",NOT(ISNUMBER(I315))),"",IF(G315=Lists!$B$5,I315/2,IF(G315=Lists!$B$7,I315,0)))</f>
        <v/>
      </c>
      <c r="O315" s="53">
        <f>IF(COUNTA(A315:K315)=0,"",IF(OR(A315="",B315="",C315="",D315="",E315="",F315="",G315="",NOT(ISNUMBER(I315))),"Incomplete",IF(COUNTIF(Lists!$H$4:$AA$4,C315)=0,"Check category",IF(COUNTIF(INDEX(Lists!$H$6:$AA$45,0,MATCH(C315,Lists!$H$4:$AA$4,0)),D315)=0,"Check sub-category","OK"))))</f>
        <v/>
      </c>
      <c r="P315">
        <f>IF(ISNUMBER(I315),I315+ROW()/10000000,"")</f>
        <v/>
      </c>
      <c r="Q315">
        <f>IF(AND(ISNUMBER(P315),ISNUMBER(A315)),IF(AND(A315&gt;=Dashboard!$Q$3,A315&lt;=Dashboard!$Q$4,OR(J315&lt;&gt;"Yes",Dashboard!$Q$15="Yes")),P315,""),"")</f>
        <v/>
      </c>
    </row>
    <row r="316">
      <c r="A316" s="47" t="n"/>
      <c r="B316" s="48" t="n"/>
      <c r="C316" s="48" t="n"/>
      <c r="D316" s="48" t="n"/>
      <c r="E316" s="48" t="n"/>
      <c r="F316" s="48" t="n"/>
      <c r="G316" s="48" t="n"/>
      <c r="H316" s="48" t="n"/>
      <c r="I316" s="49" t="n"/>
      <c r="J316" s="50" t="n"/>
      <c r="K316" s="48" t="n"/>
      <c r="L316" s="51">
        <f>IF(A316="","",DATE(YEAR(A316),MONTH(A316),1))</f>
        <v/>
      </c>
      <c r="M316" s="52">
        <f>IF(OR(A316="",NOT(ISNUMBER(I316))),"",IF(G316=Lists!$B$5,I316/2,IF(G316=Lists!$B$6,I316,0)))</f>
        <v/>
      </c>
      <c r="N316" s="52">
        <f>IF(OR(A316="",NOT(ISNUMBER(I316))),"",IF(G316=Lists!$B$5,I316/2,IF(G316=Lists!$B$7,I316,0)))</f>
        <v/>
      </c>
      <c r="O316" s="53">
        <f>IF(COUNTA(A316:K316)=0,"",IF(OR(A316="",B316="",C316="",D316="",E316="",F316="",G316="",NOT(ISNUMBER(I316))),"Incomplete",IF(COUNTIF(Lists!$H$4:$AA$4,C316)=0,"Check category",IF(COUNTIF(INDEX(Lists!$H$6:$AA$45,0,MATCH(C316,Lists!$H$4:$AA$4,0)),D316)=0,"Check sub-category","OK"))))</f>
        <v/>
      </c>
      <c r="P316">
        <f>IF(ISNUMBER(I316),I316+ROW()/10000000,"")</f>
        <v/>
      </c>
      <c r="Q316">
        <f>IF(AND(ISNUMBER(P316),ISNUMBER(A316)),IF(AND(A316&gt;=Dashboard!$Q$3,A316&lt;=Dashboard!$Q$4,OR(J316&lt;&gt;"Yes",Dashboard!$Q$15="Yes")),P316,""),"")</f>
        <v/>
      </c>
    </row>
    <row r="317">
      <c r="A317" s="47" t="n"/>
      <c r="B317" s="48" t="n"/>
      <c r="C317" s="48" t="n"/>
      <c r="D317" s="48" t="n"/>
      <c r="E317" s="48" t="n"/>
      <c r="F317" s="48" t="n"/>
      <c r="G317" s="48" t="n"/>
      <c r="H317" s="48" t="n"/>
      <c r="I317" s="49" t="n"/>
      <c r="J317" s="50" t="n"/>
      <c r="K317" s="48" t="n"/>
      <c r="L317" s="51">
        <f>IF(A317="","",DATE(YEAR(A317),MONTH(A317),1))</f>
        <v/>
      </c>
      <c r="M317" s="52">
        <f>IF(OR(A317="",NOT(ISNUMBER(I317))),"",IF(G317=Lists!$B$5,I317/2,IF(G317=Lists!$B$6,I317,0)))</f>
        <v/>
      </c>
      <c r="N317" s="52">
        <f>IF(OR(A317="",NOT(ISNUMBER(I317))),"",IF(G317=Lists!$B$5,I317/2,IF(G317=Lists!$B$7,I317,0)))</f>
        <v/>
      </c>
      <c r="O317" s="53">
        <f>IF(COUNTA(A317:K317)=0,"",IF(OR(A317="",B317="",C317="",D317="",E317="",F317="",G317="",NOT(ISNUMBER(I317))),"Incomplete",IF(COUNTIF(Lists!$H$4:$AA$4,C317)=0,"Check category",IF(COUNTIF(INDEX(Lists!$H$6:$AA$45,0,MATCH(C317,Lists!$H$4:$AA$4,0)),D317)=0,"Check sub-category","OK"))))</f>
        <v/>
      </c>
      <c r="P317">
        <f>IF(ISNUMBER(I317),I317+ROW()/10000000,"")</f>
        <v/>
      </c>
      <c r="Q317">
        <f>IF(AND(ISNUMBER(P317),ISNUMBER(A317)),IF(AND(A317&gt;=Dashboard!$Q$3,A317&lt;=Dashboard!$Q$4,OR(J317&lt;&gt;"Yes",Dashboard!$Q$15="Yes")),P317,""),"")</f>
        <v/>
      </c>
    </row>
    <row r="318">
      <c r="A318" s="47" t="n"/>
      <c r="B318" s="48" t="n"/>
      <c r="C318" s="48" t="n"/>
      <c r="D318" s="48" t="n"/>
      <c r="E318" s="48" t="n"/>
      <c r="F318" s="48" t="n"/>
      <c r="G318" s="48" t="n"/>
      <c r="H318" s="48" t="n"/>
      <c r="I318" s="49" t="n"/>
      <c r="J318" s="50" t="n"/>
      <c r="K318" s="48" t="n"/>
      <c r="L318" s="51">
        <f>IF(A318="","",DATE(YEAR(A318),MONTH(A318),1))</f>
        <v/>
      </c>
      <c r="M318" s="52">
        <f>IF(OR(A318="",NOT(ISNUMBER(I318))),"",IF(G318=Lists!$B$5,I318/2,IF(G318=Lists!$B$6,I318,0)))</f>
        <v/>
      </c>
      <c r="N318" s="52">
        <f>IF(OR(A318="",NOT(ISNUMBER(I318))),"",IF(G318=Lists!$B$5,I318/2,IF(G318=Lists!$B$7,I318,0)))</f>
        <v/>
      </c>
      <c r="O318" s="53">
        <f>IF(COUNTA(A318:K318)=0,"",IF(OR(A318="",B318="",C318="",D318="",E318="",F318="",G318="",NOT(ISNUMBER(I318))),"Incomplete",IF(COUNTIF(Lists!$H$4:$AA$4,C318)=0,"Check category",IF(COUNTIF(INDEX(Lists!$H$6:$AA$45,0,MATCH(C318,Lists!$H$4:$AA$4,0)),D318)=0,"Check sub-category","OK"))))</f>
        <v/>
      </c>
      <c r="P318">
        <f>IF(ISNUMBER(I318),I318+ROW()/10000000,"")</f>
        <v/>
      </c>
      <c r="Q318">
        <f>IF(AND(ISNUMBER(P318),ISNUMBER(A318)),IF(AND(A318&gt;=Dashboard!$Q$3,A318&lt;=Dashboard!$Q$4,OR(J318&lt;&gt;"Yes",Dashboard!$Q$15="Yes")),P318,""),"")</f>
        <v/>
      </c>
    </row>
    <row r="319">
      <c r="A319" s="47" t="n"/>
      <c r="B319" s="48" t="n"/>
      <c r="C319" s="48" t="n"/>
      <c r="D319" s="48" t="n"/>
      <c r="E319" s="48" t="n"/>
      <c r="F319" s="48" t="n"/>
      <c r="G319" s="48" t="n"/>
      <c r="H319" s="48" t="n"/>
      <c r="I319" s="49" t="n"/>
      <c r="J319" s="50" t="n"/>
      <c r="K319" s="48" t="n"/>
      <c r="L319" s="51">
        <f>IF(A319="","",DATE(YEAR(A319),MONTH(A319),1))</f>
        <v/>
      </c>
      <c r="M319" s="52">
        <f>IF(OR(A319="",NOT(ISNUMBER(I319))),"",IF(G319=Lists!$B$5,I319/2,IF(G319=Lists!$B$6,I319,0)))</f>
        <v/>
      </c>
      <c r="N319" s="52">
        <f>IF(OR(A319="",NOT(ISNUMBER(I319))),"",IF(G319=Lists!$B$5,I319/2,IF(G319=Lists!$B$7,I319,0)))</f>
        <v/>
      </c>
      <c r="O319" s="53">
        <f>IF(COUNTA(A319:K319)=0,"",IF(OR(A319="",B319="",C319="",D319="",E319="",F319="",G319="",NOT(ISNUMBER(I319))),"Incomplete",IF(COUNTIF(Lists!$H$4:$AA$4,C319)=0,"Check category",IF(COUNTIF(INDEX(Lists!$H$6:$AA$45,0,MATCH(C319,Lists!$H$4:$AA$4,0)),D319)=0,"Check sub-category","OK"))))</f>
        <v/>
      </c>
      <c r="P319">
        <f>IF(ISNUMBER(I319),I319+ROW()/10000000,"")</f>
        <v/>
      </c>
      <c r="Q319">
        <f>IF(AND(ISNUMBER(P319),ISNUMBER(A319)),IF(AND(A319&gt;=Dashboard!$Q$3,A319&lt;=Dashboard!$Q$4,OR(J319&lt;&gt;"Yes",Dashboard!$Q$15="Yes")),P319,""),"")</f>
        <v/>
      </c>
    </row>
    <row r="320">
      <c r="A320" s="47" t="n"/>
      <c r="B320" s="48" t="n"/>
      <c r="C320" s="48" t="n"/>
      <c r="D320" s="48" t="n"/>
      <c r="E320" s="48" t="n"/>
      <c r="F320" s="48" t="n"/>
      <c r="G320" s="48" t="n"/>
      <c r="H320" s="48" t="n"/>
      <c r="I320" s="49" t="n"/>
      <c r="J320" s="50" t="n"/>
      <c r="K320" s="48" t="n"/>
      <c r="L320" s="51">
        <f>IF(A320="","",DATE(YEAR(A320),MONTH(A320),1))</f>
        <v/>
      </c>
      <c r="M320" s="52">
        <f>IF(OR(A320="",NOT(ISNUMBER(I320))),"",IF(G320=Lists!$B$5,I320/2,IF(G320=Lists!$B$6,I320,0)))</f>
        <v/>
      </c>
      <c r="N320" s="52">
        <f>IF(OR(A320="",NOT(ISNUMBER(I320))),"",IF(G320=Lists!$B$5,I320/2,IF(G320=Lists!$B$7,I320,0)))</f>
        <v/>
      </c>
      <c r="O320" s="53">
        <f>IF(COUNTA(A320:K320)=0,"",IF(OR(A320="",B320="",C320="",D320="",E320="",F320="",G320="",NOT(ISNUMBER(I320))),"Incomplete",IF(COUNTIF(Lists!$H$4:$AA$4,C320)=0,"Check category",IF(COUNTIF(INDEX(Lists!$H$6:$AA$45,0,MATCH(C320,Lists!$H$4:$AA$4,0)),D320)=0,"Check sub-category","OK"))))</f>
        <v/>
      </c>
      <c r="P320">
        <f>IF(ISNUMBER(I320),I320+ROW()/10000000,"")</f>
        <v/>
      </c>
      <c r="Q320">
        <f>IF(AND(ISNUMBER(P320),ISNUMBER(A320)),IF(AND(A320&gt;=Dashboard!$Q$3,A320&lt;=Dashboard!$Q$4,OR(J320&lt;&gt;"Yes",Dashboard!$Q$15="Yes")),P320,""),"")</f>
        <v/>
      </c>
    </row>
    <row r="321">
      <c r="A321" s="47" t="n"/>
      <c r="B321" s="48" t="n"/>
      <c r="C321" s="48" t="n"/>
      <c r="D321" s="48" t="n"/>
      <c r="E321" s="48" t="n"/>
      <c r="F321" s="48" t="n"/>
      <c r="G321" s="48" t="n"/>
      <c r="H321" s="48" t="n"/>
      <c r="I321" s="49" t="n"/>
      <c r="J321" s="50" t="n"/>
      <c r="K321" s="48" t="n"/>
      <c r="L321" s="51">
        <f>IF(A321="","",DATE(YEAR(A321),MONTH(A321),1))</f>
        <v/>
      </c>
      <c r="M321" s="52">
        <f>IF(OR(A321="",NOT(ISNUMBER(I321))),"",IF(G321=Lists!$B$5,I321/2,IF(G321=Lists!$B$6,I321,0)))</f>
        <v/>
      </c>
      <c r="N321" s="52">
        <f>IF(OR(A321="",NOT(ISNUMBER(I321))),"",IF(G321=Lists!$B$5,I321/2,IF(G321=Lists!$B$7,I321,0)))</f>
        <v/>
      </c>
      <c r="O321" s="53">
        <f>IF(COUNTA(A321:K321)=0,"",IF(OR(A321="",B321="",C321="",D321="",E321="",F321="",G321="",NOT(ISNUMBER(I321))),"Incomplete",IF(COUNTIF(Lists!$H$4:$AA$4,C321)=0,"Check category",IF(COUNTIF(INDEX(Lists!$H$6:$AA$45,0,MATCH(C321,Lists!$H$4:$AA$4,0)),D321)=0,"Check sub-category","OK"))))</f>
        <v/>
      </c>
      <c r="P321">
        <f>IF(ISNUMBER(I321),I321+ROW()/10000000,"")</f>
        <v/>
      </c>
      <c r="Q321">
        <f>IF(AND(ISNUMBER(P321),ISNUMBER(A321)),IF(AND(A321&gt;=Dashboard!$Q$3,A321&lt;=Dashboard!$Q$4,OR(J321&lt;&gt;"Yes",Dashboard!$Q$15="Yes")),P321,""),"")</f>
        <v/>
      </c>
    </row>
    <row r="322">
      <c r="A322" s="47" t="n"/>
      <c r="B322" s="48" t="n"/>
      <c r="C322" s="48" t="n"/>
      <c r="D322" s="48" t="n"/>
      <c r="E322" s="48" t="n"/>
      <c r="F322" s="48" t="n"/>
      <c r="G322" s="48" t="n"/>
      <c r="H322" s="48" t="n"/>
      <c r="I322" s="49" t="n"/>
      <c r="J322" s="50" t="n"/>
      <c r="K322" s="48" t="n"/>
      <c r="L322" s="51">
        <f>IF(A322="","",DATE(YEAR(A322),MONTH(A322),1))</f>
        <v/>
      </c>
      <c r="M322" s="52">
        <f>IF(OR(A322="",NOT(ISNUMBER(I322))),"",IF(G322=Lists!$B$5,I322/2,IF(G322=Lists!$B$6,I322,0)))</f>
        <v/>
      </c>
      <c r="N322" s="52">
        <f>IF(OR(A322="",NOT(ISNUMBER(I322))),"",IF(G322=Lists!$B$5,I322/2,IF(G322=Lists!$B$7,I322,0)))</f>
        <v/>
      </c>
      <c r="O322" s="53">
        <f>IF(COUNTA(A322:K322)=0,"",IF(OR(A322="",B322="",C322="",D322="",E322="",F322="",G322="",NOT(ISNUMBER(I322))),"Incomplete",IF(COUNTIF(Lists!$H$4:$AA$4,C322)=0,"Check category",IF(COUNTIF(INDEX(Lists!$H$6:$AA$45,0,MATCH(C322,Lists!$H$4:$AA$4,0)),D322)=0,"Check sub-category","OK"))))</f>
        <v/>
      </c>
      <c r="P322">
        <f>IF(ISNUMBER(I322),I322+ROW()/10000000,"")</f>
        <v/>
      </c>
      <c r="Q322">
        <f>IF(AND(ISNUMBER(P322),ISNUMBER(A322)),IF(AND(A322&gt;=Dashboard!$Q$3,A322&lt;=Dashboard!$Q$4,OR(J322&lt;&gt;"Yes",Dashboard!$Q$15="Yes")),P322,""),"")</f>
        <v/>
      </c>
    </row>
    <row r="323">
      <c r="A323" s="47" t="n"/>
      <c r="B323" s="48" t="n"/>
      <c r="C323" s="48" t="n"/>
      <c r="D323" s="48" t="n"/>
      <c r="E323" s="48" t="n"/>
      <c r="F323" s="48" t="n"/>
      <c r="G323" s="48" t="n"/>
      <c r="H323" s="48" t="n"/>
      <c r="I323" s="49" t="n"/>
      <c r="J323" s="50" t="n"/>
      <c r="K323" s="48" t="n"/>
      <c r="L323" s="51">
        <f>IF(A323="","",DATE(YEAR(A323),MONTH(A323),1))</f>
        <v/>
      </c>
      <c r="M323" s="52">
        <f>IF(OR(A323="",NOT(ISNUMBER(I323))),"",IF(G323=Lists!$B$5,I323/2,IF(G323=Lists!$B$6,I323,0)))</f>
        <v/>
      </c>
      <c r="N323" s="52">
        <f>IF(OR(A323="",NOT(ISNUMBER(I323))),"",IF(G323=Lists!$B$5,I323/2,IF(G323=Lists!$B$7,I323,0)))</f>
        <v/>
      </c>
      <c r="O323" s="53">
        <f>IF(COUNTA(A323:K323)=0,"",IF(OR(A323="",B323="",C323="",D323="",E323="",F323="",G323="",NOT(ISNUMBER(I323))),"Incomplete",IF(COUNTIF(Lists!$H$4:$AA$4,C323)=0,"Check category",IF(COUNTIF(INDEX(Lists!$H$6:$AA$45,0,MATCH(C323,Lists!$H$4:$AA$4,0)),D323)=0,"Check sub-category","OK"))))</f>
        <v/>
      </c>
      <c r="P323">
        <f>IF(ISNUMBER(I323),I323+ROW()/10000000,"")</f>
        <v/>
      </c>
      <c r="Q323">
        <f>IF(AND(ISNUMBER(P323),ISNUMBER(A323)),IF(AND(A323&gt;=Dashboard!$Q$3,A323&lt;=Dashboard!$Q$4,OR(J323&lt;&gt;"Yes",Dashboard!$Q$15="Yes")),P323,""),"")</f>
        <v/>
      </c>
    </row>
    <row r="324">
      <c r="A324" s="47" t="n"/>
      <c r="B324" s="48" t="n"/>
      <c r="C324" s="48" t="n"/>
      <c r="D324" s="48" t="n"/>
      <c r="E324" s="48" t="n"/>
      <c r="F324" s="48" t="n"/>
      <c r="G324" s="48" t="n"/>
      <c r="H324" s="48" t="n"/>
      <c r="I324" s="49" t="n"/>
      <c r="J324" s="50" t="n"/>
      <c r="K324" s="48" t="n"/>
      <c r="L324" s="51">
        <f>IF(A324="","",DATE(YEAR(A324),MONTH(A324),1))</f>
        <v/>
      </c>
      <c r="M324" s="52">
        <f>IF(OR(A324="",NOT(ISNUMBER(I324))),"",IF(G324=Lists!$B$5,I324/2,IF(G324=Lists!$B$6,I324,0)))</f>
        <v/>
      </c>
      <c r="N324" s="52">
        <f>IF(OR(A324="",NOT(ISNUMBER(I324))),"",IF(G324=Lists!$B$5,I324/2,IF(G324=Lists!$B$7,I324,0)))</f>
        <v/>
      </c>
      <c r="O324" s="53">
        <f>IF(COUNTA(A324:K324)=0,"",IF(OR(A324="",B324="",C324="",D324="",E324="",F324="",G324="",NOT(ISNUMBER(I324))),"Incomplete",IF(COUNTIF(Lists!$H$4:$AA$4,C324)=0,"Check category",IF(COUNTIF(INDEX(Lists!$H$6:$AA$45,0,MATCH(C324,Lists!$H$4:$AA$4,0)),D324)=0,"Check sub-category","OK"))))</f>
        <v/>
      </c>
      <c r="P324">
        <f>IF(ISNUMBER(I324),I324+ROW()/10000000,"")</f>
        <v/>
      </c>
      <c r="Q324">
        <f>IF(AND(ISNUMBER(P324),ISNUMBER(A324)),IF(AND(A324&gt;=Dashboard!$Q$3,A324&lt;=Dashboard!$Q$4,OR(J324&lt;&gt;"Yes",Dashboard!$Q$15="Yes")),P324,""),"")</f>
        <v/>
      </c>
    </row>
    <row r="325">
      <c r="A325" s="47" t="n"/>
      <c r="B325" s="48" t="n"/>
      <c r="C325" s="48" t="n"/>
      <c r="D325" s="48" t="n"/>
      <c r="E325" s="48" t="n"/>
      <c r="F325" s="48" t="n"/>
      <c r="G325" s="48" t="n"/>
      <c r="H325" s="48" t="n"/>
      <c r="I325" s="49" t="n"/>
      <c r="J325" s="50" t="n"/>
      <c r="K325" s="48" t="n"/>
      <c r="L325" s="51">
        <f>IF(A325="","",DATE(YEAR(A325),MONTH(A325),1))</f>
        <v/>
      </c>
      <c r="M325" s="52">
        <f>IF(OR(A325="",NOT(ISNUMBER(I325))),"",IF(G325=Lists!$B$5,I325/2,IF(G325=Lists!$B$6,I325,0)))</f>
        <v/>
      </c>
      <c r="N325" s="52">
        <f>IF(OR(A325="",NOT(ISNUMBER(I325))),"",IF(G325=Lists!$B$5,I325/2,IF(G325=Lists!$B$7,I325,0)))</f>
        <v/>
      </c>
      <c r="O325" s="53">
        <f>IF(COUNTA(A325:K325)=0,"",IF(OR(A325="",B325="",C325="",D325="",E325="",F325="",G325="",NOT(ISNUMBER(I325))),"Incomplete",IF(COUNTIF(Lists!$H$4:$AA$4,C325)=0,"Check category",IF(COUNTIF(INDEX(Lists!$H$6:$AA$45,0,MATCH(C325,Lists!$H$4:$AA$4,0)),D325)=0,"Check sub-category","OK"))))</f>
        <v/>
      </c>
      <c r="P325">
        <f>IF(ISNUMBER(I325),I325+ROW()/10000000,"")</f>
        <v/>
      </c>
      <c r="Q325">
        <f>IF(AND(ISNUMBER(P325),ISNUMBER(A325)),IF(AND(A325&gt;=Dashboard!$Q$3,A325&lt;=Dashboard!$Q$4,OR(J325&lt;&gt;"Yes",Dashboard!$Q$15="Yes")),P325,""),"")</f>
        <v/>
      </c>
    </row>
    <row r="326">
      <c r="A326" s="47" t="n"/>
      <c r="B326" s="48" t="n"/>
      <c r="C326" s="48" t="n"/>
      <c r="D326" s="48" t="n"/>
      <c r="E326" s="48" t="n"/>
      <c r="F326" s="48" t="n"/>
      <c r="G326" s="48" t="n"/>
      <c r="H326" s="48" t="n"/>
      <c r="I326" s="49" t="n"/>
      <c r="J326" s="50" t="n"/>
      <c r="K326" s="48" t="n"/>
      <c r="L326" s="51">
        <f>IF(A326="","",DATE(YEAR(A326),MONTH(A326),1))</f>
        <v/>
      </c>
      <c r="M326" s="52">
        <f>IF(OR(A326="",NOT(ISNUMBER(I326))),"",IF(G326=Lists!$B$5,I326/2,IF(G326=Lists!$B$6,I326,0)))</f>
        <v/>
      </c>
      <c r="N326" s="52">
        <f>IF(OR(A326="",NOT(ISNUMBER(I326))),"",IF(G326=Lists!$B$5,I326/2,IF(G326=Lists!$B$7,I326,0)))</f>
        <v/>
      </c>
      <c r="O326" s="53">
        <f>IF(COUNTA(A326:K326)=0,"",IF(OR(A326="",B326="",C326="",D326="",E326="",F326="",G326="",NOT(ISNUMBER(I326))),"Incomplete",IF(COUNTIF(Lists!$H$4:$AA$4,C326)=0,"Check category",IF(COUNTIF(INDEX(Lists!$H$6:$AA$45,0,MATCH(C326,Lists!$H$4:$AA$4,0)),D326)=0,"Check sub-category","OK"))))</f>
        <v/>
      </c>
      <c r="P326">
        <f>IF(ISNUMBER(I326),I326+ROW()/10000000,"")</f>
        <v/>
      </c>
      <c r="Q326">
        <f>IF(AND(ISNUMBER(P326),ISNUMBER(A326)),IF(AND(A326&gt;=Dashboard!$Q$3,A326&lt;=Dashboard!$Q$4,OR(J326&lt;&gt;"Yes",Dashboard!$Q$15="Yes")),P326,""),"")</f>
        <v/>
      </c>
    </row>
    <row r="327">
      <c r="A327" s="47" t="n"/>
      <c r="B327" s="48" t="n"/>
      <c r="C327" s="48" t="n"/>
      <c r="D327" s="48" t="n"/>
      <c r="E327" s="48" t="n"/>
      <c r="F327" s="48" t="n"/>
      <c r="G327" s="48" t="n"/>
      <c r="H327" s="48" t="n"/>
      <c r="I327" s="49" t="n"/>
      <c r="J327" s="50" t="n"/>
      <c r="K327" s="48" t="n"/>
      <c r="L327" s="51">
        <f>IF(A327="","",DATE(YEAR(A327),MONTH(A327),1))</f>
        <v/>
      </c>
      <c r="M327" s="52">
        <f>IF(OR(A327="",NOT(ISNUMBER(I327))),"",IF(G327=Lists!$B$5,I327/2,IF(G327=Lists!$B$6,I327,0)))</f>
        <v/>
      </c>
      <c r="N327" s="52">
        <f>IF(OR(A327="",NOT(ISNUMBER(I327))),"",IF(G327=Lists!$B$5,I327/2,IF(G327=Lists!$B$7,I327,0)))</f>
        <v/>
      </c>
      <c r="O327" s="53">
        <f>IF(COUNTA(A327:K327)=0,"",IF(OR(A327="",B327="",C327="",D327="",E327="",F327="",G327="",NOT(ISNUMBER(I327))),"Incomplete",IF(COUNTIF(Lists!$H$4:$AA$4,C327)=0,"Check category",IF(COUNTIF(INDEX(Lists!$H$6:$AA$45,0,MATCH(C327,Lists!$H$4:$AA$4,0)),D327)=0,"Check sub-category","OK"))))</f>
        <v/>
      </c>
      <c r="P327">
        <f>IF(ISNUMBER(I327),I327+ROW()/10000000,"")</f>
        <v/>
      </c>
      <c r="Q327">
        <f>IF(AND(ISNUMBER(P327),ISNUMBER(A327)),IF(AND(A327&gt;=Dashboard!$Q$3,A327&lt;=Dashboard!$Q$4,OR(J327&lt;&gt;"Yes",Dashboard!$Q$15="Yes")),P327,""),"")</f>
        <v/>
      </c>
    </row>
    <row r="328">
      <c r="A328" s="47" t="n"/>
      <c r="B328" s="48" t="n"/>
      <c r="C328" s="48" t="n"/>
      <c r="D328" s="48" t="n"/>
      <c r="E328" s="48" t="n"/>
      <c r="F328" s="48" t="n"/>
      <c r="G328" s="48" t="n"/>
      <c r="H328" s="48" t="n"/>
      <c r="I328" s="49" t="n"/>
      <c r="J328" s="50" t="n"/>
      <c r="K328" s="48" t="n"/>
      <c r="L328" s="51">
        <f>IF(A328="","",DATE(YEAR(A328),MONTH(A328),1))</f>
        <v/>
      </c>
      <c r="M328" s="52">
        <f>IF(OR(A328="",NOT(ISNUMBER(I328))),"",IF(G328=Lists!$B$5,I328/2,IF(G328=Lists!$B$6,I328,0)))</f>
        <v/>
      </c>
      <c r="N328" s="52">
        <f>IF(OR(A328="",NOT(ISNUMBER(I328))),"",IF(G328=Lists!$B$5,I328/2,IF(G328=Lists!$B$7,I328,0)))</f>
        <v/>
      </c>
      <c r="O328" s="53">
        <f>IF(COUNTA(A328:K328)=0,"",IF(OR(A328="",B328="",C328="",D328="",E328="",F328="",G328="",NOT(ISNUMBER(I328))),"Incomplete",IF(COUNTIF(Lists!$H$4:$AA$4,C328)=0,"Check category",IF(COUNTIF(INDEX(Lists!$H$6:$AA$45,0,MATCH(C328,Lists!$H$4:$AA$4,0)),D328)=0,"Check sub-category","OK"))))</f>
        <v/>
      </c>
      <c r="P328">
        <f>IF(ISNUMBER(I328),I328+ROW()/10000000,"")</f>
        <v/>
      </c>
      <c r="Q328">
        <f>IF(AND(ISNUMBER(P328),ISNUMBER(A328)),IF(AND(A328&gt;=Dashboard!$Q$3,A328&lt;=Dashboard!$Q$4,OR(J328&lt;&gt;"Yes",Dashboard!$Q$15="Yes")),P328,""),"")</f>
        <v/>
      </c>
    </row>
    <row r="329">
      <c r="A329" s="47" t="n"/>
      <c r="B329" s="48" t="n"/>
      <c r="C329" s="48" t="n"/>
      <c r="D329" s="48" t="n"/>
      <c r="E329" s="48" t="n"/>
      <c r="F329" s="48" t="n"/>
      <c r="G329" s="48" t="n"/>
      <c r="H329" s="48" t="n"/>
      <c r="I329" s="49" t="n"/>
      <c r="J329" s="50" t="n"/>
      <c r="K329" s="48" t="n"/>
      <c r="L329" s="51">
        <f>IF(A329="","",DATE(YEAR(A329),MONTH(A329),1))</f>
        <v/>
      </c>
      <c r="M329" s="52">
        <f>IF(OR(A329="",NOT(ISNUMBER(I329))),"",IF(G329=Lists!$B$5,I329/2,IF(G329=Lists!$B$6,I329,0)))</f>
        <v/>
      </c>
      <c r="N329" s="52">
        <f>IF(OR(A329="",NOT(ISNUMBER(I329))),"",IF(G329=Lists!$B$5,I329/2,IF(G329=Lists!$B$7,I329,0)))</f>
        <v/>
      </c>
      <c r="O329" s="53">
        <f>IF(COUNTA(A329:K329)=0,"",IF(OR(A329="",B329="",C329="",D329="",E329="",F329="",G329="",NOT(ISNUMBER(I329))),"Incomplete",IF(COUNTIF(Lists!$H$4:$AA$4,C329)=0,"Check category",IF(COUNTIF(INDEX(Lists!$H$6:$AA$45,0,MATCH(C329,Lists!$H$4:$AA$4,0)),D329)=0,"Check sub-category","OK"))))</f>
        <v/>
      </c>
      <c r="P329">
        <f>IF(ISNUMBER(I329),I329+ROW()/10000000,"")</f>
        <v/>
      </c>
      <c r="Q329">
        <f>IF(AND(ISNUMBER(P329),ISNUMBER(A329)),IF(AND(A329&gt;=Dashboard!$Q$3,A329&lt;=Dashboard!$Q$4,OR(J329&lt;&gt;"Yes",Dashboard!$Q$15="Yes")),P329,""),"")</f>
        <v/>
      </c>
    </row>
    <row r="330">
      <c r="A330" s="47" t="n"/>
      <c r="B330" s="48" t="n"/>
      <c r="C330" s="48" t="n"/>
      <c r="D330" s="48" t="n"/>
      <c r="E330" s="48" t="n"/>
      <c r="F330" s="48" t="n"/>
      <c r="G330" s="48" t="n"/>
      <c r="H330" s="48" t="n"/>
      <c r="I330" s="49" t="n"/>
      <c r="J330" s="50" t="n"/>
      <c r="K330" s="48" t="n"/>
      <c r="L330" s="51">
        <f>IF(A330="","",DATE(YEAR(A330),MONTH(A330),1))</f>
        <v/>
      </c>
      <c r="M330" s="52">
        <f>IF(OR(A330="",NOT(ISNUMBER(I330))),"",IF(G330=Lists!$B$5,I330/2,IF(G330=Lists!$B$6,I330,0)))</f>
        <v/>
      </c>
      <c r="N330" s="52">
        <f>IF(OR(A330="",NOT(ISNUMBER(I330))),"",IF(G330=Lists!$B$5,I330/2,IF(G330=Lists!$B$7,I330,0)))</f>
        <v/>
      </c>
      <c r="O330" s="53">
        <f>IF(COUNTA(A330:K330)=0,"",IF(OR(A330="",B330="",C330="",D330="",E330="",F330="",G330="",NOT(ISNUMBER(I330))),"Incomplete",IF(COUNTIF(Lists!$H$4:$AA$4,C330)=0,"Check category",IF(COUNTIF(INDEX(Lists!$H$6:$AA$45,0,MATCH(C330,Lists!$H$4:$AA$4,0)),D330)=0,"Check sub-category","OK"))))</f>
        <v/>
      </c>
      <c r="P330">
        <f>IF(ISNUMBER(I330),I330+ROW()/10000000,"")</f>
        <v/>
      </c>
      <c r="Q330">
        <f>IF(AND(ISNUMBER(P330),ISNUMBER(A330)),IF(AND(A330&gt;=Dashboard!$Q$3,A330&lt;=Dashboard!$Q$4,OR(J330&lt;&gt;"Yes",Dashboard!$Q$15="Yes")),P330,""),"")</f>
        <v/>
      </c>
    </row>
    <row r="331">
      <c r="A331" s="47" t="n"/>
      <c r="B331" s="48" t="n"/>
      <c r="C331" s="48" t="n"/>
      <c r="D331" s="48" t="n"/>
      <c r="E331" s="48" t="n"/>
      <c r="F331" s="48" t="n"/>
      <c r="G331" s="48" t="n"/>
      <c r="H331" s="48" t="n"/>
      <c r="I331" s="49" t="n"/>
      <c r="J331" s="50" t="n"/>
      <c r="K331" s="48" t="n"/>
      <c r="L331" s="51">
        <f>IF(A331="","",DATE(YEAR(A331),MONTH(A331),1))</f>
        <v/>
      </c>
      <c r="M331" s="52">
        <f>IF(OR(A331="",NOT(ISNUMBER(I331))),"",IF(G331=Lists!$B$5,I331/2,IF(G331=Lists!$B$6,I331,0)))</f>
        <v/>
      </c>
      <c r="N331" s="52">
        <f>IF(OR(A331="",NOT(ISNUMBER(I331))),"",IF(G331=Lists!$B$5,I331/2,IF(G331=Lists!$B$7,I331,0)))</f>
        <v/>
      </c>
      <c r="O331" s="53">
        <f>IF(COUNTA(A331:K331)=0,"",IF(OR(A331="",B331="",C331="",D331="",E331="",F331="",G331="",NOT(ISNUMBER(I331))),"Incomplete",IF(COUNTIF(Lists!$H$4:$AA$4,C331)=0,"Check category",IF(COUNTIF(INDEX(Lists!$H$6:$AA$45,0,MATCH(C331,Lists!$H$4:$AA$4,0)),D331)=0,"Check sub-category","OK"))))</f>
        <v/>
      </c>
      <c r="P331">
        <f>IF(ISNUMBER(I331),I331+ROW()/10000000,"")</f>
        <v/>
      </c>
      <c r="Q331">
        <f>IF(AND(ISNUMBER(P331),ISNUMBER(A331)),IF(AND(A331&gt;=Dashboard!$Q$3,A331&lt;=Dashboard!$Q$4,OR(J331&lt;&gt;"Yes",Dashboard!$Q$15="Yes")),P331,""),"")</f>
        <v/>
      </c>
    </row>
    <row r="332">
      <c r="A332" s="47" t="n"/>
      <c r="B332" s="48" t="n"/>
      <c r="C332" s="48" t="n"/>
      <c r="D332" s="48" t="n"/>
      <c r="E332" s="48" t="n"/>
      <c r="F332" s="48" t="n"/>
      <c r="G332" s="48" t="n"/>
      <c r="H332" s="48" t="n"/>
      <c r="I332" s="49" t="n"/>
      <c r="J332" s="50" t="n"/>
      <c r="K332" s="48" t="n"/>
      <c r="L332" s="51">
        <f>IF(A332="","",DATE(YEAR(A332),MONTH(A332),1))</f>
        <v/>
      </c>
      <c r="M332" s="52">
        <f>IF(OR(A332="",NOT(ISNUMBER(I332))),"",IF(G332=Lists!$B$5,I332/2,IF(G332=Lists!$B$6,I332,0)))</f>
        <v/>
      </c>
      <c r="N332" s="52">
        <f>IF(OR(A332="",NOT(ISNUMBER(I332))),"",IF(G332=Lists!$B$5,I332/2,IF(G332=Lists!$B$7,I332,0)))</f>
        <v/>
      </c>
      <c r="O332" s="53">
        <f>IF(COUNTA(A332:K332)=0,"",IF(OR(A332="",B332="",C332="",D332="",E332="",F332="",G332="",NOT(ISNUMBER(I332))),"Incomplete",IF(COUNTIF(Lists!$H$4:$AA$4,C332)=0,"Check category",IF(COUNTIF(INDEX(Lists!$H$6:$AA$45,0,MATCH(C332,Lists!$H$4:$AA$4,0)),D332)=0,"Check sub-category","OK"))))</f>
        <v/>
      </c>
      <c r="P332">
        <f>IF(ISNUMBER(I332),I332+ROW()/10000000,"")</f>
        <v/>
      </c>
      <c r="Q332">
        <f>IF(AND(ISNUMBER(P332),ISNUMBER(A332)),IF(AND(A332&gt;=Dashboard!$Q$3,A332&lt;=Dashboard!$Q$4,OR(J332&lt;&gt;"Yes",Dashboard!$Q$15="Yes")),P332,""),"")</f>
        <v/>
      </c>
    </row>
    <row r="333">
      <c r="A333" s="47" t="n"/>
      <c r="B333" s="48" t="n"/>
      <c r="C333" s="48" t="n"/>
      <c r="D333" s="48" t="n"/>
      <c r="E333" s="48" t="n"/>
      <c r="F333" s="48" t="n"/>
      <c r="G333" s="48" t="n"/>
      <c r="H333" s="48" t="n"/>
      <c r="I333" s="49" t="n"/>
      <c r="J333" s="50" t="n"/>
      <c r="K333" s="48" t="n"/>
      <c r="L333" s="51">
        <f>IF(A333="","",DATE(YEAR(A333),MONTH(A333),1))</f>
        <v/>
      </c>
      <c r="M333" s="52">
        <f>IF(OR(A333="",NOT(ISNUMBER(I333))),"",IF(G333=Lists!$B$5,I333/2,IF(G333=Lists!$B$6,I333,0)))</f>
        <v/>
      </c>
      <c r="N333" s="52">
        <f>IF(OR(A333="",NOT(ISNUMBER(I333))),"",IF(G333=Lists!$B$5,I333/2,IF(G333=Lists!$B$7,I333,0)))</f>
        <v/>
      </c>
      <c r="O333" s="53">
        <f>IF(COUNTA(A333:K333)=0,"",IF(OR(A333="",B333="",C333="",D333="",E333="",F333="",G333="",NOT(ISNUMBER(I333))),"Incomplete",IF(COUNTIF(Lists!$H$4:$AA$4,C333)=0,"Check category",IF(COUNTIF(INDEX(Lists!$H$6:$AA$45,0,MATCH(C333,Lists!$H$4:$AA$4,0)),D333)=0,"Check sub-category","OK"))))</f>
        <v/>
      </c>
      <c r="P333">
        <f>IF(ISNUMBER(I333),I333+ROW()/10000000,"")</f>
        <v/>
      </c>
      <c r="Q333">
        <f>IF(AND(ISNUMBER(P333),ISNUMBER(A333)),IF(AND(A333&gt;=Dashboard!$Q$3,A333&lt;=Dashboard!$Q$4,OR(J333&lt;&gt;"Yes",Dashboard!$Q$15="Yes")),P333,""),"")</f>
        <v/>
      </c>
    </row>
    <row r="334">
      <c r="A334" s="47" t="n"/>
      <c r="B334" s="48" t="n"/>
      <c r="C334" s="48" t="n"/>
      <c r="D334" s="48" t="n"/>
      <c r="E334" s="48" t="n"/>
      <c r="F334" s="48" t="n"/>
      <c r="G334" s="48" t="n"/>
      <c r="H334" s="48" t="n"/>
      <c r="I334" s="49" t="n"/>
      <c r="J334" s="50" t="n"/>
      <c r="K334" s="48" t="n"/>
      <c r="L334" s="51">
        <f>IF(A334="","",DATE(YEAR(A334),MONTH(A334),1))</f>
        <v/>
      </c>
      <c r="M334" s="52">
        <f>IF(OR(A334="",NOT(ISNUMBER(I334))),"",IF(G334=Lists!$B$5,I334/2,IF(G334=Lists!$B$6,I334,0)))</f>
        <v/>
      </c>
      <c r="N334" s="52">
        <f>IF(OR(A334="",NOT(ISNUMBER(I334))),"",IF(G334=Lists!$B$5,I334/2,IF(G334=Lists!$B$7,I334,0)))</f>
        <v/>
      </c>
      <c r="O334" s="53">
        <f>IF(COUNTA(A334:K334)=0,"",IF(OR(A334="",B334="",C334="",D334="",E334="",F334="",G334="",NOT(ISNUMBER(I334))),"Incomplete",IF(COUNTIF(Lists!$H$4:$AA$4,C334)=0,"Check category",IF(COUNTIF(INDEX(Lists!$H$6:$AA$45,0,MATCH(C334,Lists!$H$4:$AA$4,0)),D334)=0,"Check sub-category","OK"))))</f>
        <v/>
      </c>
      <c r="P334">
        <f>IF(ISNUMBER(I334),I334+ROW()/10000000,"")</f>
        <v/>
      </c>
      <c r="Q334">
        <f>IF(AND(ISNUMBER(P334),ISNUMBER(A334)),IF(AND(A334&gt;=Dashboard!$Q$3,A334&lt;=Dashboard!$Q$4,OR(J334&lt;&gt;"Yes",Dashboard!$Q$15="Yes")),P334,""),"")</f>
        <v/>
      </c>
    </row>
    <row r="335">
      <c r="A335" s="47" t="n"/>
      <c r="B335" s="48" t="n"/>
      <c r="C335" s="48" t="n"/>
      <c r="D335" s="48" t="n"/>
      <c r="E335" s="48" t="n"/>
      <c r="F335" s="48" t="n"/>
      <c r="G335" s="48" t="n"/>
      <c r="H335" s="48" t="n"/>
      <c r="I335" s="49" t="n"/>
      <c r="J335" s="50" t="n"/>
      <c r="K335" s="48" t="n"/>
      <c r="L335" s="51">
        <f>IF(A335="","",DATE(YEAR(A335),MONTH(A335),1))</f>
        <v/>
      </c>
      <c r="M335" s="52">
        <f>IF(OR(A335="",NOT(ISNUMBER(I335))),"",IF(G335=Lists!$B$5,I335/2,IF(G335=Lists!$B$6,I335,0)))</f>
        <v/>
      </c>
      <c r="N335" s="52">
        <f>IF(OR(A335="",NOT(ISNUMBER(I335))),"",IF(G335=Lists!$B$5,I335/2,IF(G335=Lists!$B$7,I335,0)))</f>
        <v/>
      </c>
      <c r="O335" s="53">
        <f>IF(COUNTA(A335:K335)=0,"",IF(OR(A335="",B335="",C335="",D335="",E335="",F335="",G335="",NOT(ISNUMBER(I335))),"Incomplete",IF(COUNTIF(Lists!$H$4:$AA$4,C335)=0,"Check category",IF(COUNTIF(INDEX(Lists!$H$6:$AA$45,0,MATCH(C335,Lists!$H$4:$AA$4,0)),D335)=0,"Check sub-category","OK"))))</f>
        <v/>
      </c>
      <c r="P335">
        <f>IF(ISNUMBER(I335),I335+ROW()/10000000,"")</f>
        <v/>
      </c>
      <c r="Q335">
        <f>IF(AND(ISNUMBER(P335),ISNUMBER(A335)),IF(AND(A335&gt;=Dashboard!$Q$3,A335&lt;=Dashboard!$Q$4,OR(J335&lt;&gt;"Yes",Dashboard!$Q$15="Yes")),P335,""),"")</f>
        <v/>
      </c>
    </row>
    <row r="336">
      <c r="A336" s="47" t="n"/>
      <c r="B336" s="48" t="n"/>
      <c r="C336" s="48" t="n"/>
      <c r="D336" s="48" t="n"/>
      <c r="E336" s="48" t="n"/>
      <c r="F336" s="48" t="n"/>
      <c r="G336" s="48" t="n"/>
      <c r="H336" s="48" t="n"/>
      <c r="I336" s="49" t="n"/>
      <c r="J336" s="50" t="n"/>
      <c r="K336" s="48" t="n"/>
      <c r="L336" s="51">
        <f>IF(A336="","",DATE(YEAR(A336),MONTH(A336),1))</f>
        <v/>
      </c>
      <c r="M336" s="52">
        <f>IF(OR(A336="",NOT(ISNUMBER(I336))),"",IF(G336=Lists!$B$5,I336/2,IF(G336=Lists!$B$6,I336,0)))</f>
        <v/>
      </c>
      <c r="N336" s="52">
        <f>IF(OR(A336="",NOT(ISNUMBER(I336))),"",IF(G336=Lists!$B$5,I336/2,IF(G336=Lists!$B$7,I336,0)))</f>
        <v/>
      </c>
      <c r="O336" s="53">
        <f>IF(COUNTA(A336:K336)=0,"",IF(OR(A336="",B336="",C336="",D336="",E336="",F336="",G336="",NOT(ISNUMBER(I336))),"Incomplete",IF(COUNTIF(Lists!$H$4:$AA$4,C336)=0,"Check category",IF(COUNTIF(INDEX(Lists!$H$6:$AA$45,0,MATCH(C336,Lists!$H$4:$AA$4,0)),D336)=0,"Check sub-category","OK"))))</f>
        <v/>
      </c>
      <c r="P336">
        <f>IF(ISNUMBER(I336),I336+ROW()/10000000,"")</f>
        <v/>
      </c>
      <c r="Q336">
        <f>IF(AND(ISNUMBER(P336),ISNUMBER(A336)),IF(AND(A336&gt;=Dashboard!$Q$3,A336&lt;=Dashboard!$Q$4,OR(J336&lt;&gt;"Yes",Dashboard!$Q$15="Yes")),P336,""),"")</f>
        <v/>
      </c>
    </row>
    <row r="337">
      <c r="A337" s="47" t="n"/>
      <c r="B337" s="48" t="n"/>
      <c r="C337" s="48" t="n"/>
      <c r="D337" s="48" t="n"/>
      <c r="E337" s="48" t="n"/>
      <c r="F337" s="48" t="n"/>
      <c r="G337" s="48" t="n"/>
      <c r="H337" s="48" t="n"/>
      <c r="I337" s="49" t="n"/>
      <c r="J337" s="50" t="n"/>
      <c r="K337" s="48" t="n"/>
      <c r="L337" s="51">
        <f>IF(A337="","",DATE(YEAR(A337),MONTH(A337),1))</f>
        <v/>
      </c>
      <c r="M337" s="52">
        <f>IF(OR(A337="",NOT(ISNUMBER(I337))),"",IF(G337=Lists!$B$5,I337/2,IF(G337=Lists!$B$6,I337,0)))</f>
        <v/>
      </c>
      <c r="N337" s="52">
        <f>IF(OR(A337="",NOT(ISNUMBER(I337))),"",IF(G337=Lists!$B$5,I337/2,IF(G337=Lists!$B$7,I337,0)))</f>
        <v/>
      </c>
      <c r="O337" s="53">
        <f>IF(COUNTA(A337:K337)=0,"",IF(OR(A337="",B337="",C337="",D337="",E337="",F337="",G337="",NOT(ISNUMBER(I337))),"Incomplete",IF(COUNTIF(Lists!$H$4:$AA$4,C337)=0,"Check category",IF(COUNTIF(INDEX(Lists!$H$6:$AA$45,0,MATCH(C337,Lists!$H$4:$AA$4,0)),D337)=0,"Check sub-category","OK"))))</f>
        <v/>
      </c>
      <c r="P337">
        <f>IF(ISNUMBER(I337),I337+ROW()/10000000,"")</f>
        <v/>
      </c>
      <c r="Q337">
        <f>IF(AND(ISNUMBER(P337),ISNUMBER(A337)),IF(AND(A337&gt;=Dashboard!$Q$3,A337&lt;=Dashboard!$Q$4,OR(J337&lt;&gt;"Yes",Dashboard!$Q$15="Yes")),P337,""),"")</f>
        <v/>
      </c>
    </row>
    <row r="338">
      <c r="A338" s="47" t="n"/>
      <c r="B338" s="48" t="n"/>
      <c r="C338" s="48" t="n"/>
      <c r="D338" s="48" t="n"/>
      <c r="E338" s="48" t="n"/>
      <c r="F338" s="48" t="n"/>
      <c r="G338" s="48" t="n"/>
      <c r="H338" s="48" t="n"/>
      <c r="I338" s="49" t="n"/>
      <c r="J338" s="50" t="n"/>
      <c r="K338" s="48" t="n"/>
      <c r="L338" s="51">
        <f>IF(A338="","",DATE(YEAR(A338),MONTH(A338),1))</f>
        <v/>
      </c>
      <c r="M338" s="52">
        <f>IF(OR(A338="",NOT(ISNUMBER(I338))),"",IF(G338=Lists!$B$5,I338/2,IF(G338=Lists!$B$6,I338,0)))</f>
        <v/>
      </c>
      <c r="N338" s="52">
        <f>IF(OR(A338="",NOT(ISNUMBER(I338))),"",IF(G338=Lists!$B$5,I338/2,IF(G338=Lists!$B$7,I338,0)))</f>
        <v/>
      </c>
      <c r="O338" s="53">
        <f>IF(COUNTA(A338:K338)=0,"",IF(OR(A338="",B338="",C338="",D338="",E338="",F338="",G338="",NOT(ISNUMBER(I338))),"Incomplete",IF(COUNTIF(Lists!$H$4:$AA$4,C338)=0,"Check category",IF(COUNTIF(INDEX(Lists!$H$6:$AA$45,0,MATCH(C338,Lists!$H$4:$AA$4,0)),D338)=0,"Check sub-category","OK"))))</f>
        <v/>
      </c>
      <c r="P338">
        <f>IF(ISNUMBER(I338),I338+ROW()/10000000,"")</f>
        <v/>
      </c>
      <c r="Q338">
        <f>IF(AND(ISNUMBER(P338),ISNUMBER(A338)),IF(AND(A338&gt;=Dashboard!$Q$3,A338&lt;=Dashboard!$Q$4,OR(J338&lt;&gt;"Yes",Dashboard!$Q$15="Yes")),P338,""),"")</f>
        <v/>
      </c>
    </row>
    <row r="339">
      <c r="A339" s="47" t="n"/>
      <c r="B339" s="48" t="n"/>
      <c r="C339" s="48" t="n"/>
      <c r="D339" s="48" t="n"/>
      <c r="E339" s="48" t="n"/>
      <c r="F339" s="48" t="n"/>
      <c r="G339" s="48" t="n"/>
      <c r="H339" s="48" t="n"/>
      <c r="I339" s="49" t="n"/>
      <c r="J339" s="50" t="n"/>
      <c r="K339" s="48" t="n"/>
      <c r="L339" s="51">
        <f>IF(A339="","",DATE(YEAR(A339),MONTH(A339),1))</f>
        <v/>
      </c>
      <c r="M339" s="52">
        <f>IF(OR(A339="",NOT(ISNUMBER(I339))),"",IF(G339=Lists!$B$5,I339/2,IF(G339=Lists!$B$6,I339,0)))</f>
        <v/>
      </c>
      <c r="N339" s="52">
        <f>IF(OR(A339="",NOT(ISNUMBER(I339))),"",IF(G339=Lists!$B$5,I339/2,IF(G339=Lists!$B$7,I339,0)))</f>
        <v/>
      </c>
      <c r="O339" s="53">
        <f>IF(COUNTA(A339:K339)=0,"",IF(OR(A339="",B339="",C339="",D339="",E339="",F339="",G339="",NOT(ISNUMBER(I339))),"Incomplete",IF(COUNTIF(Lists!$H$4:$AA$4,C339)=0,"Check category",IF(COUNTIF(INDEX(Lists!$H$6:$AA$45,0,MATCH(C339,Lists!$H$4:$AA$4,0)),D339)=0,"Check sub-category","OK"))))</f>
        <v/>
      </c>
      <c r="P339">
        <f>IF(ISNUMBER(I339),I339+ROW()/10000000,"")</f>
        <v/>
      </c>
      <c r="Q339">
        <f>IF(AND(ISNUMBER(P339),ISNUMBER(A339)),IF(AND(A339&gt;=Dashboard!$Q$3,A339&lt;=Dashboard!$Q$4,OR(J339&lt;&gt;"Yes",Dashboard!$Q$15="Yes")),P339,""),"")</f>
        <v/>
      </c>
    </row>
    <row r="340">
      <c r="A340" s="47" t="n"/>
      <c r="B340" s="48" t="n"/>
      <c r="C340" s="48" t="n"/>
      <c r="D340" s="48" t="n"/>
      <c r="E340" s="48" t="n"/>
      <c r="F340" s="48" t="n"/>
      <c r="G340" s="48" t="n"/>
      <c r="H340" s="48" t="n"/>
      <c r="I340" s="49" t="n"/>
      <c r="J340" s="50" t="n"/>
      <c r="K340" s="48" t="n"/>
      <c r="L340" s="51">
        <f>IF(A340="","",DATE(YEAR(A340),MONTH(A340),1))</f>
        <v/>
      </c>
      <c r="M340" s="52">
        <f>IF(OR(A340="",NOT(ISNUMBER(I340))),"",IF(G340=Lists!$B$5,I340/2,IF(G340=Lists!$B$6,I340,0)))</f>
        <v/>
      </c>
      <c r="N340" s="52">
        <f>IF(OR(A340="",NOT(ISNUMBER(I340))),"",IF(G340=Lists!$B$5,I340/2,IF(G340=Lists!$B$7,I340,0)))</f>
        <v/>
      </c>
      <c r="O340" s="53">
        <f>IF(COUNTA(A340:K340)=0,"",IF(OR(A340="",B340="",C340="",D340="",E340="",F340="",G340="",NOT(ISNUMBER(I340))),"Incomplete",IF(COUNTIF(Lists!$H$4:$AA$4,C340)=0,"Check category",IF(COUNTIF(INDEX(Lists!$H$6:$AA$45,0,MATCH(C340,Lists!$H$4:$AA$4,0)),D340)=0,"Check sub-category","OK"))))</f>
        <v/>
      </c>
      <c r="P340">
        <f>IF(ISNUMBER(I340),I340+ROW()/10000000,"")</f>
        <v/>
      </c>
      <c r="Q340">
        <f>IF(AND(ISNUMBER(P340),ISNUMBER(A340)),IF(AND(A340&gt;=Dashboard!$Q$3,A340&lt;=Dashboard!$Q$4,OR(J340&lt;&gt;"Yes",Dashboard!$Q$15="Yes")),P340,""),"")</f>
        <v/>
      </c>
    </row>
    <row r="341">
      <c r="A341" s="47" t="n"/>
      <c r="B341" s="48" t="n"/>
      <c r="C341" s="48" t="n"/>
      <c r="D341" s="48" t="n"/>
      <c r="E341" s="48" t="n"/>
      <c r="F341" s="48" t="n"/>
      <c r="G341" s="48" t="n"/>
      <c r="H341" s="48" t="n"/>
      <c r="I341" s="49" t="n"/>
      <c r="J341" s="50" t="n"/>
      <c r="K341" s="48" t="n"/>
      <c r="L341" s="51">
        <f>IF(A341="","",DATE(YEAR(A341),MONTH(A341),1))</f>
        <v/>
      </c>
      <c r="M341" s="52">
        <f>IF(OR(A341="",NOT(ISNUMBER(I341))),"",IF(G341=Lists!$B$5,I341/2,IF(G341=Lists!$B$6,I341,0)))</f>
        <v/>
      </c>
      <c r="N341" s="52">
        <f>IF(OR(A341="",NOT(ISNUMBER(I341))),"",IF(G341=Lists!$B$5,I341/2,IF(G341=Lists!$B$7,I341,0)))</f>
        <v/>
      </c>
      <c r="O341" s="53">
        <f>IF(COUNTA(A341:K341)=0,"",IF(OR(A341="",B341="",C341="",D341="",E341="",F341="",G341="",NOT(ISNUMBER(I341))),"Incomplete",IF(COUNTIF(Lists!$H$4:$AA$4,C341)=0,"Check category",IF(COUNTIF(INDEX(Lists!$H$6:$AA$45,0,MATCH(C341,Lists!$H$4:$AA$4,0)),D341)=0,"Check sub-category","OK"))))</f>
        <v/>
      </c>
      <c r="P341">
        <f>IF(ISNUMBER(I341),I341+ROW()/10000000,"")</f>
        <v/>
      </c>
      <c r="Q341">
        <f>IF(AND(ISNUMBER(P341),ISNUMBER(A341)),IF(AND(A341&gt;=Dashboard!$Q$3,A341&lt;=Dashboard!$Q$4,OR(J341&lt;&gt;"Yes",Dashboard!$Q$15="Yes")),P341,""),"")</f>
        <v/>
      </c>
    </row>
    <row r="342">
      <c r="A342" s="47" t="n"/>
      <c r="B342" s="48" t="n"/>
      <c r="C342" s="48" t="n"/>
      <c r="D342" s="48" t="n"/>
      <c r="E342" s="48" t="n"/>
      <c r="F342" s="48" t="n"/>
      <c r="G342" s="48" t="n"/>
      <c r="H342" s="48" t="n"/>
      <c r="I342" s="49" t="n"/>
      <c r="J342" s="50" t="n"/>
      <c r="K342" s="48" t="n"/>
      <c r="L342" s="51">
        <f>IF(A342="","",DATE(YEAR(A342),MONTH(A342),1))</f>
        <v/>
      </c>
      <c r="M342" s="52">
        <f>IF(OR(A342="",NOT(ISNUMBER(I342))),"",IF(G342=Lists!$B$5,I342/2,IF(G342=Lists!$B$6,I342,0)))</f>
        <v/>
      </c>
      <c r="N342" s="52">
        <f>IF(OR(A342="",NOT(ISNUMBER(I342))),"",IF(G342=Lists!$B$5,I342/2,IF(G342=Lists!$B$7,I342,0)))</f>
        <v/>
      </c>
      <c r="O342" s="53">
        <f>IF(COUNTA(A342:K342)=0,"",IF(OR(A342="",B342="",C342="",D342="",E342="",F342="",G342="",NOT(ISNUMBER(I342))),"Incomplete",IF(COUNTIF(Lists!$H$4:$AA$4,C342)=0,"Check category",IF(COUNTIF(INDEX(Lists!$H$6:$AA$45,0,MATCH(C342,Lists!$H$4:$AA$4,0)),D342)=0,"Check sub-category","OK"))))</f>
        <v/>
      </c>
      <c r="P342">
        <f>IF(ISNUMBER(I342),I342+ROW()/10000000,"")</f>
        <v/>
      </c>
      <c r="Q342">
        <f>IF(AND(ISNUMBER(P342),ISNUMBER(A342)),IF(AND(A342&gt;=Dashboard!$Q$3,A342&lt;=Dashboard!$Q$4,OR(J342&lt;&gt;"Yes",Dashboard!$Q$15="Yes")),P342,""),"")</f>
        <v/>
      </c>
    </row>
    <row r="343">
      <c r="A343" s="47" t="n"/>
      <c r="B343" s="48" t="n"/>
      <c r="C343" s="48" t="n"/>
      <c r="D343" s="48" t="n"/>
      <c r="E343" s="48" t="n"/>
      <c r="F343" s="48" t="n"/>
      <c r="G343" s="48" t="n"/>
      <c r="H343" s="48" t="n"/>
      <c r="I343" s="49" t="n"/>
      <c r="J343" s="50" t="n"/>
      <c r="K343" s="48" t="n"/>
      <c r="L343" s="51">
        <f>IF(A343="","",DATE(YEAR(A343),MONTH(A343),1))</f>
        <v/>
      </c>
      <c r="M343" s="52">
        <f>IF(OR(A343="",NOT(ISNUMBER(I343))),"",IF(G343=Lists!$B$5,I343/2,IF(G343=Lists!$B$6,I343,0)))</f>
        <v/>
      </c>
      <c r="N343" s="52">
        <f>IF(OR(A343="",NOT(ISNUMBER(I343))),"",IF(G343=Lists!$B$5,I343/2,IF(G343=Lists!$B$7,I343,0)))</f>
        <v/>
      </c>
      <c r="O343" s="53">
        <f>IF(COUNTA(A343:K343)=0,"",IF(OR(A343="",B343="",C343="",D343="",E343="",F343="",G343="",NOT(ISNUMBER(I343))),"Incomplete",IF(COUNTIF(Lists!$H$4:$AA$4,C343)=0,"Check category",IF(COUNTIF(INDEX(Lists!$H$6:$AA$45,0,MATCH(C343,Lists!$H$4:$AA$4,0)),D343)=0,"Check sub-category","OK"))))</f>
        <v/>
      </c>
      <c r="P343">
        <f>IF(ISNUMBER(I343),I343+ROW()/10000000,"")</f>
        <v/>
      </c>
      <c r="Q343">
        <f>IF(AND(ISNUMBER(P343),ISNUMBER(A343)),IF(AND(A343&gt;=Dashboard!$Q$3,A343&lt;=Dashboard!$Q$4,OR(J343&lt;&gt;"Yes",Dashboard!$Q$15="Yes")),P343,""),"")</f>
        <v/>
      </c>
    </row>
    <row r="344">
      <c r="A344" s="47" t="n"/>
      <c r="B344" s="48" t="n"/>
      <c r="C344" s="48" t="n"/>
      <c r="D344" s="48" t="n"/>
      <c r="E344" s="48" t="n"/>
      <c r="F344" s="48" t="n"/>
      <c r="G344" s="48" t="n"/>
      <c r="H344" s="48" t="n"/>
      <c r="I344" s="49" t="n"/>
      <c r="J344" s="50" t="n"/>
      <c r="K344" s="48" t="n"/>
      <c r="L344" s="51">
        <f>IF(A344="","",DATE(YEAR(A344),MONTH(A344),1))</f>
        <v/>
      </c>
      <c r="M344" s="52">
        <f>IF(OR(A344="",NOT(ISNUMBER(I344))),"",IF(G344=Lists!$B$5,I344/2,IF(G344=Lists!$B$6,I344,0)))</f>
        <v/>
      </c>
      <c r="N344" s="52">
        <f>IF(OR(A344="",NOT(ISNUMBER(I344))),"",IF(G344=Lists!$B$5,I344/2,IF(G344=Lists!$B$7,I344,0)))</f>
        <v/>
      </c>
      <c r="O344" s="53">
        <f>IF(COUNTA(A344:K344)=0,"",IF(OR(A344="",B344="",C344="",D344="",E344="",F344="",G344="",NOT(ISNUMBER(I344))),"Incomplete",IF(COUNTIF(Lists!$H$4:$AA$4,C344)=0,"Check category",IF(COUNTIF(INDEX(Lists!$H$6:$AA$45,0,MATCH(C344,Lists!$H$4:$AA$4,0)),D344)=0,"Check sub-category","OK"))))</f>
        <v/>
      </c>
      <c r="P344">
        <f>IF(ISNUMBER(I344),I344+ROW()/10000000,"")</f>
        <v/>
      </c>
      <c r="Q344">
        <f>IF(AND(ISNUMBER(P344),ISNUMBER(A344)),IF(AND(A344&gt;=Dashboard!$Q$3,A344&lt;=Dashboard!$Q$4,OR(J344&lt;&gt;"Yes",Dashboard!$Q$15="Yes")),P344,""),"")</f>
        <v/>
      </c>
    </row>
    <row r="345">
      <c r="A345" s="47" t="n"/>
      <c r="B345" s="48" t="n"/>
      <c r="C345" s="48" t="n"/>
      <c r="D345" s="48" t="n"/>
      <c r="E345" s="48" t="n"/>
      <c r="F345" s="48" t="n"/>
      <c r="G345" s="48" t="n"/>
      <c r="H345" s="48" t="n"/>
      <c r="I345" s="49" t="n"/>
      <c r="J345" s="50" t="n"/>
      <c r="K345" s="48" t="n"/>
      <c r="L345" s="51">
        <f>IF(A345="","",DATE(YEAR(A345),MONTH(A345),1))</f>
        <v/>
      </c>
      <c r="M345" s="52">
        <f>IF(OR(A345="",NOT(ISNUMBER(I345))),"",IF(G345=Lists!$B$5,I345/2,IF(G345=Lists!$B$6,I345,0)))</f>
        <v/>
      </c>
      <c r="N345" s="52">
        <f>IF(OR(A345="",NOT(ISNUMBER(I345))),"",IF(G345=Lists!$B$5,I345/2,IF(G345=Lists!$B$7,I345,0)))</f>
        <v/>
      </c>
      <c r="O345" s="53">
        <f>IF(COUNTA(A345:K345)=0,"",IF(OR(A345="",B345="",C345="",D345="",E345="",F345="",G345="",NOT(ISNUMBER(I345))),"Incomplete",IF(COUNTIF(Lists!$H$4:$AA$4,C345)=0,"Check category",IF(COUNTIF(INDEX(Lists!$H$6:$AA$45,0,MATCH(C345,Lists!$H$4:$AA$4,0)),D345)=0,"Check sub-category","OK"))))</f>
        <v/>
      </c>
      <c r="P345">
        <f>IF(ISNUMBER(I345),I345+ROW()/10000000,"")</f>
        <v/>
      </c>
      <c r="Q345">
        <f>IF(AND(ISNUMBER(P345),ISNUMBER(A345)),IF(AND(A345&gt;=Dashboard!$Q$3,A345&lt;=Dashboard!$Q$4,OR(J345&lt;&gt;"Yes",Dashboard!$Q$15="Yes")),P345,""),"")</f>
        <v/>
      </c>
    </row>
    <row r="346">
      <c r="A346" s="47" t="n"/>
      <c r="B346" s="48" t="n"/>
      <c r="C346" s="48" t="n"/>
      <c r="D346" s="48" t="n"/>
      <c r="E346" s="48" t="n"/>
      <c r="F346" s="48" t="n"/>
      <c r="G346" s="48" t="n"/>
      <c r="H346" s="48" t="n"/>
      <c r="I346" s="49" t="n"/>
      <c r="J346" s="50" t="n"/>
      <c r="K346" s="48" t="n"/>
      <c r="L346" s="51">
        <f>IF(A346="","",DATE(YEAR(A346),MONTH(A346),1))</f>
        <v/>
      </c>
      <c r="M346" s="52">
        <f>IF(OR(A346="",NOT(ISNUMBER(I346))),"",IF(G346=Lists!$B$5,I346/2,IF(G346=Lists!$B$6,I346,0)))</f>
        <v/>
      </c>
      <c r="N346" s="52">
        <f>IF(OR(A346="",NOT(ISNUMBER(I346))),"",IF(G346=Lists!$B$5,I346/2,IF(G346=Lists!$B$7,I346,0)))</f>
        <v/>
      </c>
      <c r="O346" s="53">
        <f>IF(COUNTA(A346:K346)=0,"",IF(OR(A346="",B346="",C346="",D346="",E346="",F346="",G346="",NOT(ISNUMBER(I346))),"Incomplete",IF(COUNTIF(Lists!$H$4:$AA$4,C346)=0,"Check category",IF(COUNTIF(INDEX(Lists!$H$6:$AA$45,0,MATCH(C346,Lists!$H$4:$AA$4,0)),D346)=0,"Check sub-category","OK"))))</f>
        <v/>
      </c>
      <c r="P346">
        <f>IF(ISNUMBER(I346),I346+ROW()/10000000,"")</f>
        <v/>
      </c>
      <c r="Q346">
        <f>IF(AND(ISNUMBER(P346),ISNUMBER(A346)),IF(AND(A346&gt;=Dashboard!$Q$3,A346&lt;=Dashboard!$Q$4,OR(J346&lt;&gt;"Yes",Dashboard!$Q$15="Yes")),P346,""),"")</f>
        <v/>
      </c>
    </row>
    <row r="347">
      <c r="A347" s="47" t="n"/>
      <c r="B347" s="48" t="n"/>
      <c r="C347" s="48" t="n"/>
      <c r="D347" s="48" t="n"/>
      <c r="E347" s="48" t="n"/>
      <c r="F347" s="48" t="n"/>
      <c r="G347" s="48" t="n"/>
      <c r="H347" s="48" t="n"/>
      <c r="I347" s="49" t="n"/>
      <c r="J347" s="50" t="n"/>
      <c r="K347" s="48" t="n"/>
      <c r="L347" s="51">
        <f>IF(A347="","",DATE(YEAR(A347),MONTH(A347),1))</f>
        <v/>
      </c>
      <c r="M347" s="52">
        <f>IF(OR(A347="",NOT(ISNUMBER(I347))),"",IF(G347=Lists!$B$5,I347/2,IF(G347=Lists!$B$6,I347,0)))</f>
        <v/>
      </c>
      <c r="N347" s="52">
        <f>IF(OR(A347="",NOT(ISNUMBER(I347))),"",IF(G347=Lists!$B$5,I347/2,IF(G347=Lists!$B$7,I347,0)))</f>
        <v/>
      </c>
      <c r="O347" s="53">
        <f>IF(COUNTA(A347:K347)=0,"",IF(OR(A347="",B347="",C347="",D347="",E347="",F347="",G347="",NOT(ISNUMBER(I347))),"Incomplete",IF(COUNTIF(Lists!$H$4:$AA$4,C347)=0,"Check category",IF(COUNTIF(INDEX(Lists!$H$6:$AA$45,0,MATCH(C347,Lists!$H$4:$AA$4,0)),D347)=0,"Check sub-category","OK"))))</f>
        <v/>
      </c>
      <c r="P347">
        <f>IF(ISNUMBER(I347),I347+ROW()/10000000,"")</f>
        <v/>
      </c>
      <c r="Q347">
        <f>IF(AND(ISNUMBER(P347),ISNUMBER(A347)),IF(AND(A347&gt;=Dashboard!$Q$3,A347&lt;=Dashboard!$Q$4,OR(J347&lt;&gt;"Yes",Dashboard!$Q$15="Yes")),P347,""),"")</f>
        <v/>
      </c>
    </row>
    <row r="348">
      <c r="A348" s="47" t="n"/>
      <c r="B348" s="48" t="n"/>
      <c r="C348" s="48" t="n"/>
      <c r="D348" s="48" t="n"/>
      <c r="E348" s="48" t="n"/>
      <c r="F348" s="48" t="n"/>
      <c r="G348" s="48" t="n"/>
      <c r="H348" s="48" t="n"/>
      <c r="I348" s="49" t="n"/>
      <c r="J348" s="50" t="n"/>
      <c r="K348" s="48" t="n"/>
      <c r="L348" s="51">
        <f>IF(A348="","",DATE(YEAR(A348),MONTH(A348),1))</f>
        <v/>
      </c>
      <c r="M348" s="52">
        <f>IF(OR(A348="",NOT(ISNUMBER(I348))),"",IF(G348=Lists!$B$5,I348/2,IF(G348=Lists!$B$6,I348,0)))</f>
        <v/>
      </c>
      <c r="N348" s="52">
        <f>IF(OR(A348="",NOT(ISNUMBER(I348))),"",IF(G348=Lists!$B$5,I348/2,IF(G348=Lists!$B$7,I348,0)))</f>
        <v/>
      </c>
      <c r="O348" s="53">
        <f>IF(COUNTA(A348:K348)=0,"",IF(OR(A348="",B348="",C348="",D348="",E348="",F348="",G348="",NOT(ISNUMBER(I348))),"Incomplete",IF(COUNTIF(Lists!$H$4:$AA$4,C348)=0,"Check category",IF(COUNTIF(INDEX(Lists!$H$6:$AA$45,0,MATCH(C348,Lists!$H$4:$AA$4,0)),D348)=0,"Check sub-category","OK"))))</f>
        <v/>
      </c>
      <c r="P348">
        <f>IF(ISNUMBER(I348),I348+ROW()/10000000,"")</f>
        <v/>
      </c>
      <c r="Q348">
        <f>IF(AND(ISNUMBER(P348),ISNUMBER(A348)),IF(AND(A348&gt;=Dashboard!$Q$3,A348&lt;=Dashboard!$Q$4,OR(J348&lt;&gt;"Yes",Dashboard!$Q$15="Yes")),P348,""),"")</f>
        <v/>
      </c>
    </row>
    <row r="349">
      <c r="A349" s="47" t="n"/>
      <c r="B349" s="48" t="n"/>
      <c r="C349" s="48" t="n"/>
      <c r="D349" s="48" t="n"/>
      <c r="E349" s="48" t="n"/>
      <c r="F349" s="48" t="n"/>
      <c r="G349" s="48" t="n"/>
      <c r="H349" s="48" t="n"/>
      <c r="I349" s="49" t="n"/>
      <c r="J349" s="50" t="n"/>
      <c r="K349" s="48" t="n"/>
      <c r="L349" s="51">
        <f>IF(A349="","",DATE(YEAR(A349),MONTH(A349),1))</f>
        <v/>
      </c>
      <c r="M349" s="52">
        <f>IF(OR(A349="",NOT(ISNUMBER(I349))),"",IF(G349=Lists!$B$5,I349/2,IF(G349=Lists!$B$6,I349,0)))</f>
        <v/>
      </c>
      <c r="N349" s="52">
        <f>IF(OR(A349="",NOT(ISNUMBER(I349))),"",IF(G349=Lists!$B$5,I349/2,IF(G349=Lists!$B$7,I349,0)))</f>
        <v/>
      </c>
      <c r="O349" s="53">
        <f>IF(COUNTA(A349:K349)=0,"",IF(OR(A349="",B349="",C349="",D349="",E349="",F349="",G349="",NOT(ISNUMBER(I349))),"Incomplete",IF(COUNTIF(Lists!$H$4:$AA$4,C349)=0,"Check category",IF(COUNTIF(INDEX(Lists!$H$6:$AA$45,0,MATCH(C349,Lists!$H$4:$AA$4,0)),D349)=0,"Check sub-category","OK"))))</f>
        <v/>
      </c>
      <c r="P349">
        <f>IF(ISNUMBER(I349),I349+ROW()/10000000,"")</f>
        <v/>
      </c>
      <c r="Q349">
        <f>IF(AND(ISNUMBER(P349),ISNUMBER(A349)),IF(AND(A349&gt;=Dashboard!$Q$3,A349&lt;=Dashboard!$Q$4,OR(J349&lt;&gt;"Yes",Dashboard!$Q$15="Yes")),P349,""),"")</f>
        <v/>
      </c>
    </row>
    <row r="350">
      <c r="A350" s="47" t="n"/>
      <c r="B350" s="48" t="n"/>
      <c r="C350" s="48" t="n"/>
      <c r="D350" s="48" t="n"/>
      <c r="E350" s="48" t="n"/>
      <c r="F350" s="48" t="n"/>
      <c r="G350" s="48" t="n"/>
      <c r="H350" s="48" t="n"/>
      <c r="I350" s="49" t="n"/>
      <c r="J350" s="50" t="n"/>
      <c r="K350" s="48" t="n"/>
      <c r="L350" s="51">
        <f>IF(A350="","",DATE(YEAR(A350),MONTH(A350),1))</f>
        <v/>
      </c>
      <c r="M350" s="52">
        <f>IF(OR(A350="",NOT(ISNUMBER(I350))),"",IF(G350=Lists!$B$5,I350/2,IF(G350=Lists!$B$6,I350,0)))</f>
        <v/>
      </c>
      <c r="N350" s="52">
        <f>IF(OR(A350="",NOT(ISNUMBER(I350))),"",IF(G350=Lists!$B$5,I350/2,IF(G350=Lists!$B$7,I350,0)))</f>
        <v/>
      </c>
      <c r="O350" s="53">
        <f>IF(COUNTA(A350:K350)=0,"",IF(OR(A350="",B350="",C350="",D350="",E350="",F350="",G350="",NOT(ISNUMBER(I350))),"Incomplete",IF(COUNTIF(Lists!$H$4:$AA$4,C350)=0,"Check category",IF(COUNTIF(INDEX(Lists!$H$6:$AA$45,0,MATCH(C350,Lists!$H$4:$AA$4,0)),D350)=0,"Check sub-category","OK"))))</f>
        <v/>
      </c>
      <c r="P350">
        <f>IF(ISNUMBER(I350),I350+ROW()/10000000,"")</f>
        <v/>
      </c>
      <c r="Q350">
        <f>IF(AND(ISNUMBER(P350),ISNUMBER(A350)),IF(AND(A350&gt;=Dashboard!$Q$3,A350&lt;=Dashboard!$Q$4,OR(J350&lt;&gt;"Yes",Dashboard!$Q$15="Yes")),P350,""),"")</f>
        <v/>
      </c>
    </row>
    <row r="351">
      <c r="A351" s="47" t="n"/>
      <c r="B351" s="48" t="n"/>
      <c r="C351" s="48" t="n"/>
      <c r="D351" s="48" t="n"/>
      <c r="E351" s="48" t="n"/>
      <c r="F351" s="48" t="n"/>
      <c r="G351" s="48" t="n"/>
      <c r="H351" s="48" t="n"/>
      <c r="I351" s="49" t="n"/>
      <c r="J351" s="50" t="n"/>
      <c r="K351" s="48" t="n"/>
      <c r="L351" s="51">
        <f>IF(A351="","",DATE(YEAR(A351),MONTH(A351),1))</f>
        <v/>
      </c>
      <c r="M351" s="52">
        <f>IF(OR(A351="",NOT(ISNUMBER(I351))),"",IF(G351=Lists!$B$5,I351/2,IF(G351=Lists!$B$6,I351,0)))</f>
        <v/>
      </c>
      <c r="N351" s="52">
        <f>IF(OR(A351="",NOT(ISNUMBER(I351))),"",IF(G351=Lists!$B$5,I351/2,IF(G351=Lists!$B$7,I351,0)))</f>
        <v/>
      </c>
      <c r="O351" s="53">
        <f>IF(COUNTA(A351:K351)=0,"",IF(OR(A351="",B351="",C351="",D351="",E351="",F351="",G351="",NOT(ISNUMBER(I351))),"Incomplete",IF(COUNTIF(Lists!$H$4:$AA$4,C351)=0,"Check category",IF(COUNTIF(INDEX(Lists!$H$6:$AA$45,0,MATCH(C351,Lists!$H$4:$AA$4,0)),D351)=0,"Check sub-category","OK"))))</f>
        <v/>
      </c>
      <c r="P351">
        <f>IF(ISNUMBER(I351),I351+ROW()/10000000,"")</f>
        <v/>
      </c>
      <c r="Q351">
        <f>IF(AND(ISNUMBER(P351),ISNUMBER(A351)),IF(AND(A351&gt;=Dashboard!$Q$3,A351&lt;=Dashboard!$Q$4,OR(J351&lt;&gt;"Yes",Dashboard!$Q$15="Yes")),P351,""),"")</f>
        <v/>
      </c>
    </row>
    <row r="352">
      <c r="A352" s="47" t="n"/>
      <c r="B352" s="48" t="n"/>
      <c r="C352" s="48" t="n"/>
      <c r="D352" s="48" t="n"/>
      <c r="E352" s="48" t="n"/>
      <c r="F352" s="48" t="n"/>
      <c r="G352" s="48" t="n"/>
      <c r="H352" s="48" t="n"/>
      <c r="I352" s="49" t="n"/>
      <c r="J352" s="50" t="n"/>
      <c r="K352" s="48" t="n"/>
      <c r="L352" s="51">
        <f>IF(A352="","",DATE(YEAR(A352),MONTH(A352),1))</f>
        <v/>
      </c>
      <c r="M352" s="52">
        <f>IF(OR(A352="",NOT(ISNUMBER(I352))),"",IF(G352=Lists!$B$5,I352/2,IF(G352=Lists!$B$6,I352,0)))</f>
        <v/>
      </c>
      <c r="N352" s="52">
        <f>IF(OR(A352="",NOT(ISNUMBER(I352))),"",IF(G352=Lists!$B$5,I352/2,IF(G352=Lists!$B$7,I352,0)))</f>
        <v/>
      </c>
      <c r="O352" s="53">
        <f>IF(COUNTA(A352:K352)=0,"",IF(OR(A352="",B352="",C352="",D352="",E352="",F352="",G352="",NOT(ISNUMBER(I352))),"Incomplete",IF(COUNTIF(Lists!$H$4:$AA$4,C352)=0,"Check category",IF(COUNTIF(INDEX(Lists!$H$6:$AA$45,0,MATCH(C352,Lists!$H$4:$AA$4,0)),D352)=0,"Check sub-category","OK"))))</f>
        <v/>
      </c>
      <c r="P352">
        <f>IF(ISNUMBER(I352),I352+ROW()/10000000,"")</f>
        <v/>
      </c>
      <c r="Q352">
        <f>IF(AND(ISNUMBER(P352),ISNUMBER(A352)),IF(AND(A352&gt;=Dashboard!$Q$3,A352&lt;=Dashboard!$Q$4,OR(J352&lt;&gt;"Yes",Dashboard!$Q$15="Yes")),P352,""),"")</f>
        <v/>
      </c>
    </row>
    <row r="353">
      <c r="A353" s="47" t="n"/>
      <c r="B353" s="48" t="n"/>
      <c r="C353" s="48" t="n"/>
      <c r="D353" s="48" t="n"/>
      <c r="E353" s="48" t="n"/>
      <c r="F353" s="48" t="n"/>
      <c r="G353" s="48" t="n"/>
      <c r="H353" s="48" t="n"/>
      <c r="I353" s="49" t="n"/>
      <c r="J353" s="50" t="n"/>
      <c r="K353" s="48" t="n"/>
      <c r="L353" s="51">
        <f>IF(A353="","",DATE(YEAR(A353),MONTH(A353),1))</f>
        <v/>
      </c>
      <c r="M353" s="52">
        <f>IF(OR(A353="",NOT(ISNUMBER(I353))),"",IF(G353=Lists!$B$5,I353/2,IF(G353=Lists!$B$6,I353,0)))</f>
        <v/>
      </c>
      <c r="N353" s="52">
        <f>IF(OR(A353="",NOT(ISNUMBER(I353))),"",IF(G353=Lists!$B$5,I353/2,IF(G353=Lists!$B$7,I353,0)))</f>
        <v/>
      </c>
      <c r="O353" s="53">
        <f>IF(COUNTA(A353:K353)=0,"",IF(OR(A353="",B353="",C353="",D353="",E353="",F353="",G353="",NOT(ISNUMBER(I353))),"Incomplete",IF(COUNTIF(Lists!$H$4:$AA$4,C353)=0,"Check category",IF(COUNTIF(INDEX(Lists!$H$6:$AA$45,0,MATCH(C353,Lists!$H$4:$AA$4,0)),D353)=0,"Check sub-category","OK"))))</f>
        <v/>
      </c>
      <c r="P353">
        <f>IF(ISNUMBER(I353),I353+ROW()/10000000,"")</f>
        <v/>
      </c>
      <c r="Q353">
        <f>IF(AND(ISNUMBER(P353),ISNUMBER(A353)),IF(AND(A353&gt;=Dashboard!$Q$3,A353&lt;=Dashboard!$Q$4,OR(J353&lt;&gt;"Yes",Dashboard!$Q$15="Yes")),P353,""),"")</f>
        <v/>
      </c>
    </row>
    <row r="354">
      <c r="A354" s="47" t="n"/>
      <c r="B354" s="48" t="n"/>
      <c r="C354" s="48" t="n"/>
      <c r="D354" s="48" t="n"/>
      <c r="E354" s="48" t="n"/>
      <c r="F354" s="48" t="n"/>
      <c r="G354" s="48" t="n"/>
      <c r="H354" s="48" t="n"/>
      <c r="I354" s="49" t="n"/>
      <c r="J354" s="50" t="n"/>
      <c r="K354" s="48" t="n"/>
      <c r="L354" s="51">
        <f>IF(A354="","",DATE(YEAR(A354),MONTH(A354),1))</f>
        <v/>
      </c>
      <c r="M354" s="52">
        <f>IF(OR(A354="",NOT(ISNUMBER(I354))),"",IF(G354=Lists!$B$5,I354/2,IF(G354=Lists!$B$6,I354,0)))</f>
        <v/>
      </c>
      <c r="N354" s="52">
        <f>IF(OR(A354="",NOT(ISNUMBER(I354))),"",IF(G354=Lists!$B$5,I354/2,IF(G354=Lists!$B$7,I354,0)))</f>
        <v/>
      </c>
      <c r="O354" s="53">
        <f>IF(COUNTA(A354:K354)=0,"",IF(OR(A354="",B354="",C354="",D354="",E354="",F354="",G354="",NOT(ISNUMBER(I354))),"Incomplete",IF(COUNTIF(Lists!$H$4:$AA$4,C354)=0,"Check category",IF(COUNTIF(INDEX(Lists!$H$6:$AA$45,0,MATCH(C354,Lists!$H$4:$AA$4,0)),D354)=0,"Check sub-category","OK"))))</f>
        <v/>
      </c>
      <c r="P354">
        <f>IF(ISNUMBER(I354),I354+ROW()/10000000,"")</f>
        <v/>
      </c>
      <c r="Q354">
        <f>IF(AND(ISNUMBER(P354),ISNUMBER(A354)),IF(AND(A354&gt;=Dashboard!$Q$3,A354&lt;=Dashboard!$Q$4,OR(J354&lt;&gt;"Yes",Dashboard!$Q$15="Yes")),P354,""),"")</f>
        <v/>
      </c>
    </row>
    <row r="355">
      <c r="A355" s="47" t="n"/>
      <c r="B355" s="48" t="n"/>
      <c r="C355" s="48" t="n"/>
      <c r="D355" s="48" t="n"/>
      <c r="E355" s="48" t="n"/>
      <c r="F355" s="48" t="n"/>
      <c r="G355" s="48" t="n"/>
      <c r="H355" s="48" t="n"/>
      <c r="I355" s="49" t="n"/>
      <c r="J355" s="50" t="n"/>
      <c r="K355" s="48" t="n"/>
      <c r="L355" s="51">
        <f>IF(A355="","",DATE(YEAR(A355),MONTH(A355),1))</f>
        <v/>
      </c>
      <c r="M355" s="52">
        <f>IF(OR(A355="",NOT(ISNUMBER(I355))),"",IF(G355=Lists!$B$5,I355/2,IF(G355=Lists!$B$6,I355,0)))</f>
        <v/>
      </c>
      <c r="N355" s="52">
        <f>IF(OR(A355="",NOT(ISNUMBER(I355))),"",IF(G355=Lists!$B$5,I355/2,IF(G355=Lists!$B$7,I355,0)))</f>
        <v/>
      </c>
      <c r="O355" s="53">
        <f>IF(COUNTA(A355:K355)=0,"",IF(OR(A355="",B355="",C355="",D355="",E355="",F355="",G355="",NOT(ISNUMBER(I355))),"Incomplete",IF(COUNTIF(Lists!$H$4:$AA$4,C355)=0,"Check category",IF(COUNTIF(INDEX(Lists!$H$6:$AA$45,0,MATCH(C355,Lists!$H$4:$AA$4,0)),D355)=0,"Check sub-category","OK"))))</f>
        <v/>
      </c>
      <c r="P355">
        <f>IF(ISNUMBER(I355),I355+ROW()/10000000,"")</f>
        <v/>
      </c>
      <c r="Q355">
        <f>IF(AND(ISNUMBER(P355),ISNUMBER(A355)),IF(AND(A355&gt;=Dashboard!$Q$3,A355&lt;=Dashboard!$Q$4,OR(J355&lt;&gt;"Yes",Dashboard!$Q$15="Yes")),P355,""),"")</f>
        <v/>
      </c>
    </row>
    <row r="356">
      <c r="A356" s="47" t="n"/>
      <c r="B356" s="48" t="n"/>
      <c r="C356" s="48" t="n"/>
      <c r="D356" s="48" t="n"/>
      <c r="E356" s="48" t="n"/>
      <c r="F356" s="48" t="n"/>
      <c r="G356" s="48" t="n"/>
      <c r="H356" s="48" t="n"/>
      <c r="I356" s="49" t="n"/>
      <c r="J356" s="50" t="n"/>
      <c r="K356" s="48" t="n"/>
      <c r="L356" s="51">
        <f>IF(A356="","",DATE(YEAR(A356),MONTH(A356),1))</f>
        <v/>
      </c>
      <c r="M356" s="52">
        <f>IF(OR(A356="",NOT(ISNUMBER(I356))),"",IF(G356=Lists!$B$5,I356/2,IF(G356=Lists!$B$6,I356,0)))</f>
        <v/>
      </c>
      <c r="N356" s="52">
        <f>IF(OR(A356="",NOT(ISNUMBER(I356))),"",IF(G356=Lists!$B$5,I356/2,IF(G356=Lists!$B$7,I356,0)))</f>
        <v/>
      </c>
      <c r="O356" s="53">
        <f>IF(COUNTA(A356:K356)=0,"",IF(OR(A356="",B356="",C356="",D356="",E356="",F356="",G356="",NOT(ISNUMBER(I356))),"Incomplete",IF(COUNTIF(Lists!$H$4:$AA$4,C356)=0,"Check category",IF(COUNTIF(INDEX(Lists!$H$6:$AA$45,0,MATCH(C356,Lists!$H$4:$AA$4,0)),D356)=0,"Check sub-category","OK"))))</f>
        <v/>
      </c>
      <c r="P356">
        <f>IF(ISNUMBER(I356),I356+ROW()/10000000,"")</f>
        <v/>
      </c>
      <c r="Q356">
        <f>IF(AND(ISNUMBER(P356),ISNUMBER(A356)),IF(AND(A356&gt;=Dashboard!$Q$3,A356&lt;=Dashboard!$Q$4,OR(J356&lt;&gt;"Yes",Dashboard!$Q$15="Yes")),P356,""),"")</f>
        <v/>
      </c>
    </row>
    <row r="357">
      <c r="A357" s="47" t="n"/>
      <c r="B357" s="48" t="n"/>
      <c r="C357" s="48" t="n"/>
      <c r="D357" s="48" t="n"/>
      <c r="E357" s="48" t="n"/>
      <c r="F357" s="48" t="n"/>
      <c r="G357" s="48" t="n"/>
      <c r="H357" s="48" t="n"/>
      <c r="I357" s="49" t="n"/>
      <c r="J357" s="50" t="n"/>
      <c r="K357" s="48" t="n"/>
      <c r="L357" s="51">
        <f>IF(A357="","",DATE(YEAR(A357),MONTH(A357),1))</f>
        <v/>
      </c>
      <c r="M357" s="52">
        <f>IF(OR(A357="",NOT(ISNUMBER(I357))),"",IF(G357=Lists!$B$5,I357/2,IF(G357=Lists!$B$6,I357,0)))</f>
        <v/>
      </c>
      <c r="N357" s="52">
        <f>IF(OR(A357="",NOT(ISNUMBER(I357))),"",IF(G357=Lists!$B$5,I357/2,IF(G357=Lists!$B$7,I357,0)))</f>
        <v/>
      </c>
      <c r="O357" s="53">
        <f>IF(COUNTA(A357:K357)=0,"",IF(OR(A357="",B357="",C357="",D357="",E357="",F357="",G357="",NOT(ISNUMBER(I357))),"Incomplete",IF(COUNTIF(Lists!$H$4:$AA$4,C357)=0,"Check category",IF(COUNTIF(INDEX(Lists!$H$6:$AA$45,0,MATCH(C357,Lists!$H$4:$AA$4,0)),D357)=0,"Check sub-category","OK"))))</f>
        <v/>
      </c>
      <c r="P357">
        <f>IF(ISNUMBER(I357),I357+ROW()/10000000,"")</f>
        <v/>
      </c>
      <c r="Q357">
        <f>IF(AND(ISNUMBER(P357),ISNUMBER(A357)),IF(AND(A357&gt;=Dashboard!$Q$3,A357&lt;=Dashboard!$Q$4,OR(J357&lt;&gt;"Yes",Dashboard!$Q$15="Yes")),P357,""),"")</f>
        <v/>
      </c>
    </row>
    <row r="358">
      <c r="A358" s="47" t="n"/>
      <c r="B358" s="48" t="n"/>
      <c r="C358" s="48" t="n"/>
      <c r="D358" s="48" t="n"/>
      <c r="E358" s="48" t="n"/>
      <c r="F358" s="48" t="n"/>
      <c r="G358" s="48" t="n"/>
      <c r="H358" s="48" t="n"/>
      <c r="I358" s="49" t="n"/>
      <c r="J358" s="50" t="n"/>
      <c r="K358" s="48" t="n"/>
      <c r="L358" s="51">
        <f>IF(A358="","",DATE(YEAR(A358),MONTH(A358),1))</f>
        <v/>
      </c>
      <c r="M358" s="52">
        <f>IF(OR(A358="",NOT(ISNUMBER(I358))),"",IF(G358=Lists!$B$5,I358/2,IF(G358=Lists!$B$6,I358,0)))</f>
        <v/>
      </c>
      <c r="N358" s="52">
        <f>IF(OR(A358="",NOT(ISNUMBER(I358))),"",IF(G358=Lists!$B$5,I358/2,IF(G358=Lists!$B$7,I358,0)))</f>
        <v/>
      </c>
      <c r="O358" s="53">
        <f>IF(COUNTA(A358:K358)=0,"",IF(OR(A358="",B358="",C358="",D358="",E358="",F358="",G358="",NOT(ISNUMBER(I358))),"Incomplete",IF(COUNTIF(Lists!$H$4:$AA$4,C358)=0,"Check category",IF(COUNTIF(INDEX(Lists!$H$6:$AA$45,0,MATCH(C358,Lists!$H$4:$AA$4,0)),D358)=0,"Check sub-category","OK"))))</f>
        <v/>
      </c>
      <c r="P358">
        <f>IF(ISNUMBER(I358),I358+ROW()/10000000,"")</f>
        <v/>
      </c>
      <c r="Q358">
        <f>IF(AND(ISNUMBER(P358),ISNUMBER(A358)),IF(AND(A358&gt;=Dashboard!$Q$3,A358&lt;=Dashboard!$Q$4,OR(J358&lt;&gt;"Yes",Dashboard!$Q$15="Yes")),P358,""),"")</f>
        <v/>
      </c>
    </row>
    <row r="359">
      <c r="A359" s="47" t="n"/>
      <c r="B359" s="48" t="n"/>
      <c r="C359" s="48" t="n"/>
      <c r="D359" s="48" t="n"/>
      <c r="E359" s="48" t="n"/>
      <c r="F359" s="48" t="n"/>
      <c r="G359" s="48" t="n"/>
      <c r="H359" s="48" t="n"/>
      <c r="I359" s="49" t="n"/>
      <c r="J359" s="50" t="n"/>
      <c r="K359" s="48" t="n"/>
      <c r="L359" s="51">
        <f>IF(A359="","",DATE(YEAR(A359),MONTH(A359),1))</f>
        <v/>
      </c>
      <c r="M359" s="52">
        <f>IF(OR(A359="",NOT(ISNUMBER(I359))),"",IF(G359=Lists!$B$5,I359/2,IF(G359=Lists!$B$6,I359,0)))</f>
        <v/>
      </c>
      <c r="N359" s="52">
        <f>IF(OR(A359="",NOT(ISNUMBER(I359))),"",IF(G359=Lists!$B$5,I359/2,IF(G359=Lists!$B$7,I359,0)))</f>
        <v/>
      </c>
      <c r="O359" s="53">
        <f>IF(COUNTA(A359:K359)=0,"",IF(OR(A359="",B359="",C359="",D359="",E359="",F359="",G359="",NOT(ISNUMBER(I359))),"Incomplete",IF(COUNTIF(Lists!$H$4:$AA$4,C359)=0,"Check category",IF(COUNTIF(INDEX(Lists!$H$6:$AA$45,0,MATCH(C359,Lists!$H$4:$AA$4,0)),D359)=0,"Check sub-category","OK"))))</f>
        <v/>
      </c>
      <c r="P359">
        <f>IF(ISNUMBER(I359),I359+ROW()/10000000,"")</f>
        <v/>
      </c>
      <c r="Q359">
        <f>IF(AND(ISNUMBER(P359),ISNUMBER(A359)),IF(AND(A359&gt;=Dashboard!$Q$3,A359&lt;=Dashboard!$Q$4,OR(J359&lt;&gt;"Yes",Dashboard!$Q$15="Yes")),P359,""),"")</f>
        <v/>
      </c>
    </row>
    <row r="360">
      <c r="A360" s="47" t="n"/>
      <c r="B360" s="48" t="n"/>
      <c r="C360" s="48" t="n"/>
      <c r="D360" s="48" t="n"/>
      <c r="E360" s="48" t="n"/>
      <c r="F360" s="48" t="n"/>
      <c r="G360" s="48" t="n"/>
      <c r="H360" s="48" t="n"/>
      <c r="I360" s="49" t="n"/>
      <c r="J360" s="50" t="n"/>
      <c r="K360" s="48" t="n"/>
      <c r="L360" s="51">
        <f>IF(A360="","",DATE(YEAR(A360),MONTH(A360),1))</f>
        <v/>
      </c>
      <c r="M360" s="52">
        <f>IF(OR(A360="",NOT(ISNUMBER(I360))),"",IF(G360=Lists!$B$5,I360/2,IF(G360=Lists!$B$6,I360,0)))</f>
        <v/>
      </c>
      <c r="N360" s="52">
        <f>IF(OR(A360="",NOT(ISNUMBER(I360))),"",IF(G360=Lists!$B$5,I360/2,IF(G360=Lists!$B$7,I360,0)))</f>
        <v/>
      </c>
      <c r="O360" s="53">
        <f>IF(COUNTA(A360:K360)=0,"",IF(OR(A360="",B360="",C360="",D360="",E360="",F360="",G360="",NOT(ISNUMBER(I360))),"Incomplete",IF(COUNTIF(Lists!$H$4:$AA$4,C360)=0,"Check category",IF(COUNTIF(INDEX(Lists!$H$6:$AA$45,0,MATCH(C360,Lists!$H$4:$AA$4,0)),D360)=0,"Check sub-category","OK"))))</f>
        <v/>
      </c>
      <c r="P360">
        <f>IF(ISNUMBER(I360),I360+ROW()/10000000,"")</f>
        <v/>
      </c>
      <c r="Q360">
        <f>IF(AND(ISNUMBER(P360),ISNUMBER(A360)),IF(AND(A360&gt;=Dashboard!$Q$3,A360&lt;=Dashboard!$Q$4,OR(J360&lt;&gt;"Yes",Dashboard!$Q$15="Yes")),P360,""),"")</f>
        <v/>
      </c>
    </row>
    <row r="361">
      <c r="A361" s="47" t="n"/>
      <c r="B361" s="48" t="n"/>
      <c r="C361" s="48" t="n"/>
      <c r="D361" s="48" t="n"/>
      <c r="E361" s="48" t="n"/>
      <c r="F361" s="48" t="n"/>
      <c r="G361" s="48" t="n"/>
      <c r="H361" s="48" t="n"/>
      <c r="I361" s="49" t="n"/>
      <c r="J361" s="50" t="n"/>
      <c r="K361" s="48" t="n"/>
      <c r="L361" s="51">
        <f>IF(A361="","",DATE(YEAR(A361),MONTH(A361),1))</f>
        <v/>
      </c>
      <c r="M361" s="52">
        <f>IF(OR(A361="",NOT(ISNUMBER(I361))),"",IF(G361=Lists!$B$5,I361/2,IF(G361=Lists!$B$6,I361,0)))</f>
        <v/>
      </c>
      <c r="N361" s="52">
        <f>IF(OR(A361="",NOT(ISNUMBER(I361))),"",IF(G361=Lists!$B$5,I361/2,IF(G361=Lists!$B$7,I361,0)))</f>
        <v/>
      </c>
      <c r="O361" s="53">
        <f>IF(COUNTA(A361:K361)=0,"",IF(OR(A361="",B361="",C361="",D361="",E361="",F361="",G361="",NOT(ISNUMBER(I361))),"Incomplete",IF(COUNTIF(Lists!$H$4:$AA$4,C361)=0,"Check category",IF(COUNTIF(INDEX(Lists!$H$6:$AA$45,0,MATCH(C361,Lists!$H$4:$AA$4,0)),D361)=0,"Check sub-category","OK"))))</f>
        <v/>
      </c>
      <c r="P361">
        <f>IF(ISNUMBER(I361),I361+ROW()/10000000,"")</f>
        <v/>
      </c>
      <c r="Q361">
        <f>IF(AND(ISNUMBER(P361),ISNUMBER(A361)),IF(AND(A361&gt;=Dashboard!$Q$3,A361&lt;=Dashboard!$Q$4,OR(J361&lt;&gt;"Yes",Dashboard!$Q$15="Yes")),P361,""),"")</f>
        <v/>
      </c>
    </row>
    <row r="362">
      <c r="A362" s="47" t="n"/>
      <c r="B362" s="48" t="n"/>
      <c r="C362" s="48" t="n"/>
      <c r="D362" s="48" t="n"/>
      <c r="E362" s="48" t="n"/>
      <c r="F362" s="48" t="n"/>
      <c r="G362" s="48" t="n"/>
      <c r="H362" s="48" t="n"/>
      <c r="I362" s="49" t="n"/>
      <c r="J362" s="50" t="n"/>
      <c r="K362" s="48" t="n"/>
      <c r="L362" s="51">
        <f>IF(A362="","",DATE(YEAR(A362),MONTH(A362),1))</f>
        <v/>
      </c>
      <c r="M362" s="52">
        <f>IF(OR(A362="",NOT(ISNUMBER(I362))),"",IF(G362=Lists!$B$5,I362/2,IF(G362=Lists!$B$6,I362,0)))</f>
        <v/>
      </c>
      <c r="N362" s="52">
        <f>IF(OR(A362="",NOT(ISNUMBER(I362))),"",IF(G362=Lists!$B$5,I362/2,IF(G362=Lists!$B$7,I362,0)))</f>
        <v/>
      </c>
      <c r="O362" s="53">
        <f>IF(COUNTA(A362:K362)=0,"",IF(OR(A362="",B362="",C362="",D362="",E362="",F362="",G362="",NOT(ISNUMBER(I362))),"Incomplete",IF(COUNTIF(Lists!$H$4:$AA$4,C362)=0,"Check category",IF(COUNTIF(INDEX(Lists!$H$6:$AA$45,0,MATCH(C362,Lists!$H$4:$AA$4,0)),D362)=0,"Check sub-category","OK"))))</f>
        <v/>
      </c>
      <c r="P362">
        <f>IF(ISNUMBER(I362),I362+ROW()/10000000,"")</f>
        <v/>
      </c>
      <c r="Q362">
        <f>IF(AND(ISNUMBER(P362),ISNUMBER(A362)),IF(AND(A362&gt;=Dashboard!$Q$3,A362&lt;=Dashboard!$Q$4,OR(J362&lt;&gt;"Yes",Dashboard!$Q$15="Yes")),P362,""),"")</f>
        <v/>
      </c>
    </row>
    <row r="363">
      <c r="A363" s="47" t="n"/>
      <c r="B363" s="48" t="n"/>
      <c r="C363" s="48" t="n"/>
      <c r="D363" s="48" t="n"/>
      <c r="E363" s="48" t="n"/>
      <c r="F363" s="48" t="n"/>
      <c r="G363" s="48" t="n"/>
      <c r="H363" s="48" t="n"/>
      <c r="I363" s="49" t="n"/>
      <c r="J363" s="50" t="n"/>
      <c r="K363" s="48" t="n"/>
      <c r="L363" s="51">
        <f>IF(A363="","",DATE(YEAR(A363),MONTH(A363),1))</f>
        <v/>
      </c>
      <c r="M363" s="52">
        <f>IF(OR(A363="",NOT(ISNUMBER(I363))),"",IF(G363=Lists!$B$5,I363/2,IF(G363=Lists!$B$6,I363,0)))</f>
        <v/>
      </c>
      <c r="N363" s="52">
        <f>IF(OR(A363="",NOT(ISNUMBER(I363))),"",IF(G363=Lists!$B$5,I363/2,IF(G363=Lists!$B$7,I363,0)))</f>
        <v/>
      </c>
      <c r="O363" s="53">
        <f>IF(COUNTA(A363:K363)=0,"",IF(OR(A363="",B363="",C363="",D363="",E363="",F363="",G363="",NOT(ISNUMBER(I363))),"Incomplete",IF(COUNTIF(Lists!$H$4:$AA$4,C363)=0,"Check category",IF(COUNTIF(INDEX(Lists!$H$6:$AA$45,0,MATCH(C363,Lists!$H$4:$AA$4,0)),D363)=0,"Check sub-category","OK"))))</f>
        <v/>
      </c>
      <c r="P363">
        <f>IF(ISNUMBER(I363),I363+ROW()/10000000,"")</f>
        <v/>
      </c>
      <c r="Q363">
        <f>IF(AND(ISNUMBER(P363),ISNUMBER(A363)),IF(AND(A363&gt;=Dashboard!$Q$3,A363&lt;=Dashboard!$Q$4,OR(J363&lt;&gt;"Yes",Dashboard!$Q$15="Yes")),P363,""),"")</f>
        <v/>
      </c>
    </row>
    <row r="364">
      <c r="A364" s="47" t="n"/>
      <c r="B364" s="48" t="n"/>
      <c r="C364" s="48" t="n"/>
      <c r="D364" s="48" t="n"/>
      <c r="E364" s="48" t="n"/>
      <c r="F364" s="48" t="n"/>
      <c r="G364" s="48" t="n"/>
      <c r="H364" s="48" t="n"/>
      <c r="I364" s="49" t="n"/>
      <c r="J364" s="50" t="n"/>
      <c r="K364" s="48" t="n"/>
      <c r="L364" s="51">
        <f>IF(A364="","",DATE(YEAR(A364),MONTH(A364),1))</f>
        <v/>
      </c>
      <c r="M364" s="52">
        <f>IF(OR(A364="",NOT(ISNUMBER(I364))),"",IF(G364=Lists!$B$5,I364/2,IF(G364=Lists!$B$6,I364,0)))</f>
        <v/>
      </c>
      <c r="N364" s="52">
        <f>IF(OR(A364="",NOT(ISNUMBER(I364))),"",IF(G364=Lists!$B$5,I364/2,IF(G364=Lists!$B$7,I364,0)))</f>
        <v/>
      </c>
      <c r="O364" s="53">
        <f>IF(COUNTA(A364:K364)=0,"",IF(OR(A364="",B364="",C364="",D364="",E364="",F364="",G364="",NOT(ISNUMBER(I364))),"Incomplete",IF(COUNTIF(Lists!$H$4:$AA$4,C364)=0,"Check category",IF(COUNTIF(INDEX(Lists!$H$6:$AA$45,0,MATCH(C364,Lists!$H$4:$AA$4,0)),D364)=0,"Check sub-category","OK"))))</f>
        <v/>
      </c>
      <c r="P364">
        <f>IF(ISNUMBER(I364),I364+ROW()/10000000,"")</f>
        <v/>
      </c>
      <c r="Q364">
        <f>IF(AND(ISNUMBER(P364),ISNUMBER(A364)),IF(AND(A364&gt;=Dashboard!$Q$3,A364&lt;=Dashboard!$Q$4,OR(J364&lt;&gt;"Yes",Dashboard!$Q$15="Yes")),P364,""),"")</f>
        <v/>
      </c>
    </row>
    <row r="365">
      <c r="A365" s="47" t="n"/>
      <c r="B365" s="48" t="n"/>
      <c r="C365" s="48" t="n"/>
      <c r="D365" s="48" t="n"/>
      <c r="E365" s="48" t="n"/>
      <c r="F365" s="48" t="n"/>
      <c r="G365" s="48" t="n"/>
      <c r="H365" s="48" t="n"/>
      <c r="I365" s="49" t="n"/>
      <c r="J365" s="50" t="n"/>
      <c r="K365" s="48" t="n"/>
      <c r="L365" s="51">
        <f>IF(A365="","",DATE(YEAR(A365),MONTH(A365),1))</f>
        <v/>
      </c>
      <c r="M365" s="52">
        <f>IF(OR(A365="",NOT(ISNUMBER(I365))),"",IF(G365=Lists!$B$5,I365/2,IF(G365=Lists!$B$6,I365,0)))</f>
        <v/>
      </c>
      <c r="N365" s="52">
        <f>IF(OR(A365="",NOT(ISNUMBER(I365))),"",IF(G365=Lists!$B$5,I365/2,IF(G365=Lists!$B$7,I365,0)))</f>
        <v/>
      </c>
      <c r="O365" s="53">
        <f>IF(COUNTA(A365:K365)=0,"",IF(OR(A365="",B365="",C365="",D365="",E365="",F365="",G365="",NOT(ISNUMBER(I365))),"Incomplete",IF(COUNTIF(Lists!$H$4:$AA$4,C365)=0,"Check category",IF(COUNTIF(INDEX(Lists!$H$6:$AA$45,0,MATCH(C365,Lists!$H$4:$AA$4,0)),D365)=0,"Check sub-category","OK"))))</f>
        <v/>
      </c>
      <c r="P365">
        <f>IF(ISNUMBER(I365),I365+ROW()/10000000,"")</f>
        <v/>
      </c>
      <c r="Q365">
        <f>IF(AND(ISNUMBER(P365),ISNUMBER(A365)),IF(AND(A365&gt;=Dashboard!$Q$3,A365&lt;=Dashboard!$Q$4,OR(J365&lt;&gt;"Yes",Dashboard!$Q$15="Yes")),P365,""),"")</f>
        <v/>
      </c>
    </row>
    <row r="366">
      <c r="A366" s="47" t="n"/>
      <c r="B366" s="48" t="n"/>
      <c r="C366" s="48" t="n"/>
      <c r="D366" s="48" t="n"/>
      <c r="E366" s="48" t="n"/>
      <c r="F366" s="48" t="n"/>
      <c r="G366" s="48" t="n"/>
      <c r="H366" s="48" t="n"/>
      <c r="I366" s="49" t="n"/>
      <c r="J366" s="50" t="n"/>
      <c r="K366" s="48" t="n"/>
      <c r="L366" s="51">
        <f>IF(A366="","",DATE(YEAR(A366),MONTH(A366),1))</f>
        <v/>
      </c>
      <c r="M366" s="52">
        <f>IF(OR(A366="",NOT(ISNUMBER(I366))),"",IF(G366=Lists!$B$5,I366/2,IF(G366=Lists!$B$6,I366,0)))</f>
        <v/>
      </c>
      <c r="N366" s="52">
        <f>IF(OR(A366="",NOT(ISNUMBER(I366))),"",IF(G366=Lists!$B$5,I366/2,IF(G366=Lists!$B$7,I366,0)))</f>
        <v/>
      </c>
      <c r="O366" s="53">
        <f>IF(COUNTA(A366:K366)=0,"",IF(OR(A366="",B366="",C366="",D366="",E366="",F366="",G366="",NOT(ISNUMBER(I366))),"Incomplete",IF(COUNTIF(Lists!$H$4:$AA$4,C366)=0,"Check category",IF(COUNTIF(INDEX(Lists!$H$6:$AA$45,0,MATCH(C366,Lists!$H$4:$AA$4,0)),D366)=0,"Check sub-category","OK"))))</f>
        <v/>
      </c>
      <c r="P366">
        <f>IF(ISNUMBER(I366),I366+ROW()/10000000,"")</f>
        <v/>
      </c>
      <c r="Q366">
        <f>IF(AND(ISNUMBER(P366),ISNUMBER(A366)),IF(AND(A366&gt;=Dashboard!$Q$3,A366&lt;=Dashboard!$Q$4,OR(J366&lt;&gt;"Yes",Dashboard!$Q$15="Yes")),P366,""),"")</f>
        <v/>
      </c>
    </row>
    <row r="367">
      <c r="A367" s="47" t="n"/>
      <c r="B367" s="48" t="n"/>
      <c r="C367" s="48" t="n"/>
      <c r="D367" s="48" t="n"/>
      <c r="E367" s="48" t="n"/>
      <c r="F367" s="48" t="n"/>
      <c r="G367" s="48" t="n"/>
      <c r="H367" s="48" t="n"/>
      <c r="I367" s="49" t="n"/>
      <c r="J367" s="50" t="n"/>
      <c r="K367" s="48" t="n"/>
      <c r="L367" s="51">
        <f>IF(A367="","",DATE(YEAR(A367),MONTH(A367),1))</f>
        <v/>
      </c>
      <c r="M367" s="52">
        <f>IF(OR(A367="",NOT(ISNUMBER(I367))),"",IF(G367=Lists!$B$5,I367/2,IF(G367=Lists!$B$6,I367,0)))</f>
        <v/>
      </c>
      <c r="N367" s="52">
        <f>IF(OR(A367="",NOT(ISNUMBER(I367))),"",IF(G367=Lists!$B$5,I367/2,IF(G367=Lists!$B$7,I367,0)))</f>
        <v/>
      </c>
      <c r="O367" s="53">
        <f>IF(COUNTA(A367:K367)=0,"",IF(OR(A367="",B367="",C367="",D367="",E367="",F367="",G367="",NOT(ISNUMBER(I367))),"Incomplete",IF(COUNTIF(Lists!$H$4:$AA$4,C367)=0,"Check category",IF(COUNTIF(INDEX(Lists!$H$6:$AA$45,0,MATCH(C367,Lists!$H$4:$AA$4,0)),D367)=0,"Check sub-category","OK"))))</f>
        <v/>
      </c>
      <c r="P367">
        <f>IF(ISNUMBER(I367),I367+ROW()/10000000,"")</f>
        <v/>
      </c>
      <c r="Q367">
        <f>IF(AND(ISNUMBER(P367),ISNUMBER(A367)),IF(AND(A367&gt;=Dashboard!$Q$3,A367&lt;=Dashboard!$Q$4,OR(J367&lt;&gt;"Yes",Dashboard!$Q$15="Yes")),P367,""),"")</f>
        <v/>
      </c>
    </row>
    <row r="368">
      <c r="A368" s="47" t="n"/>
      <c r="B368" s="48" t="n"/>
      <c r="C368" s="48" t="n"/>
      <c r="D368" s="48" t="n"/>
      <c r="E368" s="48" t="n"/>
      <c r="F368" s="48" t="n"/>
      <c r="G368" s="48" t="n"/>
      <c r="H368" s="48" t="n"/>
      <c r="I368" s="49" t="n"/>
      <c r="J368" s="50" t="n"/>
      <c r="K368" s="48" t="n"/>
      <c r="L368" s="51">
        <f>IF(A368="","",DATE(YEAR(A368),MONTH(A368),1))</f>
        <v/>
      </c>
      <c r="M368" s="52">
        <f>IF(OR(A368="",NOT(ISNUMBER(I368))),"",IF(G368=Lists!$B$5,I368/2,IF(G368=Lists!$B$6,I368,0)))</f>
        <v/>
      </c>
      <c r="N368" s="52">
        <f>IF(OR(A368="",NOT(ISNUMBER(I368))),"",IF(G368=Lists!$B$5,I368/2,IF(G368=Lists!$B$7,I368,0)))</f>
        <v/>
      </c>
      <c r="O368" s="53">
        <f>IF(COUNTA(A368:K368)=0,"",IF(OR(A368="",B368="",C368="",D368="",E368="",F368="",G368="",NOT(ISNUMBER(I368))),"Incomplete",IF(COUNTIF(Lists!$H$4:$AA$4,C368)=0,"Check category",IF(COUNTIF(INDEX(Lists!$H$6:$AA$45,0,MATCH(C368,Lists!$H$4:$AA$4,0)),D368)=0,"Check sub-category","OK"))))</f>
        <v/>
      </c>
      <c r="P368">
        <f>IF(ISNUMBER(I368),I368+ROW()/10000000,"")</f>
        <v/>
      </c>
      <c r="Q368">
        <f>IF(AND(ISNUMBER(P368),ISNUMBER(A368)),IF(AND(A368&gt;=Dashboard!$Q$3,A368&lt;=Dashboard!$Q$4,OR(J368&lt;&gt;"Yes",Dashboard!$Q$15="Yes")),P368,""),"")</f>
        <v/>
      </c>
    </row>
    <row r="369">
      <c r="A369" s="47" t="n"/>
      <c r="B369" s="48" t="n"/>
      <c r="C369" s="48" t="n"/>
      <c r="D369" s="48" t="n"/>
      <c r="E369" s="48" t="n"/>
      <c r="F369" s="48" t="n"/>
      <c r="G369" s="48" t="n"/>
      <c r="H369" s="48" t="n"/>
      <c r="I369" s="49" t="n"/>
      <c r="J369" s="50" t="n"/>
      <c r="K369" s="48" t="n"/>
      <c r="L369" s="51">
        <f>IF(A369="","",DATE(YEAR(A369),MONTH(A369),1))</f>
        <v/>
      </c>
      <c r="M369" s="52">
        <f>IF(OR(A369="",NOT(ISNUMBER(I369))),"",IF(G369=Lists!$B$5,I369/2,IF(G369=Lists!$B$6,I369,0)))</f>
        <v/>
      </c>
      <c r="N369" s="52">
        <f>IF(OR(A369="",NOT(ISNUMBER(I369))),"",IF(G369=Lists!$B$5,I369/2,IF(G369=Lists!$B$7,I369,0)))</f>
        <v/>
      </c>
      <c r="O369" s="53">
        <f>IF(COUNTA(A369:K369)=0,"",IF(OR(A369="",B369="",C369="",D369="",E369="",F369="",G369="",NOT(ISNUMBER(I369))),"Incomplete",IF(COUNTIF(Lists!$H$4:$AA$4,C369)=0,"Check category",IF(COUNTIF(INDEX(Lists!$H$6:$AA$45,0,MATCH(C369,Lists!$H$4:$AA$4,0)),D369)=0,"Check sub-category","OK"))))</f>
        <v/>
      </c>
      <c r="P369">
        <f>IF(ISNUMBER(I369),I369+ROW()/10000000,"")</f>
        <v/>
      </c>
      <c r="Q369">
        <f>IF(AND(ISNUMBER(P369),ISNUMBER(A369)),IF(AND(A369&gt;=Dashboard!$Q$3,A369&lt;=Dashboard!$Q$4,OR(J369&lt;&gt;"Yes",Dashboard!$Q$15="Yes")),P369,""),"")</f>
        <v/>
      </c>
    </row>
    <row r="370">
      <c r="A370" s="47" t="n"/>
      <c r="B370" s="48" t="n"/>
      <c r="C370" s="48" t="n"/>
      <c r="D370" s="48" t="n"/>
      <c r="E370" s="48" t="n"/>
      <c r="F370" s="48" t="n"/>
      <c r="G370" s="48" t="n"/>
      <c r="H370" s="48" t="n"/>
      <c r="I370" s="49" t="n"/>
      <c r="J370" s="50" t="n"/>
      <c r="K370" s="48" t="n"/>
      <c r="L370" s="51">
        <f>IF(A370="","",DATE(YEAR(A370),MONTH(A370),1))</f>
        <v/>
      </c>
      <c r="M370" s="52">
        <f>IF(OR(A370="",NOT(ISNUMBER(I370))),"",IF(G370=Lists!$B$5,I370/2,IF(G370=Lists!$B$6,I370,0)))</f>
        <v/>
      </c>
      <c r="N370" s="52">
        <f>IF(OR(A370="",NOT(ISNUMBER(I370))),"",IF(G370=Lists!$B$5,I370/2,IF(G370=Lists!$B$7,I370,0)))</f>
        <v/>
      </c>
      <c r="O370" s="53">
        <f>IF(COUNTA(A370:K370)=0,"",IF(OR(A370="",B370="",C370="",D370="",E370="",F370="",G370="",NOT(ISNUMBER(I370))),"Incomplete",IF(COUNTIF(Lists!$H$4:$AA$4,C370)=0,"Check category",IF(COUNTIF(INDEX(Lists!$H$6:$AA$45,0,MATCH(C370,Lists!$H$4:$AA$4,0)),D370)=0,"Check sub-category","OK"))))</f>
        <v/>
      </c>
      <c r="P370">
        <f>IF(ISNUMBER(I370),I370+ROW()/10000000,"")</f>
        <v/>
      </c>
      <c r="Q370">
        <f>IF(AND(ISNUMBER(P370),ISNUMBER(A370)),IF(AND(A370&gt;=Dashboard!$Q$3,A370&lt;=Dashboard!$Q$4,OR(J370&lt;&gt;"Yes",Dashboard!$Q$15="Yes")),P370,""),"")</f>
        <v/>
      </c>
    </row>
    <row r="371">
      <c r="A371" s="47" t="n"/>
      <c r="B371" s="48" t="n"/>
      <c r="C371" s="48" t="n"/>
      <c r="D371" s="48" t="n"/>
      <c r="E371" s="48" t="n"/>
      <c r="F371" s="48" t="n"/>
      <c r="G371" s="48" t="n"/>
      <c r="H371" s="48" t="n"/>
      <c r="I371" s="49" t="n"/>
      <c r="J371" s="50" t="n"/>
      <c r="K371" s="48" t="n"/>
      <c r="L371" s="51">
        <f>IF(A371="","",DATE(YEAR(A371),MONTH(A371),1))</f>
        <v/>
      </c>
      <c r="M371" s="52">
        <f>IF(OR(A371="",NOT(ISNUMBER(I371))),"",IF(G371=Lists!$B$5,I371/2,IF(G371=Lists!$B$6,I371,0)))</f>
        <v/>
      </c>
      <c r="N371" s="52">
        <f>IF(OR(A371="",NOT(ISNUMBER(I371))),"",IF(G371=Lists!$B$5,I371/2,IF(G371=Lists!$B$7,I371,0)))</f>
        <v/>
      </c>
      <c r="O371" s="53">
        <f>IF(COUNTA(A371:K371)=0,"",IF(OR(A371="",B371="",C371="",D371="",E371="",F371="",G371="",NOT(ISNUMBER(I371))),"Incomplete",IF(COUNTIF(Lists!$H$4:$AA$4,C371)=0,"Check category",IF(COUNTIF(INDEX(Lists!$H$6:$AA$45,0,MATCH(C371,Lists!$H$4:$AA$4,0)),D371)=0,"Check sub-category","OK"))))</f>
        <v/>
      </c>
      <c r="P371">
        <f>IF(ISNUMBER(I371),I371+ROW()/10000000,"")</f>
        <v/>
      </c>
      <c r="Q371">
        <f>IF(AND(ISNUMBER(P371),ISNUMBER(A371)),IF(AND(A371&gt;=Dashboard!$Q$3,A371&lt;=Dashboard!$Q$4,OR(J371&lt;&gt;"Yes",Dashboard!$Q$15="Yes")),P371,""),"")</f>
        <v/>
      </c>
    </row>
    <row r="372">
      <c r="A372" s="47" t="n"/>
      <c r="B372" s="48" t="n"/>
      <c r="C372" s="48" t="n"/>
      <c r="D372" s="48" t="n"/>
      <c r="E372" s="48" t="n"/>
      <c r="F372" s="48" t="n"/>
      <c r="G372" s="48" t="n"/>
      <c r="H372" s="48" t="n"/>
      <c r="I372" s="49" t="n"/>
      <c r="J372" s="50" t="n"/>
      <c r="K372" s="48" t="n"/>
      <c r="L372" s="51">
        <f>IF(A372="","",DATE(YEAR(A372),MONTH(A372),1))</f>
        <v/>
      </c>
      <c r="M372" s="52">
        <f>IF(OR(A372="",NOT(ISNUMBER(I372))),"",IF(G372=Lists!$B$5,I372/2,IF(G372=Lists!$B$6,I372,0)))</f>
        <v/>
      </c>
      <c r="N372" s="52">
        <f>IF(OR(A372="",NOT(ISNUMBER(I372))),"",IF(G372=Lists!$B$5,I372/2,IF(G372=Lists!$B$7,I372,0)))</f>
        <v/>
      </c>
      <c r="O372" s="53">
        <f>IF(COUNTA(A372:K372)=0,"",IF(OR(A372="",B372="",C372="",D372="",E372="",F372="",G372="",NOT(ISNUMBER(I372))),"Incomplete",IF(COUNTIF(Lists!$H$4:$AA$4,C372)=0,"Check category",IF(COUNTIF(INDEX(Lists!$H$6:$AA$45,0,MATCH(C372,Lists!$H$4:$AA$4,0)),D372)=0,"Check sub-category","OK"))))</f>
        <v/>
      </c>
      <c r="P372">
        <f>IF(ISNUMBER(I372),I372+ROW()/10000000,"")</f>
        <v/>
      </c>
      <c r="Q372">
        <f>IF(AND(ISNUMBER(P372),ISNUMBER(A372)),IF(AND(A372&gt;=Dashboard!$Q$3,A372&lt;=Dashboard!$Q$4,OR(J372&lt;&gt;"Yes",Dashboard!$Q$15="Yes")),P372,""),"")</f>
        <v/>
      </c>
    </row>
    <row r="373">
      <c r="A373" s="47" t="n"/>
      <c r="B373" s="48" t="n"/>
      <c r="C373" s="48" t="n"/>
      <c r="D373" s="48" t="n"/>
      <c r="E373" s="48" t="n"/>
      <c r="F373" s="48" t="n"/>
      <c r="G373" s="48" t="n"/>
      <c r="H373" s="48" t="n"/>
      <c r="I373" s="49" t="n"/>
      <c r="J373" s="50" t="n"/>
      <c r="K373" s="48" t="n"/>
      <c r="L373" s="51">
        <f>IF(A373="","",DATE(YEAR(A373),MONTH(A373),1))</f>
        <v/>
      </c>
      <c r="M373" s="52">
        <f>IF(OR(A373="",NOT(ISNUMBER(I373))),"",IF(G373=Lists!$B$5,I373/2,IF(G373=Lists!$B$6,I373,0)))</f>
        <v/>
      </c>
      <c r="N373" s="52">
        <f>IF(OR(A373="",NOT(ISNUMBER(I373))),"",IF(G373=Lists!$B$5,I373/2,IF(G373=Lists!$B$7,I373,0)))</f>
        <v/>
      </c>
      <c r="O373" s="53">
        <f>IF(COUNTA(A373:K373)=0,"",IF(OR(A373="",B373="",C373="",D373="",E373="",F373="",G373="",NOT(ISNUMBER(I373))),"Incomplete",IF(COUNTIF(Lists!$H$4:$AA$4,C373)=0,"Check category",IF(COUNTIF(INDEX(Lists!$H$6:$AA$45,0,MATCH(C373,Lists!$H$4:$AA$4,0)),D373)=0,"Check sub-category","OK"))))</f>
        <v/>
      </c>
      <c r="P373">
        <f>IF(ISNUMBER(I373),I373+ROW()/10000000,"")</f>
        <v/>
      </c>
      <c r="Q373">
        <f>IF(AND(ISNUMBER(P373),ISNUMBER(A373)),IF(AND(A373&gt;=Dashboard!$Q$3,A373&lt;=Dashboard!$Q$4,OR(J373&lt;&gt;"Yes",Dashboard!$Q$15="Yes")),P373,""),"")</f>
        <v/>
      </c>
    </row>
    <row r="374">
      <c r="A374" s="47" t="n"/>
      <c r="B374" s="48" t="n"/>
      <c r="C374" s="48" t="n"/>
      <c r="D374" s="48" t="n"/>
      <c r="E374" s="48" t="n"/>
      <c r="F374" s="48" t="n"/>
      <c r="G374" s="48" t="n"/>
      <c r="H374" s="48" t="n"/>
      <c r="I374" s="49" t="n"/>
      <c r="J374" s="50" t="n"/>
      <c r="K374" s="48" t="n"/>
      <c r="L374" s="51">
        <f>IF(A374="","",DATE(YEAR(A374),MONTH(A374),1))</f>
        <v/>
      </c>
      <c r="M374" s="52">
        <f>IF(OR(A374="",NOT(ISNUMBER(I374))),"",IF(G374=Lists!$B$5,I374/2,IF(G374=Lists!$B$6,I374,0)))</f>
        <v/>
      </c>
      <c r="N374" s="52">
        <f>IF(OR(A374="",NOT(ISNUMBER(I374))),"",IF(G374=Lists!$B$5,I374/2,IF(G374=Lists!$B$7,I374,0)))</f>
        <v/>
      </c>
      <c r="O374" s="53">
        <f>IF(COUNTA(A374:K374)=0,"",IF(OR(A374="",B374="",C374="",D374="",E374="",F374="",G374="",NOT(ISNUMBER(I374))),"Incomplete",IF(COUNTIF(Lists!$H$4:$AA$4,C374)=0,"Check category",IF(COUNTIF(INDEX(Lists!$H$6:$AA$45,0,MATCH(C374,Lists!$H$4:$AA$4,0)),D374)=0,"Check sub-category","OK"))))</f>
        <v/>
      </c>
      <c r="P374">
        <f>IF(ISNUMBER(I374),I374+ROW()/10000000,"")</f>
        <v/>
      </c>
      <c r="Q374">
        <f>IF(AND(ISNUMBER(P374),ISNUMBER(A374)),IF(AND(A374&gt;=Dashboard!$Q$3,A374&lt;=Dashboard!$Q$4,OR(J374&lt;&gt;"Yes",Dashboard!$Q$15="Yes")),P374,""),"")</f>
        <v/>
      </c>
    </row>
    <row r="375">
      <c r="A375" s="47" t="n"/>
      <c r="B375" s="48" t="n"/>
      <c r="C375" s="48" t="n"/>
      <c r="D375" s="48" t="n"/>
      <c r="E375" s="48" t="n"/>
      <c r="F375" s="48" t="n"/>
      <c r="G375" s="48" t="n"/>
      <c r="H375" s="48" t="n"/>
      <c r="I375" s="49" t="n"/>
      <c r="J375" s="50" t="n"/>
      <c r="K375" s="48" t="n"/>
      <c r="L375" s="51">
        <f>IF(A375="","",DATE(YEAR(A375),MONTH(A375),1))</f>
        <v/>
      </c>
      <c r="M375" s="52">
        <f>IF(OR(A375="",NOT(ISNUMBER(I375))),"",IF(G375=Lists!$B$5,I375/2,IF(G375=Lists!$B$6,I375,0)))</f>
        <v/>
      </c>
      <c r="N375" s="52">
        <f>IF(OR(A375="",NOT(ISNUMBER(I375))),"",IF(G375=Lists!$B$5,I375/2,IF(G375=Lists!$B$7,I375,0)))</f>
        <v/>
      </c>
      <c r="O375" s="53">
        <f>IF(COUNTA(A375:K375)=0,"",IF(OR(A375="",B375="",C375="",D375="",E375="",F375="",G375="",NOT(ISNUMBER(I375))),"Incomplete",IF(COUNTIF(Lists!$H$4:$AA$4,C375)=0,"Check category",IF(COUNTIF(INDEX(Lists!$H$6:$AA$45,0,MATCH(C375,Lists!$H$4:$AA$4,0)),D375)=0,"Check sub-category","OK"))))</f>
        <v/>
      </c>
      <c r="P375">
        <f>IF(ISNUMBER(I375),I375+ROW()/10000000,"")</f>
        <v/>
      </c>
      <c r="Q375">
        <f>IF(AND(ISNUMBER(P375),ISNUMBER(A375)),IF(AND(A375&gt;=Dashboard!$Q$3,A375&lt;=Dashboard!$Q$4,OR(J375&lt;&gt;"Yes",Dashboard!$Q$15="Yes")),P375,""),"")</f>
        <v/>
      </c>
    </row>
    <row r="376">
      <c r="A376" s="47" t="n"/>
      <c r="B376" s="48" t="n"/>
      <c r="C376" s="48" t="n"/>
      <c r="D376" s="48" t="n"/>
      <c r="E376" s="48" t="n"/>
      <c r="F376" s="48" t="n"/>
      <c r="G376" s="48" t="n"/>
      <c r="H376" s="48" t="n"/>
      <c r="I376" s="49" t="n"/>
      <c r="J376" s="50" t="n"/>
      <c r="K376" s="48" t="n"/>
      <c r="L376" s="51">
        <f>IF(A376="","",DATE(YEAR(A376),MONTH(A376),1))</f>
        <v/>
      </c>
      <c r="M376" s="52">
        <f>IF(OR(A376="",NOT(ISNUMBER(I376))),"",IF(G376=Lists!$B$5,I376/2,IF(G376=Lists!$B$6,I376,0)))</f>
        <v/>
      </c>
      <c r="N376" s="52">
        <f>IF(OR(A376="",NOT(ISNUMBER(I376))),"",IF(G376=Lists!$B$5,I376/2,IF(G376=Lists!$B$7,I376,0)))</f>
        <v/>
      </c>
      <c r="O376" s="53">
        <f>IF(COUNTA(A376:K376)=0,"",IF(OR(A376="",B376="",C376="",D376="",E376="",F376="",G376="",NOT(ISNUMBER(I376))),"Incomplete",IF(COUNTIF(Lists!$H$4:$AA$4,C376)=0,"Check category",IF(COUNTIF(INDEX(Lists!$H$6:$AA$45,0,MATCH(C376,Lists!$H$4:$AA$4,0)),D376)=0,"Check sub-category","OK"))))</f>
        <v/>
      </c>
      <c r="P376">
        <f>IF(ISNUMBER(I376),I376+ROW()/10000000,"")</f>
        <v/>
      </c>
      <c r="Q376">
        <f>IF(AND(ISNUMBER(P376),ISNUMBER(A376)),IF(AND(A376&gt;=Dashboard!$Q$3,A376&lt;=Dashboard!$Q$4,OR(J376&lt;&gt;"Yes",Dashboard!$Q$15="Yes")),P376,""),"")</f>
        <v/>
      </c>
    </row>
    <row r="377">
      <c r="A377" s="47" t="n"/>
      <c r="B377" s="48" t="n"/>
      <c r="C377" s="48" t="n"/>
      <c r="D377" s="48" t="n"/>
      <c r="E377" s="48" t="n"/>
      <c r="F377" s="48" t="n"/>
      <c r="G377" s="48" t="n"/>
      <c r="H377" s="48" t="n"/>
      <c r="I377" s="49" t="n"/>
      <c r="J377" s="50" t="n"/>
      <c r="K377" s="48" t="n"/>
      <c r="L377" s="51">
        <f>IF(A377="","",DATE(YEAR(A377),MONTH(A377),1))</f>
        <v/>
      </c>
      <c r="M377" s="52">
        <f>IF(OR(A377="",NOT(ISNUMBER(I377))),"",IF(G377=Lists!$B$5,I377/2,IF(G377=Lists!$B$6,I377,0)))</f>
        <v/>
      </c>
      <c r="N377" s="52">
        <f>IF(OR(A377="",NOT(ISNUMBER(I377))),"",IF(G377=Lists!$B$5,I377/2,IF(G377=Lists!$B$7,I377,0)))</f>
        <v/>
      </c>
      <c r="O377" s="53">
        <f>IF(COUNTA(A377:K377)=0,"",IF(OR(A377="",B377="",C377="",D377="",E377="",F377="",G377="",NOT(ISNUMBER(I377))),"Incomplete",IF(COUNTIF(Lists!$H$4:$AA$4,C377)=0,"Check category",IF(COUNTIF(INDEX(Lists!$H$6:$AA$45,0,MATCH(C377,Lists!$H$4:$AA$4,0)),D377)=0,"Check sub-category","OK"))))</f>
        <v/>
      </c>
      <c r="P377">
        <f>IF(ISNUMBER(I377),I377+ROW()/10000000,"")</f>
        <v/>
      </c>
      <c r="Q377">
        <f>IF(AND(ISNUMBER(P377),ISNUMBER(A377)),IF(AND(A377&gt;=Dashboard!$Q$3,A377&lt;=Dashboard!$Q$4,OR(J377&lt;&gt;"Yes",Dashboard!$Q$15="Yes")),P377,""),"")</f>
        <v/>
      </c>
    </row>
    <row r="378">
      <c r="A378" s="47" t="n"/>
      <c r="B378" s="48" t="n"/>
      <c r="C378" s="48" t="n"/>
      <c r="D378" s="48" t="n"/>
      <c r="E378" s="48" t="n"/>
      <c r="F378" s="48" t="n"/>
      <c r="G378" s="48" t="n"/>
      <c r="H378" s="48" t="n"/>
      <c r="I378" s="49" t="n"/>
      <c r="J378" s="50" t="n"/>
      <c r="K378" s="48" t="n"/>
      <c r="L378" s="51">
        <f>IF(A378="","",DATE(YEAR(A378),MONTH(A378),1))</f>
        <v/>
      </c>
      <c r="M378" s="52">
        <f>IF(OR(A378="",NOT(ISNUMBER(I378))),"",IF(G378=Lists!$B$5,I378/2,IF(G378=Lists!$B$6,I378,0)))</f>
        <v/>
      </c>
      <c r="N378" s="52">
        <f>IF(OR(A378="",NOT(ISNUMBER(I378))),"",IF(G378=Lists!$B$5,I378/2,IF(G378=Lists!$B$7,I378,0)))</f>
        <v/>
      </c>
      <c r="O378" s="53">
        <f>IF(COUNTA(A378:K378)=0,"",IF(OR(A378="",B378="",C378="",D378="",E378="",F378="",G378="",NOT(ISNUMBER(I378))),"Incomplete",IF(COUNTIF(Lists!$H$4:$AA$4,C378)=0,"Check category",IF(COUNTIF(INDEX(Lists!$H$6:$AA$45,0,MATCH(C378,Lists!$H$4:$AA$4,0)),D378)=0,"Check sub-category","OK"))))</f>
        <v/>
      </c>
      <c r="P378">
        <f>IF(ISNUMBER(I378),I378+ROW()/10000000,"")</f>
        <v/>
      </c>
      <c r="Q378">
        <f>IF(AND(ISNUMBER(P378),ISNUMBER(A378)),IF(AND(A378&gt;=Dashboard!$Q$3,A378&lt;=Dashboard!$Q$4,OR(J378&lt;&gt;"Yes",Dashboard!$Q$15="Yes")),P378,""),"")</f>
        <v/>
      </c>
    </row>
    <row r="379">
      <c r="A379" s="47" t="n"/>
      <c r="B379" s="48" t="n"/>
      <c r="C379" s="48" t="n"/>
      <c r="D379" s="48" t="n"/>
      <c r="E379" s="48" t="n"/>
      <c r="F379" s="48" t="n"/>
      <c r="G379" s="48" t="n"/>
      <c r="H379" s="48" t="n"/>
      <c r="I379" s="49" t="n"/>
      <c r="J379" s="50" t="n"/>
      <c r="K379" s="48" t="n"/>
      <c r="L379" s="51">
        <f>IF(A379="","",DATE(YEAR(A379),MONTH(A379),1))</f>
        <v/>
      </c>
      <c r="M379" s="52">
        <f>IF(OR(A379="",NOT(ISNUMBER(I379))),"",IF(G379=Lists!$B$5,I379/2,IF(G379=Lists!$B$6,I379,0)))</f>
        <v/>
      </c>
      <c r="N379" s="52">
        <f>IF(OR(A379="",NOT(ISNUMBER(I379))),"",IF(G379=Lists!$B$5,I379/2,IF(G379=Lists!$B$7,I379,0)))</f>
        <v/>
      </c>
      <c r="O379" s="53">
        <f>IF(COUNTA(A379:K379)=0,"",IF(OR(A379="",B379="",C379="",D379="",E379="",F379="",G379="",NOT(ISNUMBER(I379))),"Incomplete",IF(COUNTIF(Lists!$H$4:$AA$4,C379)=0,"Check category",IF(COUNTIF(INDEX(Lists!$H$6:$AA$45,0,MATCH(C379,Lists!$H$4:$AA$4,0)),D379)=0,"Check sub-category","OK"))))</f>
        <v/>
      </c>
      <c r="P379">
        <f>IF(ISNUMBER(I379),I379+ROW()/10000000,"")</f>
        <v/>
      </c>
      <c r="Q379">
        <f>IF(AND(ISNUMBER(P379),ISNUMBER(A379)),IF(AND(A379&gt;=Dashboard!$Q$3,A379&lt;=Dashboard!$Q$4,OR(J379&lt;&gt;"Yes",Dashboard!$Q$15="Yes")),P379,""),"")</f>
        <v/>
      </c>
    </row>
    <row r="380">
      <c r="A380" s="47" t="n"/>
      <c r="B380" s="48" t="n"/>
      <c r="C380" s="48" t="n"/>
      <c r="D380" s="48" t="n"/>
      <c r="E380" s="48" t="n"/>
      <c r="F380" s="48" t="n"/>
      <c r="G380" s="48" t="n"/>
      <c r="H380" s="48" t="n"/>
      <c r="I380" s="49" t="n"/>
      <c r="J380" s="50" t="n"/>
      <c r="K380" s="48" t="n"/>
      <c r="L380" s="51">
        <f>IF(A380="","",DATE(YEAR(A380),MONTH(A380),1))</f>
        <v/>
      </c>
      <c r="M380" s="52">
        <f>IF(OR(A380="",NOT(ISNUMBER(I380))),"",IF(G380=Lists!$B$5,I380/2,IF(G380=Lists!$B$6,I380,0)))</f>
        <v/>
      </c>
      <c r="N380" s="52">
        <f>IF(OR(A380="",NOT(ISNUMBER(I380))),"",IF(G380=Lists!$B$5,I380/2,IF(G380=Lists!$B$7,I380,0)))</f>
        <v/>
      </c>
      <c r="O380" s="53">
        <f>IF(COUNTA(A380:K380)=0,"",IF(OR(A380="",B380="",C380="",D380="",E380="",F380="",G380="",NOT(ISNUMBER(I380))),"Incomplete",IF(COUNTIF(Lists!$H$4:$AA$4,C380)=0,"Check category",IF(COUNTIF(INDEX(Lists!$H$6:$AA$45,0,MATCH(C380,Lists!$H$4:$AA$4,0)),D380)=0,"Check sub-category","OK"))))</f>
        <v/>
      </c>
      <c r="P380">
        <f>IF(ISNUMBER(I380),I380+ROW()/10000000,"")</f>
        <v/>
      </c>
      <c r="Q380">
        <f>IF(AND(ISNUMBER(P380),ISNUMBER(A380)),IF(AND(A380&gt;=Dashboard!$Q$3,A380&lt;=Dashboard!$Q$4,OR(J380&lt;&gt;"Yes",Dashboard!$Q$15="Yes")),P380,""),"")</f>
        <v/>
      </c>
    </row>
    <row r="381">
      <c r="A381" s="47" t="n"/>
      <c r="B381" s="48" t="n"/>
      <c r="C381" s="48" t="n"/>
      <c r="D381" s="48" t="n"/>
      <c r="E381" s="48" t="n"/>
      <c r="F381" s="48" t="n"/>
      <c r="G381" s="48" t="n"/>
      <c r="H381" s="48" t="n"/>
      <c r="I381" s="49" t="n"/>
      <c r="J381" s="50" t="n"/>
      <c r="K381" s="48" t="n"/>
      <c r="L381" s="51">
        <f>IF(A381="","",DATE(YEAR(A381),MONTH(A381),1))</f>
        <v/>
      </c>
      <c r="M381" s="52">
        <f>IF(OR(A381="",NOT(ISNUMBER(I381))),"",IF(G381=Lists!$B$5,I381/2,IF(G381=Lists!$B$6,I381,0)))</f>
        <v/>
      </c>
      <c r="N381" s="52">
        <f>IF(OR(A381="",NOT(ISNUMBER(I381))),"",IF(G381=Lists!$B$5,I381/2,IF(G381=Lists!$B$7,I381,0)))</f>
        <v/>
      </c>
      <c r="O381" s="53">
        <f>IF(COUNTA(A381:K381)=0,"",IF(OR(A381="",B381="",C381="",D381="",E381="",F381="",G381="",NOT(ISNUMBER(I381))),"Incomplete",IF(COUNTIF(Lists!$H$4:$AA$4,C381)=0,"Check category",IF(COUNTIF(INDEX(Lists!$H$6:$AA$45,0,MATCH(C381,Lists!$H$4:$AA$4,0)),D381)=0,"Check sub-category","OK"))))</f>
        <v/>
      </c>
      <c r="P381">
        <f>IF(ISNUMBER(I381),I381+ROW()/10000000,"")</f>
        <v/>
      </c>
      <c r="Q381">
        <f>IF(AND(ISNUMBER(P381),ISNUMBER(A381)),IF(AND(A381&gt;=Dashboard!$Q$3,A381&lt;=Dashboard!$Q$4,OR(J381&lt;&gt;"Yes",Dashboard!$Q$15="Yes")),P381,""),"")</f>
        <v/>
      </c>
    </row>
    <row r="382">
      <c r="A382" s="47" t="n"/>
      <c r="B382" s="48" t="n"/>
      <c r="C382" s="48" t="n"/>
      <c r="D382" s="48" t="n"/>
      <c r="E382" s="48" t="n"/>
      <c r="F382" s="48" t="n"/>
      <c r="G382" s="48" t="n"/>
      <c r="H382" s="48" t="n"/>
      <c r="I382" s="49" t="n"/>
      <c r="J382" s="50" t="n"/>
      <c r="K382" s="48" t="n"/>
      <c r="L382" s="51">
        <f>IF(A382="","",DATE(YEAR(A382),MONTH(A382),1))</f>
        <v/>
      </c>
      <c r="M382" s="52">
        <f>IF(OR(A382="",NOT(ISNUMBER(I382))),"",IF(G382=Lists!$B$5,I382/2,IF(G382=Lists!$B$6,I382,0)))</f>
        <v/>
      </c>
      <c r="N382" s="52">
        <f>IF(OR(A382="",NOT(ISNUMBER(I382))),"",IF(G382=Lists!$B$5,I382/2,IF(G382=Lists!$B$7,I382,0)))</f>
        <v/>
      </c>
      <c r="O382" s="53">
        <f>IF(COUNTA(A382:K382)=0,"",IF(OR(A382="",B382="",C382="",D382="",E382="",F382="",G382="",NOT(ISNUMBER(I382))),"Incomplete",IF(COUNTIF(Lists!$H$4:$AA$4,C382)=0,"Check category",IF(COUNTIF(INDEX(Lists!$H$6:$AA$45,0,MATCH(C382,Lists!$H$4:$AA$4,0)),D382)=0,"Check sub-category","OK"))))</f>
        <v/>
      </c>
      <c r="P382">
        <f>IF(ISNUMBER(I382),I382+ROW()/10000000,"")</f>
        <v/>
      </c>
      <c r="Q382">
        <f>IF(AND(ISNUMBER(P382),ISNUMBER(A382)),IF(AND(A382&gt;=Dashboard!$Q$3,A382&lt;=Dashboard!$Q$4,OR(J382&lt;&gt;"Yes",Dashboard!$Q$15="Yes")),P382,""),"")</f>
        <v/>
      </c>
    </row>
    <row r="383">
      <c r="A383" s="47" t="n"/>
      <c r="B383" s="48" t="n"/>
      <c r="C383" s="48" t="n"/>
      <c r="D383" s="48" t="n"/>
      <c r="E383" s="48" t="n"/>
      <c r="F383" s="48" t="n"/>
      <c r="G383" s="48" t="n"/>
      <c r="H383" s="48" t="n"/>
      <c r="I383" s="49" t="n"/>
      <c r="J383" s="50" t="n"/>
      <c r="K383" s="48" t="n"/>
      <c r="L383" s="51">
        <f>IF(A383="","",DATE(YEAR(A383),MONTH(A383),1))</f>
        <v/>
      </c>
      <c r="M383" s="52">
        <f>IF(OR(A383="",NOT(ISNUMBER(I383))),"",IF(G383=Lists!$B$5,I383/2,IF(G383=Lists!$B$6,I383,0)))</f>
        <v/>
      </c>
      <c r="N383" s="52">
        <f>IF(OR(A383="",NOT(ISNUMBER(I383))),"",IF(G383=Lists!$B$5,I383/2,IF(G383=Lists!$B$7,I383,0)))</f>
        <v/>
      </c>
      <c r="O383" s="53">
        <f>IF(COUNTA(A383:K383)=0,"",IF(OR(A383="",B383="",C383="",D383="",E383="",F383="",G383="",NOT(ISNUMBER(I383))),"Incomplete",IF(COUNTIF(Lists!$H$4:$AA$4,C383)=0,"Check category",IF(COUNTIF(INDEX(Lists!$H$6:$AA$45,0,MATCH(C383,Lists!$H$4:$AA$4,0)),D383)=0,"Check sub-category","OK"))))</f>
        <v/>
      </c>
      <c r="P383">
        <f>IF(ISNUMBER(I383),I383+ROW()/10000000,"")</f>
        <v/>
      </c>
      <c r="Q383">
        <f>IF(AND(ISNUMBER(P383),ISNUMBER(A383)),IF(AND(A383&gt;=Dashboard!$Q$3,A383&lt;=Dashboard!$Q$4,OR(J383&lt;&gt;"Yes",Dashboard!$Q$15="Yes")),P383,""),"")</f>
        <v/>
      </c>
    </row>
    <row r="384">
      <c r="A384" s="47" t="n"/>
      <c r="B384" s="48" t="n"/>
      <c r="C384" s="48" t="n"/>
      <c r="D384" s="48" t="n"/>
      <c r="E384" s="48" t="n"/>
      <c r="F384" s="48" t="n"/>
      <c r="G384" s="48" t="n"/>
      <c r="H384" s="48" t="n"/>
      <c r="I384" s="49" t="n"/>
      <c r="J384" s="50" t="n"/>
      <c r="K384" s="48" t="n"/>
      <c r="L384" s="51">
        <f>IF(A384="","",DATE(YEAR(A384),MONTH(A384),1))</f>
        <v/>
      </c>
      <c r="M384" s="52">
        <f>IF(OR(A384="",NOT(ISNUMBER(I384))),"",IF(G384=Lists!$B$5,I384/2,IF(G384=Lists!$B$6,I384,0)))</f>
        <v/>
      </c>
      <c r="N384" s="52">
        <f>IF(OR(A384="",NOT(ISNUMBER(I384))),"",IF(G384=Lists!$B$5,I384/2,IF(G384=Lists!$B$7,I384,0)))</f>
        <v/>
      </c>
      <c r="O384" s="53">
        <f>IF(COUNTA(A384:K384)=0,"",IF(OR(A384="",B384="",C384="",D384="",E384="",F384="",G384="",NOT(ISNUMBER(I384))),"Incomplete",IF(COUNTIF(Lists!$H$4:$AA$4,C384)=0,"Check category",IF(COUNTIF(INDEX(Lists!$H$6:$AA$45,0,MATCH(C384,Lists!$H$4:$AA$4,0)),D384)=0,"Check sub-category","OK"))))</f>
        <v/>
      </c>
      <c r="P384">
        <f>IF(ISNUMBER(I384),I384+ROW()/10000000,"")</f>
        <v/>
      </c>
      <c r="Q384">
        <f>IF(AND(ISNUMBER(P384),ISNUMBER(A384)),IF(AND(A384&gt;=Dashboard!$Q$3,A384&lt;=Dashboard!$Q$4,OR(J384&lt;&gt;"Yes",Dashboard!$Q$15="Yes")),P384,""),"")</f>
        <v/>
      </c>
    </row>
    <row r="385">
      <c r="A385" s="47" t="n"/>
      <c r="B385" s="48" t="n"/>
      <c r="C385" s="48" t="n"/>
      <c r="D385" s="48" t="n"/>
      <c r="E385" s="48" t="n"/>
      <c r="F385" s="48" t="n"/>
      <c r="G385" s="48" t="n"/>
      <c r="H385" s="48" t="n"/>
      <c r="I385" s="49" t="n"/>
      <c r="J385" s="50" t="n"/>
      <c r="K385" s="48" t="n"/>
      <c r="L385" s="51">
        <f>IF(A385="","",DATE(YEAR(A385),MONTH(A385),1))</f>
        <v/>
      </c>
      <c r="M385" s="52">
        <f>IF(OR(A385="",NOT(ISNUMBER(I385))),"",IF(G385=Lists!$B$5,I385/2,IF(G385=Lists!$B$6,I385,0)))</f>
        <v/>
      </c>
      <c r="N385" s="52">
        <f>IF(OR(A385="",NOT(ISNUMBER(I385))),"",IF(G385=Lists!$B$5,I385/2,IF(G385=Lists!$B$7,I385,0)))</f>
        <v/>
      </c>
      <c r="O385" s="53">
        <f>IF(COUNTA(A385:K385)=0,"",IF(OR(A385="",B385="",C385="",D385="",E385="",F385="",G385="",NOT(ISNUMBER(I385))),"Incomplete",IF(COUNTIF(Lists!$H$4:$AA$4,C385)=0,"Check category",IF(COUNTIF(INDEX(Lists!$H$6:$AA$45,0,MATCH(C385,Lists!$H$4:$AA$4,0)),D385)=0,"Check sub-category","OK"))))</f>
        <v/>
      </c>
      <c r="P385">
        <f>IF(ISNUMBER(I385),I385+ROW()/10000000,"")</f>
        <v/>
      </c>
      <c r="Q385">
        <f>IF(AND(ISNUMBER(P385),ISNUMBER(A385)),IF(AND(A385&gt;=Dashboard!$Q$3,A385&lt;=Dashboard!$Q$4,OR(J385&lt;&gt;"Yes",Dashboard!$Q$15="Yes")),P385,""),"")</f>
        <v/>
      </c>
    </row>
    <row r="386">
      <c r="A386" s="47" t="n"/>
      <c r="B386" s="48" t="n"/>
      <c r="C386" s="48" t="n"/>
      <c r="D386" s="48" t="n"/>
      <c r="E386" s="48" t="n"/>
      <c r="F386" s="48" t="n"/>
      <c r="G386" s="48" t="n"/>
      <c r="H386" s="48" t="n"/>
      <c r="I386" s="49" t="n"/>
      <c r="J386" s="50" t="n"/>
      <c r="K386" s="48" t="n"/>
      <c r="L386" s="51">
        <f>IF(A386="","",DATE(YEAR(A386),MONTH(A386),1))</f>
        <v/>
      </c>
      <c r="M386" s="52">
        <f>IF(OR(A386="",NOT(ISNUMBER(I386))),"",IF(G386=Lists!$B$5,I386/2,IF(G386=Lists!$B$6,I386,0)))</f>
        <v/>
      </c>
      <c r="N386" s="52">
        <f>IF(OR(A386="",NOT(ISNUMBER(I386))),"",IF(G386=Lists!$B$5,I386/2,IF(G386=Lists!$B$7,I386,0)))</f>
        <v/>
      </c>
      <c r="O386" s="53">
        <f>IF(COUNTA(A386:K386)=0,"",IF(OR(A386="",B386="",C386="",D386="",E386="",F386="",G386="",NOT(ISNUMBER(I386))),"Incomplete",IF(COUNTIF(Lists!$H$4:$AA$4,C386)=0,"Check category",IF(COUNTIF(INDEX(Lists!$H$6:$AA$45,0,MATCH(C386,Lists!$H$4:$AA$4,0)),D386)=0,"Check sub-category","OK"))))</f>
        <v/>
      </c>
      <c r="P386">
        <f>IF(ISNUMBER(I386),I386+ROW()/10000000,"")</f>
        <v/>
      </c>
      <c r="Q386">
        <f>IF(AND(ISNUMBER(P386),ISNUMBER(A386)),IF(AND(A386&gt;=Dashboard!$Q$3,A386&lt;=Dashboard!$Q$4,OR(J386&lt;&gt;"Yes",Dashboard!$Q$15="Yes")),P386,""),"")</f>
        <v/>
      </c>
    </row>
    <row r="387">
      <c r="A387" s="47" t="n"/>
      <c r="B387" s="48" t="n"/>
      <c r="C387" s="48" t="n"/>
      <c r="D387" s="48" t="n"/>
      <c r="E387" s="48" t="n"/>
      <c r="F387" s="48" t="n"/>
      <c r="G387" s="48" t="n"/>
      <c r="H387" s="48" t="n"/>
      <c r="I387" s="49" t="n"/>
      <c r="J387" s="50" t="n"/>
      <c r="K387" s="48" t="n"/>
      <c r="L387" s="51">
        <f>IF(A387="","",DATE(YEAR(A387),MONTH(A387),1))</f>
        <v/>
      </c>
      <c r="M387" s="52">
        <f>IF(OR(A387="",NOT(ISNUMBER(I387))),"",IF(G387=Lists!$B$5,I387/2,IF(G387=Lists!$B$6,I387,0)))</f>
        <v/>
      </c>
      <c r="N387" s="52">
        <f>IF(OR(A387="",NOT(ISNUMBER(I387))),"",IF(G387=Lists!$B$5,I387/2,IF(G387=Lists!$B$7,I387,0)))</f>
        <v/>
      </c>
      <c r="O387" s="53">
        <f>IF(COUNTA(A387:K387)=0,"",IF(OR(A387="",B387="",C387="",D387="",E387="",F387="",G387="",NOT(ISNUMBER(I387))),"Incomplete",IF(COUNTIF(Lists!$H$4:$AA$4,C387)=0,"Check category",IF(COUNTIF(INDEX(Lists!$H$6:$AA$45,0,MATCH(C387,Lists!$H$4:$AA$4,0)),D387)=0,"Check sub-category","OK"))))</f>
        <v/>
      </c>
      <c r="P387">
        <f>IF(ISNUMBER(I387),I387+ROW()/10000000,"")</f>
        <v/>
      </c>
      <c r="Q387">
        <f>IF(AND(ISNUMBER(P387),ISNUMBER(A387)),IF(AND(A387&gt;=Dashboard!$Q$3,A387&lt;=Dashboard!$Q$4,OR(J387&lt;&gt;"Yes",Dashboard!$Q$15="Yes")),P387,""),"")</f>
        <v/>
      </c>
    </row>
    <row r="388">
      <c r="A388" s="47" t="n"/>
      <c r="B388" s="48" t="n"/>
      <c r="C388" s="48" t="n"/>
      <c r="D388" s="48" t="n"/>
      <c r="E388" s="48" t="n"/>
      <c r="F388" s="48" t="n"/>
      <c r="G388" s="48" t="n"/>
      <c r="H388" s="48" t="n"/>
      <c r="I388" s="49" t="n"/>
      <c r="J388" s="50" t="n"/>
      <c r="K388" s="48" t="n"/>
      <c r="L388" s="51">
        <f>IF(A388="","",DATE(YEAR(A388),MONTH(A388),1))</f>
        <v/>
      </c>
      <c r="M388" s="52">
        <f>IF(OR(A388="",NOT(ISNUMBER(I388))),"",IF(G388=Lists!$B$5,I388/2,IF(G388=Lists!$B$6,I388,0)))</f>
        <v/>
      </c>
      <c r="N388" s="52">
        <f>IF(OR(A388="",NOT(ISNUMBER(I388))),"",IF(G388=Lists!$B$5,I388/2,IF(G388=Lists!$B$7,I388,0)))</f>
        <v/>
      </c>
      <c r="O388" s="53">
        <f>IF(COUNTA(A388:K388)=0,"",IF(OR(A388="",B388="",C388="",D388="",E388="",F388="",G388="",NOT(ISNUMBER(I388))),"Incomplete",IF(COUNTIF(Lists!$H$4:$AA$4,C388)=0,"Check category",IF(COUNTIF(INDEX(Lists!$H$6:$AA$45,0,MATCH(C388,Lists!$H$4:$AA$4,0)),D388)=0,"Check sub-category","OK"))))</f>
        <v/>
      </c>
      <c r="P388">
        <f>IF(ISNUMBER(I388),I388+ROW()/10000000,"")</f>
        <v/>
      </c>
      <c r="Q388">
        <f>IF(AND(ISNUMBER(P388),ISNUMBER(A388)),IF(AND(A388&gt;=Dashboard!$Q$3,A388&lt;=Dashboard!$Q$4,OR(J388&lt;&gt;"Yes",Dashboard!$Q$15="Yes")),P388,""),"")</f>
        <v/>
      </c>
    </row>
    <row r="389">
      <c r="A389" s="47" t="n"/>
      <c r="B389" s="48" t="n"/>
      <c r="C389" s="48" t="n"/>
      <c r="D389" s="48" t="n"/>
      <c r="E389" s="48" t="n"/>
      <c r="F389" s="48" t="n"/>
      <c r="G389" s="48" t="n"/>
      <c r="H389" s="48" t="n"/>
      <c r="I389" s="49" t="n"/>
      <c r="J389" s="50" t="n"/>
      <c r="K389" s="48" t="n"/>
      <c r="L389" s="51">
        <f>IF(A389="","",DATE(YEAR(A389),MONTH(A389),1))</f>
        <v/>
      </c>
      <c r="M389" s="52">
        <f>IF(OR(A389="",NOT(ISNUMBER(I389))),"",IF(G389=Lists!$B$5,I389/2,IF(G389=Lists!$B$6,I389,0)))</f>
        <v/>
      </c>
      <c r="N389" s="52">
        <f>IF(OR(A389="",NOT(ISNUMBER(I389))),"",IF(G389=Lists!$B$5,I389/2,IF(G389=Lists!$B$7,I389,0)))</f>
        <v/>
      </c>
      <c r="O389" s="53">
        <f>IF(COUNTA(A389:K389)=0,"",IF(OR(A389="",B389="",C389="",D389="",E389="",F389="",G389="",NOT(ISNUMBER(I389))),"Incomplete",IF(COUNTIF(Lists!$H$4:$AA$4,C389)=0,"Check category",IF(COUNTIF(INDEX(Lists!$H$6:$AA$45,0,MATCH(C389,Lists!$H$4:$AA$4,0)),D389)=0,"Check sub-category","OK"))))</f>
        <v/>
      </c>
      <c r="P389">
        <f>IF(ISNUMBER(I389),I389+ROW()/10000000,"")</f>
        <v/>
      </c>
      <c r="Q389">
        <f>IF(AND(ISNUMBER(P389),ISNUMBER(A389)),IF(AND(A389&gt;=Dashboard!$Q$3,A389&lt;=Dashboard!$Q$4,OR(J389&lt;&gt;"Yes",Dashboard!$Q$15="Yes")),P389,""),"")</f>
        <v/>
      </c>
    </row>
    <row r="390">
      <c r="A390" s="47" t="n"/>
      <c r="B390" s="48" t="n"/>
      <c r="C390" s="48" t="n"/>
      <c r="D390" s="48" t="n"/>
      <c r="E390" s="48" t="n"/>
      <c r="F390" s="48" t="n"/>
      <c r="G390" s="48" t="n"/>
      <c r="H390" s="48" t="n"/>
      <c r="I390" s="49" t="n"/>
      <c r="J390" s="50" t="n"/>
      <c r="K390" s="48" t="n"/>
      <c r="L390" s="51">
        <f>IF(A390="","",DATE(YEAR(A390),MONTH(A390),1))</f>
        <v/>
      </c>
      <c r="M390" s="52">
        <f>IF(OR(A390="",NOT(ISNUMBER(I390))),"",IF(G390=Lists!$B$5,I390/2,IF(G390=Lists!$B$6,I390,0)))</f>
        <v/>
      </c>
      <c r="N390" s="52">
        <f>IF(OR(A390="",NOT(ISNUMBER(I390))),"",IF(G390=Lists!$B$5,I390/2,IF(G390=Lists!$B$7,I390,0)))</f>
        <v/>
      </c>
      <c r="O390" s="53">
        <f>IF(COUNTA(A390:K390)=0,"",IF(OR(A390="",B390="",C390="",D390="",E390="",F390="",G390="",NOT(ISNUMBER(I390))),"Incomplete",IF(COUNTIF(Lists!$H$4:$AA$4,C390)=0,"Check category",IF(COUNTIF(INDEX(Lists!$H$6:$AA$45,0,MATCH(C390,Lists!$H$4:$AA$4,0)),D390)=0,"Check sub-category","OK"))))</f>
        <v/>
      </c>
      <c r="P390">
        <f>IF(ISNUMBER(I390),I390+ROW()/10000000,"")</f>
        <v/>
      </c>
      <c r="Q390">
        <f>IF(AND(ISNUMBER(P390),ISNUMBER(A390)),IF(AND(A390&gt;=Dashboard!$Q$3,A390&lt;=Dashboard!$Q$4,OR(J390&lt;&gt;"Yes",Dashboard!$Q$15="Yes")),P390,""),"")</f>
        <v/>
      </c>
    </row>
    <row r="391">
      <c r="A391" s="47" t="n"/>
      <c r="B391" s="48" t="n"/>
      <c r="C391" s="48" t="n"/>
      <c r="D391" s="48" t="n"/>
      <c r="E391" s="48" t="n"/>
      <c r="F391" s="48" t="n"/>
      <c r="G391" s="48" t="n"/>
      <c r="H391" s="48" t="n"/>
      <c r="I391" s="49" t="n"/>
      <c r="J391" s="50" t="n"/>
      <c r="K391" s="48" t="n"/>
      <c r="L391" s="51">
        <f>IF(A391="","",DATE(YEAR(A391),MONTH(A391),1))</f>
        <v/>
      </c>
      <c r="M391" s="52">
        <f>IF(OR(A391="",NOT(ISNUMBER(I391))),"",IF(G391=Lists!$B$5,I391/2,IF(G391=Lists!$B$6,I391,0)))</f>
        <v/>
      </c>
      <c r="N391" s="52">
        <f>IF(OR(A391="",NOT(ISNUMBER(I391))),"",IF(G391=Lists!$B$5,I391/2,IF(G391=Lists!$B$7,I391,0)))</f>
        <v/>
      </c>
      <c r="O391" s="53">
        <f>IF(COUNTA(A391:K391)=0,"",IF(OR(A391="",B391="",C391="",D391="",E391="",F391="",G391="",NOT(ISNUMBER(I391))),"Incomplete",IF(COUNTIF(Lists!$H$4:$AA$4,C391)=0,"Check category",IF(COUNTIF(INDEX(Lists!$H$6:$AA$45,0,MATCH(C391,Lists!$H$4:$AA$4,0)),D391)=0,"Check sub-category","OK"))))</f>
        <v/>
      </c>
      <c r="P391">
        <f>IF(ISNUMBER(I391),I391+ROW()/10000000,"")</f>
        <v/>
      </c>
      <c r="Q391">
        <f>IF(AND(ISNUMBER(P391),ISNUMBER(A391)),IF(AND(A391&gt;=Dashboard!$Q$3,A391&lt;=Dashboard!$Q$4,OR(J391&lt;&gt;"Yes",Dashboard!$Q$15="Yes")),P391,""),"")</f>
        <v/>
      </c>
    </row>
    <row r="392">
      <c r="A392" s="47" t="n"/>
      <c r="B392" s="48" t="n"/>
      <c r="C392" s="48" t="n"/>
      <c r="D392" s="48" t="n"/>
      <c r="E392" s="48" t="n"/>
      <c r="F392" s="48" t="n"/>
      <c r="G392" s="48" t="n"/>
      <c r="H392" s="48" t="n"/>
      <c r="I392" s="49" t="n"/>
      <c r="J392" s="50" t="n"/>
      <c r="K392" s="48" t="n"/>
      <c r="L392" s="51">
        <f>IF(A392="","",DATE(YEAR(A392),MONTH(A392),1))</f>
        <v/>
      </c>
      <c r="M392" s="52">
        <f>IF(OR(A392="",NOT(ISNUMBER(I392))),"",IF(G392=Lists!$B$5,I392/2,IF(G392=Lists!$B$6,I392,0)))</f>
        <v/>
      </c>
      <c r="N392" s="52">
        <f>IF(OR(A392="",NOT(ISNUMBER(I392))),"",IF(G392=Lists!$B$5,I392/2,IF(G392=Lists!$B$7,I392,0)))</f>
        <v/>
      </c>
      <c r="O392" s="53">
        <f>IF(COUNTA(A392:K392)=0,"",IF(OR(A392="",B392="",C392="",D392="",E392="",F392="",G392="",NOT(ISNUMBER(I392))),"Incomplete",IF(COUNTIF(Lists!$H$4:$AA$4,C392)=0,"Check category",IF(COUNTIF(INDEX(Lists!$H$6:$AA$45,0,MATCH(C392,Lists!$H$4:$AA$4,0)),D392)=0,"Check sub-category","OK"))))</f>
        <v/>
      </c>
      <c r="P392">
        <f>IF(ISNUMBER(I392),I392+ROW()/10000000,"")</f>
        <v/>
      </c>
      <c r="Q392">
        <f>IF(AND(ISNUMBER(P392),ISNUMBER(A392)),IF(AND(A392&gt;=Dashboard!$Q$3,A392&lt;=Dashboard!$Q$4,OR(J392&lt;&gt;"Yes",Dashboard!$Q$15="Yes")),P392,""),"")</f>
        <v/>
      </c>
    </row>
    <row r="393">
      <c r="A393" s="47" t="n"/>
      <c r="B393" s="48" t="n"/>
      <c r="C393" s="48" t="n"/>
      <c r="D393" s="48" t="n"/>
      <c r="E393" s="48" t="n"/>
      <c r="F393" s="48" t="n"/>
      <c r="G393" s="48" t="n"/>
      <c r="H393" s="48" t="n"/>
      <c r="I393" s="49" t="n"/>
      <c r="J393" s="50" t="n"/>
      <c r="K393" s="48" t="n"/>
      <c r="L393" s="51">
        <f>IF(A393="","",DATE(YEAR(A393),MONTH(A393),1))</f>
        <v/>
      </c>
      <c r="M393" s="52">
        <f>IF(OR(A393="",NOT(ISNUMBER(I393))),"",IF(G393=Lists!$B$5,I393/2,IF(G393=Lists!$B$6,I393,0)))</f>
        <v/>
      </c>
      <c r="N393" s="52">
        <f>IF(OR(A393="",NOT(ISNUMBER(I393))),"",IF(G393=Lists!$B$5,I393/2,IF(G393=Lists!$B$7,I393,0)))</f>
        <v/>
      </c>
      <c r="O393" s="53">
        <f>IF(COUNTA(A393:K393)=0,"",IF(OR(A393="",B393="",C393="",D393="",E393="",F393="",G393="",NOT(ISNUMBER(I393))),"Incomplete",IF(COUNTIF(Lists!$H$4:$AA$4,C393)=0,"Check category",IF(COUNTIF(INDEX(Lists!$H$6:$AA$45,0,MATCH(C393,Lists!$H$4:$AA$4,0)),D393)=0,"Check sub-category","OK"))))</f>
        <v/>
      </c>
      <c r="P393">
        <f>IF(ISNUMBER(I393),I393+ROW()/10000000,"")</f>
        <v/>
      </c>
      <c r="Q393">
        <f>IF(AND(ISNUMBER(P393),ISNUMBER(A393)),IF(AND(A393&gt;=Dashboard!$Q$3,A393&lt;=Dashboard!$Q$4,OR(J393&lt;&gt;"Yes",Dashboard!$Q$15="Yes")),P393,""),"")</f>
        <v/>
      </c>
    </row>
    <row r="394">
      <c r="A394" s="47" t="n"/>
      <c r="B394" s="48" t="n"/>
      <c r="C394" s="48" t="n"/>
      <c r="D394" s="48" t="n"/>
      <c r="E394" s="48" t="n"/>
      <c r="F394" s="48" t="n"/>
      <c r="G394" s="48" t="n"/>
      <c r="H394" s="48" t="n"/>
      <c r="I394" s="49" t="n"/>
      <c r="J394" s="50" t="n"/>
      <c r="K394" s="48" t="n"/>
      <c r="L394" s="51">
        <f>IF(A394="","",DATE(YEAR(A394),MONTH(A394),1))</f>
        <v/>
      </c>
      <c r="M394" s="52">
        <f>IF(OR(A394="",NOT(ISNUMBER(I394))),"",IF(G394=Lists!$B$5,I394/2,IF(G394=Lists!$B$6,I394,0)))</f>
        <v/>
      </c>
      <c r="N394" s="52">
        <f>IF(OR(A394="",NOT(ISNUMBER(I394))),"",IF(G394=Lists!$B$5,I394/2,IF(G394=Lists!$B$7,I394,0)))</f>
        <v/>
      </c>
      <c r="O394" s="53">
        <f>IF(COUNTA(A394:K394)=0,"",IF(OR(A394="",B394="",C394="",D394="",E394="",F394="",G394="",NOT(ISNUMBER(I394))),"Incomplete",IF(COUNTIF(Lists!$H$4:$AA$4,C394)=0,"Check category",IF(COUNTIF(INDEX(Lists!$H$6:$AA$45,0,MATCH(C394,Lists!$H$4:$AA$4,0)),D394)=0,"Check sub-category","OK"))))</f>
        <v/>
      </c>
      <c r="P394">
        <f>IF(ISNUMBER(I394),I394+ROW()/10000000,"")</f>
        <v/>
      </c>
      <c r="Q394">
        <f>IF(AND(ISNUMBER(P394),ISNUMBER(A394)),IF(AND(A394&gt;=Dashboard!$Q$3,A394&lt;=Dashboard!$Q$4,OR(J394&lt;&gt;"Yes",Dashboard!$Q$15="Yes")),P394,""),"")</f>
        <v/>
      </c>
    </row>
    <row r="395">
      <c r="A395" s="47" t="n"/>
      <c r="B395" s="48" t="n"/>
      <c r="C395" s="48" t="n"/>
      <c r="D395" s="48" t="n"/>
      <c r="E395" s="48" t="n"/>
      <c r="F395" s="48" t="n"/>
      <c r="G395" s="48" t="n"/>
      <c r="H395" s="48" t="n"/>
      <c r="I395" s="49" t="n"/>
      <c r="J395" s="50" t="n"/>
      <c r="K395" s="48" t="n"/>
      <c r="L395" s="51">
        <f>IF(A395="","",DATE(YEAR(A395),MONTH(A395),1))</f>
        <v/>
      </c>
      <c r="M395" s="52">
        <f>IF(OR(A395="",NOT(ISNUMBER(I395))),"",IF(G395=Lists!$B$5,I395/2,IF(G395=Lists!$B$6,I395,0)))</f>
        <v/>
      </c>
      <c r="N395" s="52">
        <f>IF(OR(A395="",NOT(ISNUMBER(I395))),"",IF(G395=Lists!$B$5,I395/2,IF(G395=Lists!$B$7,I395,0)))</f>
        <v/>
      </c>
      <c r="O395" s="53">
        <f>IF(COUNTA(A395:K395)=0,"",IF(OR(A395="",B395="",C395="",D395="",E395="",F395="",G395="",NOT(ISNUMBER(I395))),"Incomplete",IF(COUNTIF(Lists!$H$4:$AA$4,C395)=0,"Check category",IF(COUNTIF(INDEX(Lists!$H$6:$AA$45,0,MATCH(C395,Lists!$H$4:$AA$4,0)),D395)=0,"Check sub-category","OK"))))</f>
        <v/>
      </c>
      <c r="P395">
        <f>IF(ISNUMBER(I395),I395+ROW()/10000000,"")</f>
        <v/>
      </c>
      <c r="Q395">
        <f>IF(AND(ISNUMBER(P395),ISNUMBER(A395)),IF(AND(A395&gt;=Dashboard!$Q$3,A395&lt;=Dashboard!$Q$4,OR(J395&lt;&gt;"Yes",Dashboard!$Q$15="Yes")),P395,""),"")</f>
        <v/>
      </c>
    </row>
    <row r="396">
      <c r="A396" s="47" t="n"/>
      <c r="B396" s="48" t="n"/>
      <c r="C396" s="48" t="n"/>
      <c r="D396" s="48" t="n"/>
      <c r="E396" s="48" t="n"/>
      <c r="F396" s="48" t="n"/>
      <c r="G396" s="48" t="n"/>
      <c r="H396" s="48" t="n"/>
      <c r="I396" s="49" t="n"/>
      <c r="J396" s="50" t="n"/>
      <c r="K396" s="48" t="n"/>
      <c r="L396" s="51">
        <f>IF(A396="","",DATE(YEAR(A396),MONTH(A396),1))</f>
        <v/>
      </c>
      <c r="M396" s="52">
        <f>IF(OR(A396="",NOT(ISNUMBER(I396))),"",IF(G396=Lists!$B$5,I396/2,IF(G396=Lists!$B$6,I396,0)))</f>
        <v/>
      </c>
      <c r="N396" s="52">
        <f>IF(OR(A396="",NOT(ISNUMBER(I396))),"",IF(G396=Lists!$B$5,I396/2,IF(G396=Lists!$B$7,I396,0)))</f>
        <v/>
      </c>
      <c r="O396" s="53">
        <f>IF(COUNTA(A396:K396)=0,"",IF(OR(A396="",B396="",C396="",D396="",E396="",F396="",G396="",NOT(ISNUMBER(I396))),"Incomplete",IF(COUNTIF(Lists!$H$4:$AA$4,C396)=0,"Check category",IF(COUNTIF(INDEX(Lists!$H$6:$AA$45,0,MATCH(C396,Lists!$H$4:$AA$4,0)),D396)=0,"Check sub-category","OK"))))</f>
        <v/>
      </c>
      <c r="P396">
        <f>IF(ISNUMBER(I396),I396+ROW()/10000000,"")</f>
        <v/>
      </c>
      <c r="Q396">
        <f>IF(AND(ISNUMBER(P396),ISNUMBER(A396)),IF(AND(A396&gt;=Dashboard!$Q$3,A396&lt;=Dashboard!$Q$4,OR(J396&lt;&gt;"Yes",Dashboard!$Q$15="Yes")),P396,""),"")</f>
        <v/>
      </c>
    </row>
    <row r="397">
      <c r="A397" s="47" t="n"/>
      <c r="B397" s="48" t="n"/>
      <c r="C397" s="48" t="n"/>
      <c r="D397" s="48" t="n"/>
      <c r="E397" s="48" t="n"/>
      <c r="F397" s="48" t="n"/>
      <c r="G397" s="48" t="n"/>
      <c r="H397" s="48" t="n"/>
      <c r="I397" s="49" t="n"/>
      <c r="J397" s="50" t="n"/>
      <c r="K397" s="48" t="n"/>
      <c r="L397" s="51">
        <f>IF(A397="","",DATE(YEAR(A397),MONTH(A397),1))</f>
        <v/>
      </c>
      <c r="M397" s="52">
        <f>IF(OR(A397="",NOT(ISNUMBER(I397))),"",IF(G397=Lists!$B$5,I397/2,IF(G397=Lists!$B$6,I397,0)))</f>
        <v/>
      </c>
      <c r="N397" s="52">
        <f>IF(OR(A397="",NOT(ISNUMBER(I397))),"",IF(G397=Lists!$B$5,I397/2,IF(G397=Lists!$B$7,I397,0)))</f>
        <v/>
      </c>
      <c r="O397" s="53">
        <f>IF(COUNTA(A397:K397)=0,"",IF(OR(A397="",B397="",C397="",D397="",E397="",F397="",G397="",NOT(ISNUMBER(I397))),"Incomplete",IF(COUNTIF(Lists!$H$4:$AA$4,C397)=0,"Check category",IF(COUNTIF(INDEX(Lists!$H$6:$AA$45,0,MATCH(C397,Lists!$H$4:$AA$4,0)),D397)=0,"Check sub-category","OK"))))</f>
        <v/>
      </c>
      <c r="P397">
        <f>IF(ISNUMBER(I397),I397+ROW()/10000000,"")</f>
        <v/>
      </c>
      <c r="Q397">
        <f>IF(AND(ISNUMBER(P397),ISNUMBER(A397)),IF(AND(A397&gt;=Dashboard!$Q$3,A397&lt;=Dashboard!$Q$4,OR(J397&lt;&gt;"Yes",Dashboard!$Q$15="Yes")),P397,""),"")</f>
        <v/>
      </c>
    </row>
    <row r="398">
      <c r="A398" s="47" t="n"/>
      <c r="B398" s="48" t="n"/>
      <c r="C398" s="48" t="n"/>
      <c r="D398" s="48" t="n"/>
      <c r="E398" s="48" t="n"/>
      <c r="F398" s="48" t="n"/>
      <c r="G398" s="48" t="n"/>
      <c r="H398" s="48" t="n"/>
      <c r="I398" s="49" t="n"/>
      <c r="J398" s="50" t="n"/>
      <c r="K398" s="48" t="n"/>
      <c r="L398" s="51">
        <f>IF(A398="","",DATE(YEAR(A398),MONTH(A398),1))</f>
        <v/>
      </c>
      <c r="M398" s="52">
        <f>IF(OR(A398="",NOT(ISNUMBER(I398))),"",IF(G398=Lists!$B$5,I398/2,IF(G398=Lists!$B$6,I398,0)))</f>
        <v/>
      </c>
      <c r="N398" s="52">
        <f>IF(OR(A398="",NOT(ISNUMBER(I398))),"",IF(G398=Lists!$B$5,I398/2,IF(G398=Lists!$B$7,I398,0)))</f>
        <v/>
      </c>
      <c r="O398" s="53">
        <f>IF(COUNTA(A398:K398)=0,"",IF(OR(A398="",B398="",C398="",D398="",E398="",F398="",G398="",NOT(ISNUMBER(I398))),"Incomplete",IF(COUNTIF(Lists!$H$4:$AA$4,C398)=0,"Check category",IF(COUNTIF(INDEX(Lists!$H$6:$AA$45,0,MATCH(C398,Lists!$H$4:$AA$4,0)),D398)=0,"Check sub-category","OK"))))</f>
        <v/>
      </c>
      <c r="P398">
        <f>IF(ISNUMBER(I398),I398+ROW()/10000000,"")</f>
        <v/>
      </c>
      <c r="Q398">
        <f>IF(AND(ISNUMBER(P398),ISNUMBER(A398)),IF(AND(A398&gt;=Dashboard!$Q$3,A398&lt;=Dashboard!$Q$4,OR(J398&lt;&gt;"Yes",Dashboard!$Q$15="Yes")),P398,""),"")</f>
        <v/>
      </c>
    </row>
    <row r="399">
      <c r="A399" s="47" t="n"/>
      <c r="B399" s="48" t="n"/>
      <c r="C399" s="48" t="n"/>
      <c r="D399" s="48" t="n"/>
      <c r="E399" s="48" t="n"/>
      <c r="F399" s="48" t="n"/>
      <c r="G399" s="48" t="n"/>
      <c r="H399" s="48" t="n"/>
      <c r="I399" s="49" t="n"/>
      <c r="J399" s="50" t="n"/>
      <c r="K399" s="48" t="n"/>
      <c r="L399" s="51">
        <f>IF(A399="","",DATE(YEAR(A399),MONTH(A399),1))</f>
        <v/>
      </c>
      <c r="M399" s="52">
        <f>IF(OR(A399="",NOT(ISNUMBER(I399))),"",IF(G399=Lists!$B$5,I399/2,IF(G399=Lists!$B$6,I399,0)))</f>
        <v/>
      </c>
      <c r="N399" s="52">
        <f>IF(OR(A399="",NOT(ISNUMBER(I399))),"",IF(G399=Lists!$B$5,I399/2,IF(G399=Lists!$B$7,I399,0)))</f>
        <v/>
      </c>
      <c r="O399" s="53">
        <f>IF(COUNTA(A399:K399)=0,"",IF(OR(A399="",B399="",C399="",D399="",E399="",F399="",G399="",NOT(ISNUMBER(I399))),"Incomplete",IF(COUNTIF(Lists!$H$4:$AA$4,C399)=0,"Check category",IF(COUNTIF(INDEX(Lists!$H$6:$AA$45,0,MATCH(C399,Lists!$H$4:$AA$4,0)),D399)=0,"Check sub-category","OK"))))</f>
        <v/>
      </c>
      <c r="P399">
        <f>IF(ISNUMBER(I399),I399+ROW()/10000000,"")</f>
        <v/>
      </c>
      <c r="Q399">
        <f>IF(AND(ISNUMBER(P399),ISNUMBER(A399)),IF(AND(A399&gt;=Dashboard!$Q$3,A399&lt;=Dashboard!$Q$4,OR(J399&lt;&gt;"Yes",Dashboard!$Q$15="Yes")),P399,""),"")</f>
        <v/>
      </c>
    </row>
    <row r="400">
      <c r="A400" s="47" t="n"/>
      <c r="B400" s="48" t="n"/>
      <c r="C400" s="48" t="n"/>
      <c r="D400" s="48" t="n"/>
      <c r="E400" s="48" t="n"/>
      <c r="F400" s="48" t="n"/>
      <c r="G400" s="48" t="n"/>
      <c r="H400" s="48" t="n"/>
      <c r="I400" s="49" t="n"/>
      <c r="J400" s="50" t="n"/>
      <c r="K400" s="48" t="n"/>
      <c r="L400" s="51">
        <f>IF(A400="","",DATE(YEAR(A400),MONTH(A400),1))</f>
        <v/>
      </c>
      <c r="M400" s="52">
        <f>IF(OR(A400="",NOT(ISNUMBER(I400))),"",IF(G400=Lists!$B$5,I400/2,IF(G400=Lists!$B$6,I400,0)))</f>
        <v/>
      </c>
      <c r="N400" s="52">
        <f>IF(OR(A400="",NOT(ISNUMBER(I400))),"",IF(G400=Lists!$B$5,I400/2,IF(G400=Lists!$B$7,I400,0)))</f>
        <v/>
      </c>
      <c r="O400" s="53">
        <f>IF(COUNTA(A400:K400)=0,"",IF(OR(A400="",B400="",C400="",D400="",E400="",F400="",G400="",NOT(ISNUMBER(I400))),"Incomplete",IF(COUNTIF(Lists!$H$4:$AA$4,C400)=0,"Check category",IF(COUNTIF(INDEX(Lists!$H$6:$AA$45,0,MATCH(C400,Lists!$H$4:$AA$4,0)),D400)=0,"Check sub-category","OK"))))</f>
        <v/>
      </c>
      <c r="P400">
        <f>IF(ISNUMBER(I400),I400+ROW()/10000000,"")</f>
        <v/>
      </c>
      <c r="Q400">
        <f>IF(AND(ISNUMBER(P400),ISNUMBER(A400)),IF(AND(A400&gt;=Dashboard!$Q$3,A400&lt;=Dashboard!$Q$4,OR(J400&lt;&gt;"Yes",Dashboard!$Q$15="Yes")),P400,""),"")</f>
        <v/>
      </c>
    </row>
    <row r="401">
      <c r="A401" s="47" t="n"/>
      <c r="B401" s="48" t="n"/>
      <c r="C401" s="48" t="n"/>
      <c r="D401" s="48" t="n"/>
      <c r="E401" s="48" t="n"/>
      <c r="F401" s="48" t="n"/>
      <c r="G401" s="48" t="n"/>
      <c r="H401" s="48" t="n"/>
      <c r="I401" s="49" t="n"/>
      <c r="J401" s="50" t="n"/>
      <c r="K401" s="48" t="n"/>
      <c r="L401" s="51">
        <f>IF(A401="","",DATE(YEAR(A401),MONTH(A401),1))</f>
        <v/>
      </c>
      <c r="M401" s="52">
        <f>IF(OR(A401="",NOT(ISNUMBER(I401))),"",IF(G401=Lists!$B$5,I401/2,IF(G401=Lists!$B$6,I401,0)))</f>
        <v/>
      </c>
      <c r="N401" s="52">
        <f>IF(OR(A401="",NOT(ISNUMBER(I401))),"",IF(G401=Lists!$B$5,I401/2,IF(G401=Lists!$B$7,I401,0)))</f>
        <v/>
      </c>
      <c r="O401" s="53">
        <f>IF(COUNTA(A401:K401)=0,"",IF(OR(A401="",B401="",C401="",D401="",E401="",F401="",G401="",NOT(ISNUMBER(I401))),"Incomplete",IF(COUNTIF(Lists!$H$4:$AA$4,C401)=0,"Check category",IF(COUNTIF(INDEX(Lists!$H$6:$AA$45,0,MATCH(C401,Lists!$H$4:$AA$4,0)),D401)=0,"Check sub-category","OK"))))</f>
        <v/>
      </c>
      <c r="P401">
        <f>IF(ISNUMBER(I401),I401+ROW()/10000000,"")</f>
        <v/>
      </c>
      <c r="Q401">
        <f>IF(AND(ISNUMBER(P401),ISNUMBER(A401)),IF(AND(A401&gt;=Dashboard!$Q$3,A401&lt;=Dashboard!$Q$4,OR(J401&lt;&gt;"Yes",Dashboard!$Q$15="Yes")),P401,""),"")</f>
        <v/>
      </c>
    </row>
    <row r="402">
      <c r="A402" s="47" t="n"/>
      <c r="B402" s="48" t="n"/>
      <c r="C402" s="48" t="n"/>
      <c r="D402" s="48" t="n"/>
      <c r="E402" s="48" t="n"/>
      <c r="F402" s="48" t="n"/>
      <c r="G402" s="48" t="n"/>
      <c r="H402" s="48" t="n"/>
      <c r="I402" s="49" t="n"/>
      <c r="J402" s="50" t="n"/>
      <c r="K402" s="48" t="n"/>
      <c r="L402" s="51">
        <f>IF(A402="","",DATE(YEAR(A402),MONTH(A402),1))</f>
        <v/>
      </c>
      <c r="M402" s="52">
        <f>IF(OR(A402="",NOT(ISNUMBER(I402))),"",IF(G402=Lists!$B$5,I402/2,IF(G402=Lists!$B$6,I402,0)))</f>
        <v/>
      </c>
      <c r="N402" s="52">
        <f>IF(OR(A402="",NOT(ISNUMBER(I402))),"",IF(G402=Lists!$B$5,I402/2,IF(G402=Lists!$B$7,I402,0)))</f>
        <v/>
      </c>
      <c r="O402" s="53">
        <f>IF(COUNTA(A402:K402)=0,"",IF(OR(A402="",B402="",C402="",D402="",E402="",F402="",G402="",NOT(ISNUMBER(I402))),"Incomplete",IF(COUNTIF(Lists!$H$4:$AA$4,C402)=0,"Check category",IF(COUNTIF(INDEX(Lists!$H$6:$AA$45,0,MATCH(C402,Lists!$H$4:$AA$4,0)),D402)=0,"Check sub-category","OK"))))</f>
        <v/>
      </c>
      <c r="P402">
        <f>IF(ISNUMBER(I402),I402+ROW()/10000000,"")</f>
        <v/>
      </c>
      <c r="Q402">
        <f>IF(AND(ISNUMBER(P402),ISNUMBER(A402)),IF(AND(A402&gt;=Dashboard!$Q$3,A402&lt;=Dashboard!$Q$4,OR(J402&lt;&gt;"Yes",Dashboard!$Q$15="Yes")),P402,""),"")</f>
        <v/>
      </c>
    </row>
    <row r="403">
      <c r="A403" s="47" t="n"/>
      <c r="B403" s="48" t="n"/>
      <c r="C403" s="48" t="n"/>
      <c r="D403" s="48" t="n"/>
      <c r="E403" s="48" t="n"/>
      <c r="F403" s="48" t="n"/>
      <c r="G403" s="48" t="n"/>
      <c r="H403" s="48" t="n"/>
      <c r="I403" s="49" t="n"/>
      <c r="J403" s="50" t="n"/>
      <c r="K403" s="48" t="n"/>
      <c r="L403" s="51">
        <f>IF(A403="","",DATE(YEAR(A403),MONTH(A403),1))</f>
        <v/>
      </c>
      <c r="M403" s="52">
        <f>IF(OR(A403="",NOT(ISNUMBER(I403))),"",IF(G403=Lists!$B$5,I403/2,IF(G403=Lists!$B$6,I403,0)))</f>
        <v/>
      </c>
      <c r="N403" s="52">
        <f>IF(OR(A403="",NOT(ISNUMBER(I403))),"",IF(G403=Lists!$B$5,I403/2,IF(G403=Lists!$B$7,I403,0)))</f>
        <v/>
      </c>
      <c r="O403" s="53">
        <f>IF(COUNTA(A403:K403)=0,"",IF(OR(A403="",B403="",C403="",D403="",E403="",F403="",G403="",NOT(ISNUMBER(I403))),"Incomplete",IF(COUNTIF(Lists!$H$4:$AA$4,C403)=0,"Check category",IF(COUNTIF(INDEX(Lists!$H$6:$AA$45,0,MATCH(C403,Lists!$H$4:$AA$4,0)),D403)=0,"Check sub-category","OK"))))</f>
        <v/>
      </c>
      <c r="P403">
        <f>IF(ISNUMBER(I403),I403+ROW()/10000000,"")</f>
        <v/>
      </c>
      <c r="Q403">
        <f>IF(AND(ISNUMBER(P403),ISNUMBER(A403)),IF(AND(A403&gt;=Dashboard!$Q$3,A403&lt;=Dashboard!$Q$4,OR(J403&lt;&gt;"Yes",Dashboard!$Q$15="Yes")),P403,""),"")</f>
        <v/>
      </c>
    </row>
    <row r="404">
      <c r="A404" s="47" t="n"/>
      <c r="B404" s="48" t="n"/>
      <c r="C404" s="48" t="n"/>
      <c r="D404" s="48" t="n"/>
      <c r="E404" s="48" t="n"/>
      <c r="F404" s="48" t="n"/>
      <c r="G404" s="48" t="n"/>
      <c r="H404" s="48" t="n"/>
      <c r="I404" s="49" t="n"/>
      <c r="J404" s="50" t="n"/>
      <c r="K404" s="48" t="n"/>
      <c r="L404" s="51">
        <f>IF(A404="","",DATE(YEAR(A404),MONTH(A404),1))</f>
        <v/>
      </c>
      <c r="M404" s="52">
        <f>IF(OR(A404="",NOT(ISNUMBER(I404))),"",IF(G404=Lists!$B$5,I404/2,IF(G404=Lists!$B$6,I404,0)))</f>
        <v/>
      </c>
      <c r="N404" s="52">
        <f>IF(OR(A404="",NOT(ISNUMBER(I404))),"",IF(G404=Lists!$B$5,I404/2,IF(G404=Lists!$B$7,I404,0)))</f>
        <v/>
      </c>
      <c r="O404" s="53">
        <f>IF(COUNTA(A404:K404)=0,"",IF(OR(A404="",B404="",C404="",D404="",E404="",F404="",G404="",NOT(ISNUMBER(I404))),"Incomplete",IF(COUNTIF(Lists!$H$4:$AA$4,C404)=0,"Check category",IF(COUNTIF(INDEX(Lists!$H$6:$AA$45,0,MATCH(C404,Lists!$H$4:$AA$4,0)),D404)=0,"Check sub-category","OK"))))</f>
        <v/>
      </c>
      <c r="P404">
        <f>IF(ISNUMBER(I404),I404+ROW()/10000000,"")</f>
        <v/>
      </c>
      <c r="Q404">
        <f>IF(AND(ISNUMBER(P404),ISNUMBER(A404)),IF(AND(A404&gt;=Dashboard!$Q$3,A404&lt;=Dashboard!$Q$4,OR(J404&lt;&gt;"Yes",Dashboard!$Q$15="Yes")),P404,""),"")</f>
        <v/>
      </c>
    </row>
    <row r="405">
      <c r="A405" s="47" t="n"/>
      <c r="B405" s="48" t="n"/>
      <c r="C405" s="48" t="n"/>
      <c r="D405" s="48" t="n"/>
      <c r="E405" s="48" t="n"/>
      <c r="F405" s="48" t="n"/>
      <c r="G405" s="48" t="n"/>
      <c r="H405" s="48" t="n"/>
      <c r="I405" s="49" t="n"/>
      <c r="J405" s="50" t="n"/>
      <c r="K405" s="48" t="n"/>
      <c r="L405" s="51">
        <f>IF(A405="","",DATE(YEAR(A405),MONTH(A405),1))</f>
        <v/>
      </c>
      <c r="M405" s="52">
        <f>IF(OR(A405="",NOT(ISNUMBER(I405))),"",IF(G405=Lists!$B$5,I405/2,IF(G405=Lists!$B$6,I405,0)))</f>
        <v/>
      </c>
      <c r="N405" s="52">
        <f>IF(OR(A405="",NOT(ISNUMBER(I405))),"",IF(G405=Lists!$B$5,I405/2,IF(G405=Lists!$B$7,I405,0)))</f>
        <v/>
      </c>
      <c r="O405" s="53">
        <f>IF(COUNTA(A405:K405)=0,"",IF(OR(A405="",B405="",C405="",D405="",E405="",F405="",G405="",NOT(ISNUMBER(I405))),"Incomplete",IF(COUNTIF(Lists!$H$4:$AA$4,C405)=0,"Check category",IF(COUNTIF(INDEX(Lists!$H$6:$AA$45,0,MATCH(C405,Lists!$H$4:$AA$4,0)),D405)=0,"Check sub-category","OK"))))</f>
        <v/>
      </c>
      <c r="P405">
        <f>IF(ISNUMBER(I405),I405+ROW()/10000000,"")</f>
        <v/>
      </c>
      <c r="Q405">
        <f>IF(AND(ISNUMBER(P405),ISNUMBER(A405)),IF(AND(A405&gt;=Dashboard!$Q$3,A405&lt;=Dashboard!$Q$4,OR(J405&lt;&gt;"Yes",Dashboard!$Q$15="Yes")),P405,""),"")</f>
        <v/>
      </c>
    </row>
    <row r="406">
      <c r="A406" s="47" t="n"/>
      <c r="B406" s="48" t="n"/>
      <c r="C406" s="48" t="n"/>
      <c r="D406" s="48" t="n"/>
      <c r="E406" s="48" t="n"/>
      <c r="F406" s="48" t="n"/>
      <c r="G406" s="48" t="n"/>
      <c r="H406" s="48" t="n"/>
      <c r="I406" s="49" t="n"/>
      <c r="J406" s="50" t="n"/>
      <c r="K406" s="48" t="n"/>
      <c r="L406" s="51">
        <f>IF(A406="","",DATE(YEAR(A406),MONTH(A406),1))</f>
        <v/>
      </c>
      <c r="M406" s="52">
        <f>IF(OR(A406="",NOT(ISNUMBER(I406))),"",IF(G406=Lists!$B$5,I406/2,IF(G406=Lists!$B$6,I406,0)))</f>
        <v/>
      </c>
      <c r="N406" s="52">
        <f>IF(OR(A406="",NOT(ISNUMBER(I406))),"",IF(G406=Lists!$B$5,I406/2,IF(G406=Lists!$B$7,I406,0)))</f>
        <v/>
      </c>
      <c r="O406" s="53">
        <f>IF(COUNTA(A406:K406)=0,"",IF(OR(A406="",B406="",C406="",D406="",E406="",F406="",G406="",NOT(ISNUMBER(I406))),"Incomplete",IF(COUNTIF(Lists!$H$4:$AA$4,C406)=0,"Check category",IF(COUNTIF(INDEX(Lists!$H$6:$AA$45,0,MATCH(C406,Lists!$H$4:$AA$4,0)),D406)=0,"Check sub-category","OK"))))</f>
        <v/>
      </c>
      <c r="P406">
        <f>IF(ISNUMBER(I406),I406+ROW()/10000000,"")</f>
        <v/>
      </c>
      <c r="Q406">
        <f>IF(AND(ISNUMBER(P406),ISNUMBER(A406)),IF(AND(A406&gt;=Dashboard!$Q$3,A406&lt;=Dashboard!$Q$4,OR(J406&lt;&gt;"Yes",Dashboard!$Q$15="Yes")),P406,""),"")</f>
        <v/>
      </c>
    </row>
    <row r="407">
      <c r="A407" s="47" t="n"/>
      <c r="B407" s="48" t="n"/>
      <c r="C407" s="48" t="n"/>
      <c r="D407" s="48" t="n"/>
      <c r="E407" s="48" t="n"/>
      <c r="F407" s="48" t="n"/>
      <c r="G407" s="48" t="n"/>
      <c r="H407" s="48" t="n"/>
      <c r="I407" s="49" t="n"/>
      <c r="J407" s="50" t="n"/>
      <c r="K407" s="48" t="n"/>
      <c r="L407" s="51">
        <f>IF(A407="","",DATE(YEAR(A407),MONTH(A407),1))</f>
        <v/>
      </c>
      <c r="M407" s="52">
        <f>IF(OR(A407="",NOT(ISNUMBER(I407))),"",IF(G407=Lists!$B$5,I407/2,IF(G407=Lists!$B$6,I407,0)))</f>
        <v/>
      </c>
      <c r="N407" s="52">
        <f>IF(OR(A407="",NOT(ISNUMBER(I407))),"",IF(G407=Lists!$B$5,I407/2,IF(G407=Lists!$B$7,I407,0)))</f>
        <v/>
      </c>
      <c r="O407" s="53">
        <f>IF(COUNTA(A407:K407)=0,"",IF(OR(A407="",B407="",C407="",D407="",E407="",F407="",G407="",NOT(ISNUMBER(I407))),"Incomplete",IF(COUNTIF(Lists!$H$4:$AA$4,C407)=0,"Check category",IF(COUNTIF(INDEX(Lists!$H$6:$AA$45,0,MATCH(C407,Lists!$H$4:$AA$4,0)),D407)=0,"Check sub-category","OK"))))</f>
        <v/>
      </c>
      <c r="P407">
        <f>IF(ISNUMBER(I407),I407+ROW()/10000000,"")</f>
        <v/>
      </c>
      <c r="Q407">
        <f>IF(AND(ISNUMBER(P407),ISNUMBER(A407)),IF(AND(A407&gt;=Dashboard!$Q$3,A407&lt;=Dashboard!$Q$4,OR(J407&lt;&gt;"Yes",Dashboard!$Q$15="Yes")),P407,""),"")</f>
        <v/>
      </c>
    </row>
    <row r="408">
      <c r="A408" s="47" t="n"/>
      <c r="B408" s="48" t="n"/>
      <c r="C408" s="48" t="n"/>
      <c r="D408" s="48" t="n"/>
      <c r="E408" s="48" t="n"/>
      <c r="F408" s="48" t="n"/>
      <c r="G408" s="48" t="n"/>
      <c r="H408" s="48" t="n"/>
      <c r="I408" s="49" t="n"/>
      <c r="J408" s="50" t="n"/>
      <c r="K408" s="48" t="n"/>
      <c r="L408" s="51">
        <f>IF(A408="","",DATE(YEAR(A408),MONTH(A408),1))</f>
        <v/>
      </c>
      <c r="M408" s="52">
        <f>IF(OR(A408="",NOT(ISNUMBER(I408))),"",IF(G408=Lists!$B$5,I408/2,IF(G408=Lists!$B$6,I408,0)))</f>
        <v/>
      </c>
      <c r="N408" s="52">
        <f>IF(OR(A408="",NOT(ISNUMBER(I408))),"",IF(G408=Lists!$B$5,I408/2,IF(G408=Lists!$B$7,I408,0)))</f>
        <v/>
      </c>
      <c r="O408" s="53">
        <f>IF(COUNTA(A408:K408)=0,"",IF(OR(A408="",B408="",C408="",D408="",E408="",F408="",G408="",NOT(ISNUMBER(I408))),"Incomplete",IF(COUNTIF(Lists!$H$4:$AA$4,C408)=0,"Check category",IF(COUNTIF(INDEX(Lists!$H$6:$AA$45,0,MATCH(C408,Lists!$H$4:$AA$4,0)),D408)=0,"Check sub-category","OK"))))</f>
        <v/>
      </c>
      <c r="P408">
        <f>IF(ISNUMBER(I408),I408+ROW()/10000000,"")</f>
        <v/>
      </c>
      <c r="Q408">
        <f>IF(AND(ISNUMBER(P408),ISNUMBER(A408)),IF(AND(A408&gt;=Dashboard!$Q$3,A408&lt;=Dashboard!$Q$4,OR(J408&lt;&gt;"Yes",Dashboard!$Q$15="Yes")),P408,""),"")</f>
        <v/>
      </c>
    </row>
    <row r="409">
      <c r="A409" s="47" t="n"/>
      <c r="B409" s="48" t="n"/>
      <c r="C409" s="48" t="n"/>
      <c r="D409" s="48" t="n"/>
      <c r="E409" s="48" t="n"/>
      <c r="F409" s="48" t="n"/>
      <c r="G409" s="48" t="n"/>
      <c r="H409" s="48" t="n"/>
      <c r="I409" s="49" t="n"/>
      <c r="J409" s="50" t="n"/>
      <c r="K409" s="48" t="n"/>
      <c r="L409" s="51">
        <f>IF(A409="","",DATE(YEAR(A409),MONTH(A409),1))</f>
        <v/>
      </c>
      <c r="M409" s="52">
        <f>IF(OR(A409="",NOT(ISNUMBER(I409))),"",IF(G409=Lists!$B$5,I409/2,IF(G409=Lists!$B$6,I409,0)))</f>
        <v/>
      </c>
      <c r="N409" s="52">
        <f>IF(OR(A409="",NOT(ISNUMBER(I409))),"",IF(G409=Lists!$B$5,I409/2,IF(G409=Lists!$B$7,I409,0)))</f>
        <v/>
      </c>
      <c r="O409" s="53">
        <f>IF(COUNTA(A409:K409)=0,"",IF(OR(A409="",B409="",C409="",D409="",E409="",F409="",G409="",NOT(ISNUMBER(I409))),"Incomplete",IF(COUNTIF(Lists!$H$4:$AA$4,C409)=0,"Check category",IF(COUNTIF(INDEX(Lists!$H$6:$AA$45,0,MATCH(C409,Lists!$H$4:$AA$4,0)),D409)=0,"Check sub-category","OK"))))</f>
        <v/>
      </c>
      <c r="P409">
        <f>IF(ISNUMBER(I409),I409+ROW()/10000000,"")</f>
        <v/>
      </c>
      <c r="Q409">
        <f>IF(AND(ISNUMBER(P409),ISNUMBER(A409)),IF(AND(A409&gt;=Dashboard!$Q$3,A409&lt;=Dashboard!$Q$4,OR(J409&lt;&gt;"Yes",Dashboard!$Q$15="Yes")),P409,""),"")</f>
        <v/>
      </c>
    </row>
    <row r="410">
      <c r="A410" s="47" t="n"/>
      <c r="B410" s="48" t="n"/>
      <c r="C410" s="48" t="n"/>
      <c r="D410" s="48" t="n"/>
      <c r="E410" s="48" t="n"/>
      <c r="F410" s="48" t="n"/>
      <c r="G410" s="48" t="n"/>
      <c r="H410" s="48" t="n"/>
      <c r="I410" s="49" t="n"/>
      <c r="J410" s="50" t="n"/>
      <c r="K410" s="48" t="n"/>
      <c r="L410" s="51">
        <f>IF(A410="","",DATE(YEAR(A410),MONTH(A410),1))</f>
        <v/>
      </c>
      <c r="M410" s="52">
        <f>IF(OR(A410="",NOT(ISNUMBER(I410))),"",IF(G410=Lists!$B$5,I410/2,IF(G410=Lists!$B$6,I410,0)))</f>
        <v/>
      </c>
      <c r="N410" s="52">
        <f>IF(OR(A410="",NOT(ISNUMBER(I410))),"",IF(G410=Lists!$B$5,I410/2,IF(G410=Lists!$B$7,I410,0)))</f>
        <v/>
      </c>
      <c r="O410" s="53">
        <f>IF(COUNTA(A410:K410)=0,"",IF(OR(A410="",B410="",C410="",D410="",E410="",F410="",G410="",NOT(ISNUMBER(I410))),"Incomplete",IF(COUNTIF(Lists!$H$4:$AA$4,C410)=0,"Check category",IF(COUNTIF(INDEX(Lists!$H$6:$AA$45,0,MATCH(C410,Lists!$H$4:$AA$4,0)),D410)=0,"Check sub-category","OK"))))</f>
        <v/>
      </c>
      <c r="P410">
        <f>IF(ISNUMBER(I410),I410+ROW()/10000000,"")</f>
        <v/>
      </c>
      <c r="Q410">
        <f>IF(AND(ISNUMBER(P410),ISNUMBER(A410)),IF(AND(A410&gt;=Dashboard!$Q$3,A410&lt;=Dashboard!$Q$4,OR(J410&lt;&gt;"Yes",Dashboard!$Q$15="Yes")),P410,""),"")</f>
        <v/>
      </c>
    </row>
    <row r="411">
      <c r="A411" s="47" t="n"/>
      <c r="B411" s="48" t="n"/>
      <c r="C411" s="48" t="n"/>
      <c r="D411" s="48" t="n"/>
      <c r="E411" s="48" t="n"/>
      <c r="F411" s="48" t="n"/>
      <c r="G411" s="48" t="n"/>
      <c r="H411" s="48" t="n"/>
      <c r="I411" s="49" t="n"/>
      <c r="J411" s="50" t="n"/>
      <c r="K411" s="48" t="n"/>
      <c r="L411" s="51">
        <f>IF(A411="","",DATE(YEAR(A411),MONTH(A411),1))</f>
        <v/>
      </c>
      <c r="M411" s="52">
        <f>IF(OR(A411="",NOT(ISNUMBER(I411))),"",IF(G411=Lists!$B$5,I411/2,IF(G411=Lists!$B$6,I411,0)))</f>
        <v/>
      </c>
      <c r="N411" s="52">
        <f>IF(OR(A411="",NOT(ISNUMBER(I411))),"",IF(G411=Lists!$B$5,I411/2,IF(G411=Lists!$B$7,I411,0)))</f>
        <v/>
      </c>
      <c r="O411" s="53">
        <f>IF(COUNTA(A411:K411)=0,"",IF(OR(A411="",B411="",C411="",D411="",E411="",F411="",G411="",NOT(ISNUMBER(I411))),"Incomplete",IF(COUNTIF(Lists!$H$4:$AA$4,C411)=0,"Check category",IF(COUNTIF(INDEX(Lists!$H$6:$AA$45,0,MATCH(C411,Lists!$H$4:$AA$4,0)),D411)=0,"Check sub-category","OK"))))</f>
        <v/>
      </c>
      <c r="P411">
        <f>IF(ISNUMBER(I411),I411+ROW()/10000000,"")</f>
        <v/>
      </c>
      <c r="Q411">
        <f>IF(AND(ISNUMBER(P411),ISNUMBER(A411)),IF(AND(A411&gt;=Dashboard!$Q$3,A411&lt;=Dashboard!$Q$4,OR(J411&lt;&gt;"Yes",Dashboard!$Q$15="Yes")),P411,""),"")</f>
        <v/>
      </c>
    </row>
    <row r="412">
      <c r="A412" s="47" t="n"/>
      <c r="B412" s="48" t="n"/>
      <c r="C412" s="48" t="n"/>
      <c r="D412" s="48" t="n"/>
      <c r="E412" s="48" t="n"/>
      <c r="F412" s="48" t="n"/>
      <c r="G412" s="48" t="n"/>
      <c r="H412" s="48" t="n"/>
      <c r="I412" s="49" t="n"/>
      <c r="J412" s="50" t="n"/>
      <c r="K412" s="48" t="n"/>
      <c r="L412" s="51">
        <f>IF(A412="","",DATE(YEAR(A412),MONTH(A412),1))</f>
        <v/>
      </c>
      <c r="M412" s="52">
        <f>IF(OR(A412="",NOT(ISNUMBER(I412))),"",IF(G412=Lists!$B$5,I412/2,IF(G412=Lists!$B$6,I412,0)))</f>
        <v/>
      </c>
      <c r="N412" s="52">
        <f>IF(OR(A412="",NOT(ISNUMBER(I412))),"",IF(G412=Lists!$B$5,I412/2,IF(G412=Lists!$B$7,I412,0)))</f>
        <v/>
      </c>
      <c r="O412" s="53">
        <f>IF(COUNTA(A412:K412)=0,"",IF(OR(A412="",B412="",C412="",D412="",E412="",F412="",G412="",NOT(ISNUMBER(I412))),"Incomplete",IF(COUNTIF(Lists!$H$4:$AA$4,C412)=0,"Check category",IF(COUNTIF(INDEX(Lists!$H$6:$AA$45,0,MATCH(C412,Lists!$H$4:$AA$4,0)),D412)=0,"Check sub-category","OK"))))</f>
        <v/>
      </c>
      <c r="P412">
        <f>IF(ISNUMBER(I412),I412+ROW()/10000000,"")</f>
        <v/>
      </c>
      <c r="Q412">
        <f>IF(AND(ISNUMBER(P412),ISNUMBER(A412)),IF(AND(A412&gt;=Dashboard!$Q$3,A412&lt;=Dashboard!$Q$4,OR(J412&lt;&gt;"Yes",Dashboard!$Q$15="Yes")),P412,""),"")</f>
        <v/>
      </c>
    </row>
    <row r="413">
      <c r="A413" s="47" t="n"/>
      <c r="B413" s="48" t="n"/>
      <c r="C413" s="48" t="n"/>
      <c r="D413" s="48" t="n"/>
      <c r="E413" s="48" t="n"/>
      <c r="F413" s="48" t="n"/>
      <c r="G413" s="48" t="n"/>
      <c r="H413" s="48" t="n"/>
      <c r="I413" s="49" t="n"/>
      <c r="J413" s="50" t="n"/>
      <c r="K413" s="48" t="n"/>
      <c r="L413" s="51">
        <f>IF(A413="","",DATE(YEAR(A413),MONTH(A413),1))</f>
        <v/>
      </c>
      <c r="M413" s="52">
        <f>IF(OR(A413="",NOT(ISNUMBER(I413))),"",IF(G413=Lists!$B$5,I413/2,IF(G413=Lists!$B$6,I413,0)))</f>
        <v/>
      </c>
      <c r="N413" s="52">
        <f>IF(OR(A413="",NOT(ISNUMBER(I413))),"",IF(G413=Lists!$B$5,I413/2,IF(G413=Lists!$B$7,I413,0)))</f>
        <v/>
      </c>
      <c r="O413" s="53">
        <f>IF(COUNTA(A413:K413)=0,"",IF(OR(A413="",B413="",C413="",D413="",E413="",F413="",G413="",NOT(ISNUMBER(I413))),"Incomplete",IF(COUNTIF(Lists!$H$4:$AA$4,C413)=0,"Check category",IF(COUNTIF(INDEX(Lists!$H$6:$AA$45,0,MATCH(C413,Lists!$H$4:$AA$4,0)),D413)=0,"Check sub-category","OK"))))</f>
        <v/>
      </c>
      <c r="P413">
        <f>IF(ISNUMBER(I413),I413+ROW()/10000000,"")</f>
        <v/>
      </c>
      <c r="Q413">
        <f>IF(AND(ISNUMBER(P413),ISNUMBER(A413)),IF(AND(A413&gt;=Dashboard!$Q$3,A413&lt;=Dashboard!$Q$4,OR(J413&lt;&gt;"Yes",Dashboard!$Q$15="Yes")),P413,""),"")</f>
        <v/>
      </c>
    </row>
    <row r="414">
      <c r="A414" s="47" t="n"/>
      <c r="B414" s="48" t="n"/>
      <c r="C414" s="48" t="n"/>
      <c r="D414" s="48" t="n"/>
      <c r="E414" s="48" t="n"/>
      <c r="F414" s="48" t="n"/>
      <c r="G414" s="48" t="n"/>
      <c r="H414" s="48" t="n"/>
      <c r="I414" s="49" t="n"/>
      <c r="J414" s="50" t="n"/>
      <c r="K414" s="48" t="n"/>
      <c r="L414" s="51">
        <f>IF(A414="","",DATE(YEAR(A414),MONTH(A414),1))</f>
        <v/>
      </c>
      <c r="M414" s="52">
        <f>IF(OR(A414="",NOT(ISNUMBER(I414))),"",IF(G414=Lists!$B$5,I414/2,IF(G414=Lists!$B$6,I414,0)))</f>
        <v/>
      </c>
      <c r="N414" s="52">
        <f>IF(OR(A414="",NOT(ISNUMBER(I414))),"",IF(G414=Lists!$B$5,I414/2,IF(G414=Lists!$B$7,I414,0)))</f>
        <v/>
      </c>
      <c r="O414" s="53">
        <f>IF(COUNTA(A414:K414)=0,"",IF(OR(A414="",B414="",C414="",D414="",E414="",F414="",G414="",NOT(ISNUMBER(I414))),"Incomplete",IF(COUNTIF(Lists!$H$4:$AA$4,C414)=0,"Check category",IF(COUNTIF(INDEX(Lists!$H$6:$AA$45,0,MATCH(C414,Lists!$H$4:$AA$4,0)),D414)=0,"Check sub-category","OK"))))</f>
        <v/>
      </c>
      <c r="P414">
        <f>IF(ISNUMBER(I414),I414+ROW()/10000000,"")</f>
        <v/>
      </c>
      <c r="Q414">
        <f>IF(AND(ISNUMBER(P414),ISNUMBER(A414)),IF(AND(A414&gt;=Dashboard!$Q$3,A414&lt;=Dashboard!$Q$4,OR(J414&lt;&gt;"Yes",Dashboard!$Q$15="Yes")),P414,""),"")</f>
        <v/>
      </c>
    </row>
    <row r="415">
      <c r="A415" s="47" t="n"/>
      <c r="B415" s="48" t="n"/>
      <c r="C415" s="48" t="n"/>
      <c r="D415" s="48" t="n"/>
      <c r="E415" s="48" t="n"/>
      <c r="F415" s="48" t="n"/>
      <c r="G415" s="48" t="n"/>
      <c r="H415" s="48" t="n"/>
      <c r="I415" s="49" t="n"/>
      <c r="J415" s="50" t="n"/>
      <c r="K415" s="48" t="n"/>
      <c r="L415" s="51">
        <f>IF(A415="","",DATE(YEAR(A415),MONTH(A415),1))</f>
        <v/>
      </c>
      <c r="M415" s="52">
        <f>IF(OR(A415="",NOT(ISNUMBER(I415))),"",IF(G415=Lists!$B$5,I415/2,IF(G415=Lists!$B$6,I415,0)))</f>
        <v/>
      </c>
      <c r="N415" s="52">
        <f>IF(OR(A415="",NOT(ISNUMBER(I415))),"",IF(G415=Lists!$B$5,I415/2,IF(G415=Lists!$B$7,I415,0)))</f>
        <v/>
      </c>
      <c r="O415" s="53">
        <f>IF(COUNTA(A415:K415)=0,"",IF(OR(A415="",B415="",C415="",D415="",E415="",F415="",G415="",NOT(ISNUMBER(I415))),"Incomplete",IF(COUNTIF(Lists!$H$4:$AA$4,C415)=0,"Check category",IF(COUNTIF(INDEX(Lists!$H$6:$AA$45,0,MATCH(C415,Lists!$H$4:$AA$4,0)),D415)=0,"Check sub-category","OK"))))</f>
        <v/>
      </c>
      <c r="P415">
        <f>IF(ISNUMBER(I415),I415+ROW()/10000000,"")</f>
        <v/>
      </c>
      <c r="Q415">
        <f>IF(AND(ISNUMBER(P415),ISNUMBER(A415)),IF(AND(A415&gt;=Dashboard!$Q$3,A415&lt;=Dashboard!$Q$4,OR(J415&lt;&gt;"Yes",Dashboard!$Q$15="Yes")),P415,""),"")</f>
        <v/>
      </c>
    </row>
    <row r="416">
      <c r="A416" s="47" t="n"/>
      <c r="B416" s="48" t="n"/>
      <c r="C416" s="48" t="n"/>
      <c r="D416" s="48" t="n"/>
      <c r="E416" s="48" t="n"/>
      <c r="F416" s="48" t="n"/>
      <c r="G416" s="48" t="n"/>
      <c r="H416" s="48" t="n"/>
      <c r="I416" s="49" t="n"/>
      <c r="J416" s="50" t="n"/>
      <c r="K416" s="48" t="n"/>
      <c r="L416" s="51">
        <f>IF(A416="","",DATE(YEAR(A416),MONTH(A416),1))</f>
        <v/>
      </c>
      <c r="M416" s="52">
        <f>IF(OR(A416="",NOT(ISNUMBER(I416))),"",IF(G416=Lists!$B$5,I416/2,IF(G416=Lists!$B$6,I416,0)))</f>
        <v/>
      </c>
      <c r="N416" s="52">
        <f>IF(OR(A416="",NOT(ISNUMBER(I416))),"",IF(G416=Lists!$B$5,I416/2,IF(G416=Lists!$B$7,I416,0)))</f>
        <v/>
      </c>
      <c r="O416" s="53">
        <f>IF(COUNTA(A416:K416)=0,"",IF(OR(A416="",B416="",C416="",D416="",E416="",F416="",G416="",NOT(ISNUMBER(I416))),"Incomplete",IF(COUNTIF(Lists!$H$4:$AA$4,C416)=0,"Check category",IF(COUNTIF(INDEX(Lists!$H$6:$AA$45,0,MATCH(C416,Lists!$H$4:$AA$4,0)),D416)=0,"Check sub-category","OK"))))</f>
        <v/>
      </c>
      <c r="P416">
        <f>IF(ISNUMBER(I416),I416+ROW()/10000000,"")</f>
        <v/>
      </c>
      <c r="Q416">
        <f>IF(AND(ISNUMBER(P416),ISNUMBER(A416)),IF(AND(A416&gt;=Dashboard!$Q$3,A416&lt;=Dashboard!$Q$4,OR(J416&lt;&gt;"Yes",Dashboard!$Q$15="Yes")),P416,""),"")</f>
        <v/>
      </c>
    </row>
    <row r="417">
      <c r="A417" s="47" t="n"/>
      <c r="B417" s="48" t="n"/>
      <c r="C417" s="48" t="n"/>
      <c r="D417" s="48" t="n"/>
      <c r="E417" s="48" t="n"/>
      <c r="F417" s="48" t="n"/>
      <c r="G417" s="48" t="n"/>
      <c r="H417" s="48" t="n"/>
      <c r="I417" s="49" t="n"/>
      <c r="J417" s="50" t="n"/>
      <c r="K417" s="48" t="n"/>
      <c r="L417" s="51">
        <f>IF(A417="","",DATE(YEAR(A417),MONTH(A417),1))</f>
        <v/>
      </c>
      <c r="M417" s="52">
        <f>IF(OR(A417="",NOT(ISNUMBER(I417))),"",IF(G417=Lists!$B$5,I417/2,IF(G417=Lists!$B$6,I417,0)))</f>
        <v/>
      </c>
      <c r="N417" s="52">
        <f>IF(OR(A417="",NOT(ISNUMBER(I417))),"",IF(G417=Lists!$B$5,I417/2,IF(G417=Lists!$B$7,I417,0)))</f>
        <v/>
      </c>
      <c r="O417" s="53">
        <f>IF(COUNTA(A417:K417)=0,"",IF(OR(A417="",B417="",C417="",D417="",E417="",F417="",G417="",NOT(ISNUMBER(I417))),"Incomplete",IF(COUNTIF(Lists!$H$4:$AA$4,C417)=0,"Check category",IF(COUNTIF(INDEX(Lists!$H$6:$AA$45,0,MATCH(C417,Lists!$H$4:$AA$4,0)),D417)=0,"Check sub-category","OK"))))</f>
        <v/>
      </c>
      <c r="P417">
        <f>IF(ISNUMBER(I417),I417+ROW()/10000000,"")</f>
        <v/>
      </c>
      <c r="Q417">
        <f>IF(AND(ISNUMBER(P417),ISNUMBER(A417)),IF(AND(A417&gt;=Dashboard!$Q$3,A417&lt;=Dashboard!$Q$4,OR(J417&lt;&gt;"Yes",Dashboard!$Q$15="Yes")),P417,""),"")</f>
        <v/>
      </c>
    </row>
    <row r="418">
      <c r="A418" s="47" t="n"/>
      <c r="B418" s="48" t="n"/>
      <c r="C418" s="48" t="n"/>
      <c r="D418" s="48" t="n"/>
      <c r="E418" s="48" t="n"/>
      <c r="F418" s="48" t="n"/>
      <c r="G418" s="48" t="n"/>
      <c r="H418" s="48" t="n"/>
      <c r="I418" s="49" t="n"/>
      <c r="J418" s="50" t="n"/>
      <c r="K418" s="48" t="n"/>
      <c r="L418" s="51">
        <f>IF(A418="","",DATE(YEAR(A418),MONTH(A418),1))</f>
        <v/>
      </c>
      <c r="M418" s="52">
        <f>IF(OR(A418="",NOT(ISNUMBER(I418))),"",IF(G418=Lists!$B$5,I418/2,IF(G418=Lists!$B$6,I418,0)))</f>
        <v/>
      </c>
      <c r="N418" s="52">
        <f>IF(OR(A418="",NOT(ISNUMBER(I418))),"",IF(G418=Lists!$B$5,I418/2,IF(G418=Lists!$B$7,I418,0)))</f>
        <v/>
      </c>
      <c r="O418" s="53">
        <f>IF(COUNTA(A418:K418)=0,"",IF(OR(A418="",B418="",C418="",D418="",E418="",F418="",G418="",NOT(ISNUMBER(I418))),"Incomplete",IF(COUNTIF(Lists!$H$4:$AA$4,C418)=0,"Check category",IF(COUNTIF(INDEX(Lists!$H$6:$AA$45,0,MATCH(C418,Lists!$H$4:$AA$4,0)),D418)=0,"Check sub-category","OK"))))</f>
        <v/>
      </c>
      <c r="P418">
        <f>IF(ISNUMBER(I418),I418+ROW()/10000000,"")</f>
        <v/>
      </c>
      <c r="Q418">
        <f>IF(AND(ISNUMBER(P418),ISNUMBER(A418)),IF(AND(A418&gt;=Dashboard!$Q$3,A418&lt;=Dashboard!$Q$4,OR(J418&lt;&gt;"Yes",Dashboard!$Q$15="Yes")),P418,""),"")</f>
        <v/>
      </c>
    </row>
    <row r="419">
      <c r="A419" s="47" t="n"/>
      <c r="B419" s="48" t="n"/>
      <c r="C419" s="48" t="n"/>
      <c r="D419" s="48" t="n"/>
      <c r="E419" s="48" t="n"/>
      <c r="F419" s="48" t="n"/>
      <c r="G419" s="48" t="n"/>
      <c r="H419" s="48" t="n"/>
      <c r="I419" s="49" t="n"/>
      <c r="J419" s="50" t="n"/>
      <c r="K419" s="48" t="n"/>
      <c r="L419" s="51">
        <f>IF(A419="","",DATE(YEAR(A419),MONTH(A419),1))</f>
        <v/>
      </c>
      <c r="M419" s="52">
        <f>IF(OR(A419="",NOT(ISNUMBER(I419))),"",IF(G419=Lists!$B$5,I419/2,IF(G419=Lists!$B$6,I419,0)))</f>
        <v/>
      </c>
      <c r="N419" s="52">
        <f>IF(OR(A419="",NOT(ISNUMBER(I419))),"",IF(G419=Lists!$B$5,I419/2,IF(G419=Lists!$B$7,I419,0)))</f>
        <v/>
      </c>
      <c r="O419" s="53">
        <f>IF(COUNTA(A419:K419)=0,"",IF(OR(A419="",B419="",C419="",D419="",E419="",F419="",G419="",NOT(ISNUMBER(I419))),"Incomplete",IF(COUNTIF(Lists!$H$4:$AA$4,C419)=0,"Check category",IF(COUNTIF(INDEX(Lists!$H$6:$AA$45,0,MATCH(C419,Lists!$H$4:$AA$4,0)),D419)=0,"Check sub-category","OK"))))</f>
        <v/>
      </c>
      <c r="P419">
        <f>IF(ISNUMBER(I419),I419+ROW()/10000000,"")</f>
        <v/>
      </c>
      <c r="Q419">
        <f>IF(AND(ISNUMBER(P419),ISNUMBER(A419)),IF(AND(A419&gt;=Dashboard!$Q$3,A419&lt;=Dashboard!$Q$4,OR(J419&lt;&gt;"Yes",Dashboard!$Q$15="Yes")),P419,""),"")</f>
        <v/>
      </c>
    </row>
    <row r="420">
      <c r="A420" s="47" t="n"/>
      <c r="B420" s="48" t="n"/>
      <c r="C420" s="48" t="n"/>
      <c r="D420" s="48" t="n"/>
      <c r="E420" s="48" t="n"/>
      <c r="F420" s="48" t="n"/>
      <c r="G420" s="48" t="n"/>
      <c r="H420" s="48" t="n"/>
      <c r="I420" s="49" t="n"/>
      <c r="J420" s="50" t="n"/>
      <c r="K420" s="48" t="n"/>
      <c r="L420" s="51">
        <f>IF(A420="","",DATE(YEAR(A420),MONTH(A420),1))</f>
        <v/>
      </c>
      <c r="M420" s="52">
        <f>IF(OR(A420="",NOT(ISNUMBER(I420))),"",IF(G420=Lists!$B$5,I420/2,IF(G420=Lists!$B$6,I420,0)))</f>
        <v/>
      </c>
      <c r="N420" s="52">
        <f>IF(OR(A420="",NOT(ISNUMBER(I420))),"",IF(G420=Lists!$B$5,I420/2,IF(G420=Lists!$B$7,I420,0)))</f>
        <v/>
      </c>
      <c r="O420" s="53">
        <f>IF(COUNTA(A420:K420)=0,"",IF(OR(A420="",B420="",C420="",D420="",E420="",F420="",G420="",NOT(ISNUMBER(I420))),"Incomplete",IF(COUNTIF(Lists!$H$4:$AA$4,C420)=0,"Check category",IF(COUNTIF(INDEX(Lists!$H$6:$AA$45,0,MATCH(C420,Lists!$H$4:$AA$4,0)),D420)=0,"Check sub-category","OK"))))</f>
        <v/>
      </c>
      <c r="P420">
        <f>IF(ISNUMBER(I420),I420+ROW()/10000000,"")</f>
        <v/>
      </c>
      <c r="Q420">
        <f>IF(AND(ISNUMBER(P420),ISNUMBER(A420)),IF(AND(A420&gt;=Dashboard!$Q$3,A420&lt;=Dashboard!$Q$4,OR(J420&lt;&gt;"Yes",Dashboard!$Q$15="Yes")),P420,""),"")</f>
        <v/>
      </c>
    </row>
    <row r="421">
      <c r="A421" s="47" t="n"/>
      <c r="B421" s="48" t="n"/>
      <c r="C421" s="48" t="n"/>
      <c r="D421" s="48" t="n"/>
      <c r="E421" s="48" t="n"/>
      <c r="F421" s="48" t="n"/>
      <c r="G421" s="48" t="n"/>
      <c r="H421" s="48" t="n"/>
      <c r="I421" s="49" t="n"/>
      <c r="J421" s="50" t="n"/>
      <c r="K421" s="48" t="n"/>
      <c r="L421" s="51">
        <f>IF(A421="","",DATE(YEAR(A421),MONTH(A421),1))</f>
        <v/>
      </c>
      <c r="M421" s="52">
        <f>IF(OR(A421="",NOT(ISNUMBER(I421))),"",IF(G421=Lists!$B$5,I421/2,IF(G421=Lists!$B$6,I421,0)))</f>
        <v/>
      </c>
      <c r="N421" s="52">
        <f>IF(OR(A421="",NOT(ISNUMBER(I421))),"",IF(G421=Lists!$B$5,I421/2,IF(G421=Lists!$B$7,I421,0)))</f>
        <v/>
      </c>
      <c r="O421" s="53">
        <f>IF(COUNTA(A421:K421)=0,"",IF(OR(A421="",B421="",C421="",D421="",E421="",F421="",G421="",NOT(ISNUMBER(I421))),"Incomplete",IF(COUNTIF(Lists!$H$4:$AA$4,C421)=0,"Check category",IF(COUNTIF(INDEX(Lists!$H$6:$AA$45,0,MATCH(C421,Lists!$H$4:$AA$4,0)),D421)=0,"Check sub-category","OK"))))</f>
        <v/>
      </c>
      <c r="P421">
        <f>IF(ISNUMBER(I421),I421+ROW()/10000000,"")</f>
        <v/>
      </c>
      <c r="Q421">
        <f>IF(AND(ISNUMBER(P421),ISNUMBER(A421)),IF(AND(A421&gt;=Dashboard!$Q$3,A421&lt;=Dashboard!$Q$4,OR(J421&lt;&gt;"Yes",Dashboard!$Q$15="Yes")),P421,""),"")</f>
        <v/>
      </c>
    </row>
    <row r="422">
      <c r="A422" s="47" t="n"/>
      <c r="B422" s="48" t="n"/>
      <c r="C422" s="48" t="n"/>
      <c r="D422" s="48" t="n"/>
      <c r="E422" s="48" t="n"/>
      <c r="F422" s="48" t="n"/>
      <c r="G422" s="48" t="n"/>
      <c r="H422" s="48" t="n"/>
      <c r="I422" s="49" t="n"/>
      <c r="J422" s="50" t="n"/>
      <c r="K422" s="48" t="n"/>
      <c r="L422" s="51">
        <f>IF(A422="","",DATE(YEAR(A422),MONTH(A422),1))</f>
        <v/>
      </c>
      <c r="M422" s="52">
        <f>IF(OR(A422="",NOT(ISNUMBER(I422))),"",IF(G422=Lists!$B$5,I422/2,IF(G422=Lists!$B$6,I422,0)))</f>
        <v/>
      </c>
      <c r="N422" s="52">
        <f>IF(OR(A422="",NOT(ISNUMBER(I422))),"",IF(G422=Lists!$B$5,I422/2,IF(G422=Lists!$B$7,I422,0)))</f>
        <v/>
      </c>
      <c r="O422" s="53">
        <f>IF(COUNTA(A422:K422)=0,"",IF(OR(A422="",B422="",C422="",D422="",E422="",F422="",G422="",NOT(ISNUMBER(I422))),"Incomplete",IF(COUNTIF(Lists!$H$4:$AA$4,C422)=0,"Check category",IF(COUNTIF(INDEX(Lists!$H$6:$AA$45,0,MATCH(C422,Lists!$H$4:$AA$4,0)),D422)=0,"Check sub-category","OK"))))</f>
        <v/>
      </c>
      <c r="P422">
        <f>IF(ISNUMBER(I422),I422+ROW()/10000000,"")</f>
        <v/>
      </c>
      <c r="Q422">
        <f>IF(AND(ISNUMBER(P422),ISNUMBER(A422)),IF(AND(A422&gt;=Dashboard!$Q$3,A422&lt;=Dashboard!$Q$4,OR(J422&lt;&gt;"Yes",Dashboard!$Q$15="Yes")),P422,""),"")</f>
        <v/>
      </c>
    </row>
    <row r="423">
      <c r="A423" s="47" t="n"/>
      <c r="B423" s="48" t="n"/>
      <c r="C423" s="48" t="n"/>
      <c r="D423" s="48" t="n"/>
      <c r="E423" s="48" t="n"/>
      <c r="F423" s="48" t="n"/>
      <c r="G423" s="48" t="n"/>
      <c r="H423" s="48" t="n"/>
      <c r="I423" s="49" t="n"/>
      <c r="J423" s="50" t="n"/>
      <c r="K423" s="48" t="n"/>
      <c r="L423" s="51">
        <f>IF(A423="","",DATE(YEAR(A423),MONTH(A423),1))</f>
        <v/>
      </c>
      <c r="M423" s="52">
        <f>IF(OR(A423="",NOT(ISNUMBER(I423))),"",IF(G423=Lists!$B$5,I423/2,IF(G423=Lists!$B$6,I423,0)))</f>
        <v/>
      </c>
      <c r="N423" s="52">
        <f>IF(OR(A423="",NOT(ISNUMBER(I423))),"",IF(G423=Lists!$B$5,I423/2,IF(G423=Lists!$B$7,I423,0)))</f>
        <v/>
      </c>
      <c r="O423" s="53">
        <f>IF(COUNTA(A423:K423)=0,"",IF(OR(A423="",B423="",C423="",D423="",E423="",F423="",G423="",NOT(ISNUMBER(I423))),"Incomplete",IF(COUNTIF(Lists!$H$4:$AA$4,C423)=0,"Check category",IF(COUNTIF(INDEX(Lists!$H$6:$AA$45,0,MATCH(C423,Lists!$H$4:$AA$4,0)),D423)=0,"Check sub-category","OK"))))</f>
        <v/>
      </c>
      <c r="P423">
        <f>IF(ISNUMBER(I423),I423+ROW()/10000000,"")</f>
        <v/>
      </c>
      <c r="Q423">
        <f>IF(AND(ISNUMBER(P423),ISNUMBER(A423)),IF(AND(A423&gt;=Dashboard!$Q$3,A423&lt;=Dashboard!$Q$4,OR(J423&lt;&gt;"Yes",Dashboard!$Q$15="Yes")),P423,""),"")</f>
        <v/>
      </c>
    </row>
    <row r="424">
      <c r="A424" s="47" t="n"/>
      <c r="B424" s="48" t="n"/>
      <c r="C424" s="48" t="n"/>
      <c r="D424" s="48" t="n"/>
      <c r="E424" s="48" t="n"/>
      <c r="F424" s="48" t="n"/>
      <c r="G424" s="48" t="n"/>
      <c r="H424" s="48" t="n"/>
      <c r="I424" s="49" t="n"/>
      <c r="J424" s="50" t="n"/>
      <c r="K424" s="48" t="n"/>
      <c r="L424" s="51">
        <f>IF(A424="","",DATE(YEAR(A424),MONTH(A424),1))</f>
        <v/>
      </c>
      <c r="M424" s="52">
        <f>IF(OR(A424="",NOT(ISNUMBER(I424))),"",IF(G424=Lists!$B$5,I424/2,IF(G424=Lists!$B$6,I424,0)))</f>
        <v/>
      </c>
      <c r="N424" s="52">
        <f>IF(OR(A424="",NOT(ISNUMBER(I424))),"",IF(G424=Lists!$B$5,I424/2,IF(G424=Lists!$B$7,I424,0)))</f>
        <v/>
      </c>
      <c r="O424" s="53">
        <f>IF(COUNTA(A424:K424)=0,"",IF(OR(A424="",B424="",C424="",D424="",E424="",F424="",G424="",NOT(ISNUMBER(I424))),"Incomplete",IF(COUNTIF(Lists!$H$4:$AA$4,C424)=0,"Check category",IF(COUNTIF(INDEX(Lists!$H$6:$AA$45,0,MATCH(C424,Lists!$H$4:$AA$4,0)),D424)=0,"Check sub-category","OK"))))</f>
        <v/>
      </c>
      <c r="P424">
        <f>IF(ISNUMBER(I424),I424+ROW()/10000000,"")</f>
        <v/>
      </c>
      <c r="Q424">
        <f>IF(AND(ISNUMBER(P424),ISNUMBER(A424)),IF(AND(A424&gt;=Dashboard!$Q$3,A424&lt;=Dashboard!$Q$4,OR(J424&lt;&gt;"Yes",Dashboard!$Q$15="Yes")),P424,""),"")</f>
        <v/>
      </c>
    </row>
    <row r="425">
      <c r="A425" s="47" t="n"/>
      <c r="B425" s="48" t="n"/>
      <c r="C425" s="48" t="n"/>
      <c r="D425" s="48" t="n"/>
      <c r="E425" s="48" t="n"/>
      <c r="F425" s="48" t="n"/>
      <c r="G425" s="48" t="n"/>
      <c r="H425" s="48" t="n"/>
      <c r="I425" s="49" t="n"/>
      <c r="J425" s="50" t="n"/>
      <c r="K425" s="48" t="n"/>
      <c r="L425" s="51">
        <f>IF(A425="","",DATE(YEAR(A425),MONTH(A425),1))</f>
        <v/>
      </c>
      <c r="M425" s="52">
        <f>IF(OR(A425="",NOT(ISNUMBER(I425))),"",IF(G425=Lists!$B$5,I425/2,IF(G425=Lists!$B$6,I425,0)))</f>
        <v/>
      </c>
      <c r="N425" s="52">
        <f>IF(OR(A425="",NOT(ISNUMBER(I425))),"",IF(G425=Lists!$B$5,I425/2,IF(G425=Lists!$B$7,I425,0)))</f>
        <v/>
      </c>
      <c r="O425" s="53">
        <f>IF(COUNTA(A425:K425)=0,"",IF(OR(A425="",B425="",C425="",D425="",E425="",F425="",G425="",NOT(ISNUMBER(I425))),"Incomplete",IF(COUNTIF(Lists!$H$4:$AA$4,C425)=0,"Check category",IF(COUNTIF(INDEX(Lists!$H$6:$AA$45,0,MATCH(C425,Lists!$H$4:$AA$4,0)),D425)=0,"Check sub-category","OK"))))</f>
        <v/>
      </c>
      <c r="P425">
        <f>IF(ISNUMBER(I425),I425+ROW()/10000000,"")</f>
        <v/>
      </c>
      <c r="Q425">
        <f>IF(AND(ISNUMBER(P425),ISNUMBER(A425)),IF(AND(A425&gt;=Dashboard!$Q$3,A425&lt;=Dashboard!$Q$4,OR(J425&lt;&gt;"Yes",Dashboard!$Q$15="Yes")),P425,""),"")</f>
        <v/>
      </c>
    </row>
    <row r="426">
      <c r="A426" s="47" t="n"/>
      <c r="B426" s="48" t="n"/>
      <c r="C426" s="48" t="n"/>
      <c r="D426" s="48" t="n"/>
      <c r="E426" s="48" t="n"/>
      <c r="F426" s="48" t="n"/>
      <c r="G426" s="48" t="n"/>
      <c r="H426" s="48" t="n"/>
      <c r="I426" s="49" t="n"/>
      <c r="J426" s="50" t="n"/>
      <c r="K426" s="48" t="n"/>
      <c r="L426" s="51">
        <f>IF(A426="","",DATE(YEAR(A426),MONTH(A426),1))</f>
        <v/>
      </c>
      <c r="M426" s="52">
        <f>IF(OR(A426="",NOT(ISNUMBER(I426))),"",IF(G426=Lists!$B$5,I426/2,IF(G426=Lists!$B$6,I426,0)))</f>
        <v/>
      </c>
      <c r="N426" s="52">
        <f>IF(OR(A426="",NOT(ISNUMBER(I426))),"",IF(G426=Lists!$B$5,I426/2,IF(G426=Lists!$B$7,I426,0)))</f>
        <v/>
      </c>
      <c r="O426" s="53">
        <f>IF(COUNTA(A426:K426)=0,"",IF(OR(A426="",B426="",C426="",D426="",E426="",F426="",G426="",NOT(ISNUMBER(I426))),"Incomplete",IF(COUNTIF(Lists!$H$4:$AA$4,C426)=0,"Check category",IF(COUNTIF(INDEX(Lists!$H$6:$AA$45,0,MATCH(C426,Lists!$H$4:$AA$4,0)),D426)=0,"Check sub-category","OK"))))</f>
        <v/>
      </c>
      <c r="P426">
        <f>IF(ISNUMBER(I426),I426+ROW()/10000000,"")</f>
        <v/>
      </c>
      <c r="Q426">
        <f>IF(AND(ISNUMBER(P426),ISNUMBER(A426)),IF(AND(A426&gt;=Dashboard!$Q$3,A426&lt;=Dashboard!$Q$4,OR(J426&lt;&gt;"Yes",Dashboard!$Q$15="Yes")),P426,""),"")</f>
        <v/>
      </c>
    </row>
    <row r="427">
      <c r="A427" s="47" t="n"/>
      <c r="B427" s="48" t="n"/>
      <c r="C427" s="48" t="n"/>
      <c r="D427" s="48" t="n"/>
      <c r="E427" s="48" t="n"/>
      <c r="F427" s="48" t="n"/>
      <c r="G427" s="48" t="n"/>
      <c r="H427" s="48" t="n"/>
      <c r="I427" s="49" t="n"/>
      <c r="J427" s="50" t="n"/>
      <c r="K427" s="48" t="n"/>
      <c r="L427" s="51">
        <f>IF(A427="","",DATE(YEAR(A427),MONTH(A427),1))</f>
        <v/>
      </c>
      <c r="M427" s="52">
        <f>IF(OR(A427="",NOT(ISNUMBER(I427))),"",IF(G427=Lists!$B$5,I427/2,IF(G427=Lists!$B$6,I427,0)))</f>
        <v/>
      </c>
      <c r="N427" s="52">
        <f>IF(OR(A427="",NOT(ISNUMBER(I427))),"",IF(G427=Lists!$B$5,I427/2,IF(G427=Lists!$B$7,I427,0)))</f>
        <v/>
      </c>
      <c r="O427" s="53">
        <f>IF(COUNTA(A427:K427)=0,"",IF(OR(A427="",B427="",C427="",D427="",E427="",F427="",G427="",NOT(ISNUMBER(I427))),"Incomplete",IF(COUNTIF(Lists!$H$4:$AA$4,C427)=0,"Check category",IF(COUNTIF(INDEX(Lists!$H$6:$AA$45,0,MATCH(C427,Lists!$H$4:$AA$4,0)),D427)=0,"Check sub-category","OK"))))</f>
        <v/>
      </c>
      <c r="P427">
        <f>IF(ISNUMBER(I427),I427+ROW()/10000000,"")</f>
        <v/>
      </c>
      <c r="Q427">
        <f>IF(AND(ISNUMBER(P427),ISNUMBER(A427)),IF(AND(A427&gt;=Dashboard!$Q$3,A427&lt;=Dashboard!$Q$4,OR(J427&lt;&gt;"Yes",Dashboard!$Q$15="Yes")),P427,""),"")</f>
        <v/>
      </c>
    </row>
    <row r="428">
      <c r="A428" s="47" t="n"/>
      <c r="B428" s="48" t="n"/>
      <c r="C428" s="48" t="n"/>
      <c r="D428" s="48" t="n"/>
      <c r="E428" s="48" t="n"/>
      <c r="F428" s="48" t="n"/>
      <c r="G428" s="48" t="n"/>
      <c r="H428" s="48" t="n"/>
      <c r="I428" s="49" t="n"/>
      <c r="J428" s="50" t="n"/>
      <c r="K428" s="48" t="n"/>
      <c r="L428" s="51">
        <f>IF(A428="","",DATE(YEAR(A428),MONTH(A428),1))</f>
        <v/>
      </c>
      <c r="M428" s="52">
        <f>IF(OR(A428="",NOT(ISNUMBER(I428))),"",IF(G428=Lists!$B$5,I428/2,IF(G428=Lists!$B$6,I428,0)))</f>
        <v/>
      </c>
      <c r="N428" s="52">
        <f>IF(OR(A428="",NOT(ISNUMBER(I428))),"",IF(G428=Lists!$B$5,I428/2,IF(G428=Lists!$B$7,I428,0)))</f>
        <v/>
      </c>
      <c r="O428" s="53">
        <f>IF(COUNTA(A428:K428)=0,"",IF(OR(A428="",B428="",C428="",D428="",E428="",F428="",G428="",NOT(ISNUMBER(I428))),"Incomplete",IF(COUNTIF(Lists!$H$4:$AA$4,C428)=0,"Check category",IF(COUNTIF(INDEX(Lists!$H$6:$AA$45,0,MATCH(C428,Lists!$H$4:$AA$4,0)),D428)=0,"Check sub-category","OK"))))</f>
        <v/>
      </c>
      <c r="P428">
        <f>IF(ISNUMBER(I428),I428+ROW()/10000000,"")</f>
        <v/>
      </c>
      <c r="Q428">
        <f>IF(AND(ISNUMBER(P428),ISNUMBER(A428)),IF(AND(A428&gt;=Dashboard!$Q$3,A428&lt;=Dashboard!$Q$4,OR(J428&lt;&gt;"Yes",Dashboard!$Q$15="Yes")),P428,""),"")</f>
        <v/>
      </c>
    </row>
    <row r="429">
      <c r="A429" s="47" t="n"/>
      <c r="B429" s="48" t="n"/>
      <c r="C429" s="48" t="n"/>
      <c r="D429" s="48" t="n"/>
      <c r="E429" s="48" t="n"/>
      <c r="F429" s="48" t="n"/>
      <c r="G429" s="48" t="n"/>
      <c r="H429" s="48" t="n"/>
      <c r="I429" s="49" t="n"/>
      <c r="J429" s="50" t="n"/>
      <c r="K429" s="48" t="n"/>
      <c r="L429" s="51">
        <f>IF(A429="","",DATE(YEAR(A429),MONTH(A429),1))</f>
        <v/>
      </c>
      <c r="M429" s="52">
        <f>IF(OR(A429="",NOT(ISNUMBER(I429))),"",IF(G429=Lists!$B$5,I429/2,IF(G429=Lists!$B$6,I429,0)))</f>
        <v/>
      </c>
      <c r="N429" s="52">
        <f>IF(OR(A429="",NOT(ISNUMBER(I429))),"",IF(G429=Lists!$B$5,I429/2,IF(G429=Lists!$B$7,I429,0)))</f>
        <v/>
      </c>
      <c r="O429" s="53">
        <f>IF(COUNTA(A429:K429)=0,"",IF(OR(A429="",B429="",C429="",D429="",E429="",F429="",G429="",NOT(ISNUMBER(I429))),"Incomplete",IF(COUNTIF(Lists!$H$4:$AA$4,C429)=0,"Check category",IF(COUNTIF(INDEX(Lists!$H$6:$AA$45,0,MATCH(C429,Lists!$H$4:$AA$4,0)),D429)=0,"Check sub-category","OK"))))</f>
        <v/>
      </c>
      <c r="P429">
        <f>IF(ISNUMBER(I429),I429+ROW()/10000000,"")</f>
        <v/>
      </c>
      <c r="Q429">
        <f>IF(AND(ISNUMBER(P429),ISNUMBER(A429)),IF(AND(A429&gt;=Dashboard!$Q$3,A429&lt;=Dashboard!$Q$4,OR(J429&lt;&gt;"Yes",Dashboard!$Q$15="Yes")),P429,""),"")</f>
        <v/>
      </c>
    </row>
    <row r="430">
      <c r="A430" s="47" t="n"/>
      <c r="B430" s="48" t="n"/>
      <c r="C430" s="48" t="n"/>
      <c r="D430" s="48" t="n"/>
      <c r="E430" s="48" t="n"/>
      <c r="F430" s="48" t="n"/>
      <c r="G430" s="48" t="n"/>
      <c r="H430" s="48" t="n"/>
      <c r="I430" s="49" t="n"/>
      <c r="J430" s="50" t="n"/>
      <c r="K430" s="48" t="n"/>
      <c r="L430" s="51">
        <f>IF(A430="","",DATE(YEAR(A430),MONTH(A430),1))</f>
        <v/>
      </c>
      <c r="M430" s="52">
        <f>IF(OR(A430="",NOT(ISNUMBER(I430))),"",IF(G430=Lists!$B$5,I430/2,IF(G430=Lists!$B$6,I430,0)))</f>
        <v/>
      </c>
      <c r="N430" s="52">
        <f>IF(OR(A430="",NOT(ISNUMBER(I430))),"",IF(G430=Lists!$B$5,I430/2,IF(G430=Lists!$B$7,I430,0)))</f>
        <v/>
      </c>
      <c r="O430" s="53">
        <f>IF(COUNTA(A430:K430)=0,"",IF(OR(A430="",B430="",C430="",D430="",E430="",F430="",G430="",NOT(ISNUMBER(I430))),"Incomplete",IF(COUNTIF(Lists!$H$4:$AA$4,C430)=0,"Check category",IF(COUNTIF(INDEX(Lists!$H$6:$AA$45,0,MATCH(C430,Lists!$H$4:$AA$4,0)),D430)=0,"Check sub-category","OK"))))</f>
        <v/>
      </c>
      <c r="P430">
        <f>IF(ISNUMBER(I430),I430+ROW()/10000000,"")</f>
        <v/>
      </c>
      <c r="Q430">
        <f>IF(AND(ISNUMBER(P430),ISNUMBER(A430)),IF(AND(A430&gt;=Dashboard!$Q$3,A430&lt;=Dashboard!$Q$4,OR(J430&lt;&gt;"Yes",Dashboard!$Q$15="Yes")),P430,""),"")</f>
        <v/>
      </c>
    </row>
    <row r="431">
      <c r="A431" s="47" t="n"/>
      <c r="B431" s="48" t="n"/>
      <c r="C431" s="48" t="n"/>
      <c r="D431" s="48" t="n"/>
      <c r="E431" s="48" t="n"/>
      <c r="F431" s="48" t="n"/>
      <c r="G431" s="48" t="n"/>
      <c r="H431" s="48" t="n"/>
      <c r="I431" s="49" t="n"/>
      <c r="J431" s="50" t="n"/>
      <c r="K431" s="48" t="n"/>
      <c r="L431" s="51">
        <f>IF(A431="","",DATE(YEAR(A431),MONTH(A431),1))</f>
        <v/>
      </c>
      <c r="M431" s="52">
        <f>IF(OR(A431="",NOT(ISNUMBER(I431))),"",IF(G431=Lists!$B$5,I431/2,IF(G431=Lists!$B$6,I431,0)))</f>
        <v/>
      </c>
      <c r="N431" s="52">
        <f>IF(OR(A431="",NOT(ISNUMBER(I431))),"",IF(G431=Lists!$B$5,I431/2,IF(G431=Lists!$B$7,I431,0)))</f>
        <v/>
      </c>
      <c r="O431" s="53">
        <f>IF(COUNTA(A431:K431)=0,"",IF(OR(A431="",B431="",C431="",D431="",E431="",F431="",G431="",NOT(ISNUMBER(I431))),"Incomplete",IF(COUNTIF(Lists!$H$4:$AA$4,C431)=0,"Check category",IF(COUNTIF(INDEX(Lists!$H$6:$AA$45,0,MATCH(C431,Lists!$H$4:$AA$4,0)),D431)=0,"Check sub-category","OK"))))</f>
        <v/>
      </c>
      <c r="P431">
        <f>IF(ISNUMBER(I431),I431+ROW()/10000000,"")</f>
        <v/>
      </c>
      <c r="Q431">
        <f>IF(AND(ISNUMBER(P431),ISNUMBER(A431)),IF(AND(A431&gt;=Dashboard!$Q$3,A431&lt;=Dashboard!$Q$4,OR(J431&lt;&gt;"Yes",Dashboard!$Q$15="Yes")),P431,""),"")</f>
        <v/>
      </c>
    </row>
    <row r="432">
      <c r="A432" s="47" t="n"/>
      <c r="B432" s="48" t="n"/>
      <c r="C432" s="48" t="n"/>
      <c r="D432" s="48" t="n"/>
      <c r="E432" s="48" t="n"/>
      <c r="F432" s="48" t="n"/>
      <c r="G432" s="48" t="n"/>
      <c r="H432" s="48" t="n"/>
      <c r="I432" s="49" t="n"/>
      <c r="J432" s="50" t="n"/>
      <c r="K432" s="48" t="n"/>
      <c r="L432" s="51">
        <f>IF(A432="","",DATE(YEAR(A432),MONTH(A432),1))</f>
        <v/>
      </c>
      <c r="M432" s="52">
        <f>IF(OR(A432="",NOT(ISNUMBER(I432))),"",IF(G432=Lists!$B$5,I432/2,IF(G432=Lists!$B$6,I432,0)))</f>
        <v/>
      </c>
      <c r="N432" s="52">
        <f>IF(OR(A432="",NOT(ISNUMBER(I432))),"",IF(G432=Lists!$B$5,I432/2,IF(G432=Lists!$B$7,I432,0)))</f>
        <v/>
      </c>
      <c r="O432" s="53">
        <f>IF(COUNTA(A432:K432)=0,"",IF(OR(A432="",B432="",C432="",D432="",E432="",F432="",G432="",NOT(ISNUMBER(I432))),"Incomplete",IF(COUNTIF(Lists!$H$4:$AA$4,C432)=0,"Check category",IF(COUNTIF(INDEX(Lists!$H$6:$AA$45,0,MATCH(C432,Lists!$H$4:$AA$4,0)),D432)=0,"Check sub-category","OK"))))</f>
        <v/>
      </c>
      <c r="P432">
        <f>IF(ISNUMBER(I432),I432+ROW()/10000000,"")</f>
        <v/>
      </c>
      <c r="Q432">
        <f>IF(AND(ISNUMBER(P432),ISNUMBER(A432)),IF(AND(A432&gt;=Dashboard!$Q$3,A432&lt;=Dashboard!$Q$4,OR(J432&lt;&gt;"Yes",Dashboard!$Q$15="Yes")),P432,""),"")</f>
        <v/>
      </c>
    </row>
    <row r="433">
      <c r="A433" s="47" t="n"/>
      <c r="B433" s="48" t="n"/>
      <c r="C433" s="48" t="n"/>
      <c r="D433" s="48" t="n"/>
      <c r="E433" s="48" t="n"/>
      <c r="F433" s="48" t="n"/>
      <c r="G433" s="48" t="n"/>
      <c r="H433" s="48" t="n"/>
      <c r="I433" s="49" t="n"/>
      <c r="J433" s="50" t="n"/>
      <c r="K433" s="48" t="n"/>
      <c r="L433" s="51">
        <f>IF(A433="","",DATE(YEAR(A433),MONTH(A433),1))</f>
        <v/>
      </c>
      <c r="M433" s="52">
        <f>IF(OR(A433="",NOT(ISNUMBER(I433))),"",IF(G433=Lists!$B$5,I433/2,IF(G433=Lists!$B$6,I433,0)))</f>
        <v/>
      </c>
      <c r="N433" s="52">
        <f>IF(OR(A433="",NOT(ISNUMBER(I433))),"",IF(G433=Lists!$B$5,I433/2,IF(G433=Lists!$B$7,I433,0)))</f>
        <v/>
      </c>
      <c r="O433" s="53">
        <f>IF(COUNTA(A433:K433)=0,"",IF(OR(A433="",B433="",C433="",D433="",E433="",F433="",G433="",NOT(ISNUMBER(I433))),"Incomplete",IF(COUNTIF(Lists!$H$4:$AA$4,C433)=0,"Check category",IF(COUNTIF(INDEX(Lists!$H$6:$AA$45,0,MATCH(C433,Lists!$H$4:$AA$4,0)),D433)=0,"Check sub-category","OK"))))</f>
        <v/>
      </c>
      <c r="P433">
        <f>IF(ISNUMBER(I433),I433+ROW()/10000000,"")</f>
        <v/>
      </c>
      <c r="Q433">
        <f>IF(AND(ISNUMBER(P433),ISNUMBER(A433)),IF(AND(A433&gt;=Dashboard!$Q$3,A433&lt;=Dashboard!$Q$4,OR(J433&lt;&gt;"Yes",Dashboard!$Q$15="Yes")),P433,""),"")</f>
        <v/>
      </c>
    </row>
    <row r="434">
      <c r="A434" s="47" t="n"/>
      <c r="B434" s="48" t="n"/>
      <c r="C434" s="48" t="n"/>
      <c r="D434" s="48" t="n"/>
      <c r="E434" s="48" t="n"/>
      <c r="F434" s="48" t="n"/>
      <c r="G434" s="48" t="n"/>
      <c r="H434" s="48" t="n"/>
      <c r="I434" s="49" t="n"/>
      <c r="J434" s="50" t="n"/>
      <c r="K434" s="48" t="n"/>
      <c r="L434" s="51">
        <f>IF(A434="","",DATE(YEAR(A434),MONTH(A434),1))</f>
        <v/>
      </c>
      <c r="M434" s="52">
        <f>IF(OR(A434="",NOT(ISNUMBER(I434))),"",IF(G434=Lists!$B$5,I434/2,IF(G434=Lists!$B$6,I434,0)))</f>
        <v/>
      </c>
      <c r="N434" s="52">
        <f>IF(OR(A434="",NOT(ISNUMBER(I434))),"",IF(G434=Lists!$B$5,I434/2,IF(G434=Lists!$B$7,I434,0)))</f>
        <v/>
      </c>
      <c r="O434" s="53">
        <f>IF(COUNTA(A434:K434)=0,"",IF(OR(A434="",B434="",C434="",D434="",E434="",F434="",G434="",NOT(ISNUMBER(I434))),"Incomplete",IF(COUNTIF(Lists!$H$4:$AA$4,C434)=0,"Check category",IF(COUNTIF(INDEX(Lists!$H$6:$AA$45,0,MATCH(C434,Lists!$H$4:$AA$4,0)),D434)=0,"Check sub-category","OK"))))</f>
        <v/>
      </c>
      <c r="P434">
        <f>IF(ISNUMBER(I434),I434+ROW()/10000000,"")</f>
        <v/>
      </c>
      <c r="Q434">
        <f>IF(AND(ISNUMBER(P434),ISNUMBER(A434)),IF(AND(A434&gt;=Dashboard!$Q$3,A434&lt;=Dashboard!$Q$4,OR(J434&lt;&gt;"Yes",Dashboard!$Q$15="Yes")),P434,""),"")</f>
        <v/>
      </c>
    </row>
    <row r="435">
      <c r="A435" s="47" t="n"/>
      <c r="B435" s="48" t="n"/>
      <c r="C435" s="48" t="n"/>
      <c r="D435" s="48" t="n"/>
      <c r="E435" s="48" t="n"/>
      <c r="F435" s="48" t="n"/>
      <c r="G435" s="48" t="n"/>
      <c r="H435" s="48" t="n"/>
      <c r="I435" s="49" t="n"/>
      <c r="J435" s="50" t="n"/>
      <c r="K435" s="48" t="n"/>
      <c r="L435" s="51">
        <f>IF(A435="","",DATE(YEAR(A435),MONTH(A435),1))</f>
        <v/>
      </c>
      <c r="M435" s="52">
        <f>IF(OR(A435="",NOT(ISNUMBER(I435))),"",IF(G435=Lists!$B$5,I435/2,IF(G435=Lists!$B$6,I435,0)))</f>
        <v/>
      </c>
      <c r="N435" s="52">
        <f>IF(OR(A435="",NOT(ISNUMBER(I435))),"",IF(G435=Lists!$B$5,I435/2,IF(G435=Lists!$B$7,I435,0)))</f>
        <v/>
      </c>
      <c r="O435" s="53">
        <f>IF(COUNTA(A435:K435)=0,"",IF(OR(A435="",B435="",C435="",D435="",E435="",F435="",G435="",NOT(ISNUMBER(I435))),"Incomplete",IF(COUNTIF(Lists!$H$4:$AA$4,C435)=0,"Check category",IF(COUNTIF(INDEX(Lists!$H$6:$AA$45,0,MATCH(C435,Lists!$H$4:$AA$4,0)),D435)=0,"Check sub-category","OK"))))</f>
        <v/>
      </c>
      <c r="P435">
        <f>IF(ISNUMBER(I435),I435+ROW()/10000000,"")</f>
        <v/>
      </c>
      <c r="Q435">
        <f>IF(AND(ISNUMBER(P435),ISNUMBER(A435)),IF(AND(A435&gt;=Dashboard!$Q$3,A435&lt;=Dashboard!$Q$4,OR(J435&lt;&gt;"Yes",Dashboard!$Q$15="Yes")),P435,""),"")</f>
        <v/>
      </c>
    </row>
    <row r="436">
      <c r="A436" s="47" t="n"/>
      <c r="B436" s="48" t="n"/>
      <c r="C436" s="48" t="n"/>
      <c r="D436" s="48" t="n"/>
      <c r="E436" s="48" t="n"/>
      <c r="F436" s="48" t="n"/>
      <c r="G436" s="48" t="n"/>
      <c r="H436" s="48" t="n"/>
      <c r="I436" s="49" t="n"/>
      <c r="J436" s="50" t="n"/>
      <c r="K436" s="48" t="n"/>
      <c r="L436" s="51">
        <f>IF(A436="","",DATE(YEAR(A436),MONTH(A436),1))</f>
        <v/>
      </c>
      <c r="M436" s="52">
        <f>IF(OR(A436="",NOT(ISNUMBER(I436))),"",IF(G436=Lists!$B$5,I436/2,IF(G436=Lists!$B$6,I436,0)))</f>
        <v/>
      </c>
      <c r="N436" s="52">
        <f>IF(OR(A436="",NOT(ISNUMBER(I436))),"",IF(G436=Lists!$B$5,I436/2,IF(G436=Lists!$B$7,I436,0)))</f>
        <v/>
      </c>
      <c r="O436" s="53">
        <f>IF(COUNTA(A436:K436)=0,"",IF(OR(A436="",B436="",C436="",D436="",E436="",F436="",G436="",NOT(ISNUMBER(I436))),"Incomplete",IF(COUNTIF(Lists!$H$4:$AA$4,C436)=0,"Check category",IF(COUNTIF(INDEX(Lists!$H$6:$AA$45,0,MATCH(C436,Lists!$H$4:$AA$4,0)),D436)=0,"Check sub-category","OK"))))</f>
        <v/>
      </c>
      <c r="P436">
        <f>IF(ISNUMBER(I436),I436+ROW()/10000000,"")</f>
        <v/>
      </c>
      <c r="Q436">
        <f>IF(AND(ISNUMBER(P436),ISNUMBER(A436)),IF(AND(A436&gt;=Dashboard!$Q$3,A436&lt;=Dashboard!$Q$4,OR(J436&lt;&gt;"Yes",Dashboard!$Q$15="Yes")),P436,""),"")</f>
        <v/>
      </c>
    </row>
    <row r="437">
      <c r="A437" s="47" t="n"/>
      <c r="B437" s="48" t="n"/>
      <c r="C437" s="48" t="n"/>
      <c r="D437" s="48" t="n"/>
      <c r="E437" s="48" t="n"/>
      <c r="F437" s="48" t="n"/>
      <c r="G437" s="48" t="n"/>
      <c r="H437" s="48" t="n"/>
      <c r="I437" s="49" t="n"/>
      <c r="J437" s="50" t="n"/>
      <c r="K437" s="48" t="n"/>
      <c r="L437" s="51">
        <f>IF(A437="","",DATE(YEAR(A437),MONTH(A437),1))</f>
        <v/>
      </c>
      <c r="M437" s="52">
        <f>IF(OR(A437="",NOT(ISNUMBER(I437))),"",IF(G437=Lists!$B$5,I437/2,IF(G437=Lists!$B$6,I437,0)))</f>
        <v/>
      </c>
      <c r="N437" s="52">
        <f>IF(OR(A437="",NOT(ISNUMBER(I437))),"",IF(G437=Lists!$B$5,I437/2,IF(G437=Lists!$B$7,I437,0)))</f>
        <v/>
      </c>
      <c r="O437" s="53">
        <f>IF(COUNTA(A437:K437)=0,"",IF(OR(A437="",B437="",C437="",D437="",E437="",F437="",G437="",NOT(ISNUMBER(I437))),"Incomplete",IF(COUNTIF(Lists!$H$4:$AA$4,C437)=0,"Check category",IF(COUNTIF(INDEX(Lists!$H$6:$AA$45,0,MATCH(C437,Lists!$H$4:$AA$4,0)),D437)=0,"Check sub-category","OK"))))</f>
        <v/>
      </c>
      <c r="P437">
        <f>IF(ISNUMBER(I437),I437+ROW()/10000000,"")</f>
        <v/>
      </c>
      <c r="Q437">
        <f>IF(AND(ISNUMBER(P437),ISNUMBER(A437)),IF(AND(A437&gt;=Dashboard!$Q$3,A437&lt;=Dashboard!$Q$4,OR(J437&lt;&gt;"Yes",Dashboard!$Q$15="Yes")),P437,""),"")</f>
        <v/>
      </c>
    </row>
    <row r="438">
      <c r="A438" s="47" t="n"/>
      <c r="B438" s="48" t="n"/>
      <c r="C438" s="48" t="n"/>
      <c r="D438" s="48" t="n"/>
      <c r="E438" s="48" t="n"/>
      <c r="F438" s="48" t="n"/>
      <c r="G438" s="48" t="n"/>
      <c r="H438" s="48" t="n"/>
      <c r="I438" s="49" t="n"/>
      <c r="J438" s="50" t="n"/>
      <c r="K438" s="48" t="n"/>
      <c r="L438" s="51">
        <f>IF(A438="","",DATE(YEAR(A438),MONTH(A438),1))</f>
        <v/>
      </c>
      <c r="M438" s="52">
        <f>IF(OR(A438="",NOT(ISNUMBER(I438))),"",IF(G438=Lists!$B$5,I438/2,IF(G438=Lists!$B$6,I438,0)))</f>
        <v/>
      </c>
      <c r="N438" s="52">
        <f>IF(OR(A438="",NOT(ISNUMBER(I438))),"",IF(G438=Lists!$B$5,I438/2,IF(G438=Lists!$B$7,I438,0)))</f>
        <v/>
      </c>
      <c r="O438" s="53">
        <f>IF(COUNTA(A438:K438)=0,"",IF(OR(A438="",B438="",C438="",D438="",E438="",F438="",G438="",NOT(ISNUMBER(I438))),"Incomplete",IF(COUNTIF(Lists!$H$4:$AA$4,C438)=0,"Check category",IF(COUNTIF(INDEX(Lists!$H$6:$AA$45,0,MATCH(C438,Lists!$H$4:$AA$4,0)),D438)=0,"Check sub-category","OK"))))</f>
        <v/>
      </c>
      <c r="P438">
        <f>IF(ISNUMBER(I438),I438+ROW()/10000000,"")</f>
        <v/>
      </c>
      <c r="Q438">
        <f>IF(AND(ISNUMBER(P438),ISNUMBER(A438)),IF(AND(A438&gt;=Dashboard!$Q$3,A438&lt;=Dashboard!$Q$4,OR(J438&lt;&gt;"Yes",Dashboard!$Q$15="Yes")),P438,""),"")</f>
        <v/>
      </c>
    </row>
    <row r="439">
      <c r="A439" s="47" t="n"/>
      <c r="B439" s="48" t="n"/>
      <c r="C439" s="48" t="n"/>
      <c r="D439" s="48" t="n"/>
      <c r="E439" s="48" t="n"/>
      <c r="F439" s="48" t="n"/>
      <c r="G439" s="48" t="n"/>
      <c r="H439" s="48" t="n"/>
      <c r="I439" s="49" t="n"/>
      <c r="J439" s="50" t="n"/>
      <c r="K439" s="48" t="n"/>
      <c r="L439" s="51">
        <f>IF(A439="","",DATE(YEAR(A439),MONTH(A439),1))</f>
        <v/>
      </c>
      <c r="M439" s="52">
        <f>IF(OR(A439="",NOT(ISNUMBER(I439))),"",IF(G439=Lists!$B$5,I439/2,IF(G439=Lists!$B$6,I439,0)))</f>
        <v/>
      </c>
      <c r="N439" s="52">
        <f>IF(OR(A439="",NOT(ISNUMBER(I439))),"",IF(G439=Lists!$B$5,I439/2,IF(G439=Lists!$B$7,I439,0)))</f>
        <v/>
      </c>
      <c r="O439" s="53">
        <f>IF(COUNTA(A439:K439)=0,"",IF(OR(A439="",B439="",C439="",D439="",E439="",F439="",G439="",NOT(ISNUMBER(I439))),"Incomplete",IF(COUNTIF(Lists!$H$4:$AA$4,C439)=0,"Check category",IF(COUNTIF(INDEX(Lists!$H$6:$AA$45,0,MATCH(C439,Lists!$H$4:$AA$4,0)),D439)=0,"Check sub-category","OK"))))</f>
        <v/>
      </c>
      <c r="P439">
        <f>IF(ISNUMBER(I439),I439+ROW()/10000000,"")</f>
        <v/>
      </c>
      <c r="Q439">
        <f>IF(AND(ISNUMBER(P439),ISNUMBER(A439)),IF(AND(A439&gt;=Dashboard!$Q$3,A439&lt;=Dashboard!$Q$4,OR(J439&lt;&gt;"Yes",Dashboard!$Q$15="Yes")),P439,""),"")</f>
        <v/>
      </c>
    </row>
    <row r="440">
      <c r="A440" s="47" t="n"/>
      <c r="B440" s="48" t="n"/>
      <c r="C440" s="48" t="n"/>
      <c r="D440" s="48" t="n"/>
      <c r="E440" s="48" t="n"/>
      <c r="F440" s="48" t="n"/>
      <c r="G440" s="48" t="n"/>
      <c r="H440" s="48" t="n"/>
      <c r="I440" s="49" t="n"/>
      <c r="J440" s="50" t="n"/>
      <c r="K440" s="48" t="n"/>
      <c r="L440" s="51">
        <f>IF(A440="","",DATE(YEAR(A440),MONTH(A440),1))</f>
        <v/>
      </c>
      <c r="M440" s="52">
        <f>IF(OR(A440="",NOT(ISNUMBER(I440))),"",IF(G440=Lists!$B$5,I440/2,IF(G440=Lists!$B$6,I440,0)))</f>
        <v/>
      </c>
      <c r="N440" s="52">
        <f>IF(OR(A440="",NOT(ISNUMBER(I440))),"",IF(G440=Lists!$B$5,I440/2,IF(G440=Lists!$B$7,I440,0)))</f>
        <v/>
      </c>
      <c r="O440" s="53">
        <f>IF(COUNTA(A440:K440)=0,"",IF(OR(A440="",B440="",C440="",D440="",E440="",F440="",G440="",NOT(ISNUMBER(I440))),"Incomplete",IF(COUNTIF(Lists!$H$4:$AA$4,C440)=0,"Check category",IF(COUNTIF(INDEX(Lists!$H$6:$AA$45,0,MATCH(C440,Lists!$H$4:$AA$4,0)),D440)=0,"Check sub-category","OK"))))</f>
        <v/>
      </c>
      <c r="P440">
        <f>IF(ISNUMBER(I440),I440+ROW()/10000000,"")</f>
        <v/>
      </c>
      <c r="Q440">
        <f>IF(AND(ISNUMBER(P440),ISNUMBER(A440)),IF(AND(A440&gt;=Dashboard!$Q$3,A440&lt;=Dashboard!$Q$4,OR(J440&lt;&gt;"Yes",Dashboard!$Q$15="Yes")),P440,""),"")</f>
        <v/>
      </c>
    </row>
    <row r="441">
      <c r="A441" s="47" t="n"/>
      <c r="B441" s="48" t="n"/>
      <c r="C441" s="48" t="n"/>
      <c r="D441" s="48" t="n"/>
      <c r="E441" s="48" t="n"/>
      <c r="F441" s="48" t="n"/>
      <c r="G441" s="48" t="n"/>
      <c r="H441" s="48" t="n"/>
      <c r="I441" s="49" t="n"/>
      <c r="J441" s="50" t="n"/>
      <c r="K441" s="48" t="n"/>
      <c r="L441" s="51">
        <f>IF(A441="","",DATE(YEAR(A441),MONTH(A441),1))</f>
        <v/>
      </c>
      <c r="M441" s="52">
        <f>IF(OR(A441="",NOT(ISNUMBER(I441))),"",IF(G441=Lists!$B$5,I441/2,IF(G441=Lists!$B$6,I441,0)))</f>
        <v/>
      </c>
      <c r="N441" s="52">
        <f>IF(OR(A441="",NOT(ISNUMBER(I441))),"",IF(G441=Lists!$B$5,I441/2,IF(G441=Lists!$B$7,I441,0)))</f>
        <v/>
      </c>
      <c r="O441" s="53">
        <f>IF(COUNTA(A441:K441)=0,"",IF(OR(A441="",B441="",C441="",D441="",E441="",F441="",G441="",NOT(ISNUMBER(I441))),"Incomplete",IF(COUNTIF(Lists!$H$4:$AA$4,C441)=0,"Check category",IF(COUNTIF(INDEX(Lists!$H$6:$AA$45,0,MATCH(C441,Lists!$H$4:$AA$4,0)),D441)=0,"Check sub-category","OK"))))</f>
        <v/>
      </c>
      <c r="P441">
        <f>IF(ISNUMBER(I441),I441+ROW()/10000000,"")</f>
        <v/>
      </c>
      <c r="Q441">
        <f>IF(AND(ISNUMBER(P441),ISNUMBER(A441)),IF(AND(A441&gt;=Dashboard!$Q$3,A441&lt;=Dashboard!$Q$4,OR(J441&lt;&gt;"Yes",Dashboard!$Q$15="Yes")),P441,""),"")</f>
        <v/>
      </c>
    </row>
    <row r="442">
      <c r="A442" s="47" t="n"/>
      <c r="B442" s="48" t="n"/>
      <c r="C442" s="48" t="n"/>
      <c r="D442" s="48" t="n"/>
      <c r="E442" s="48" t="n"/>
      <c r="F442" s="48" t="n"/>
      <c r="G442" s="48" t="n"/>
      <c r="H442" s="48" t="n"/>
      <c r="I442" s="49" t="n"/>
      <c r="J442" s="50" t="n"/>
      <c r="K442" s="48" t="n"/>
      <c r="L442" s="51">
        <f>IF(A442="","",DATE(YEAR(A442),MONTH(A442),1))</f>
        <v/>
      </c>
      <c r="M442" s="52">
        <f>IF(OR(A442="",NOT(ISNUMBER(I442))),"",IF(G442=Lists!$B$5,I442/2,IF(G442=Lists!$B$6,I442,0)))</f>
        <v/>
      </c>
      <c r="N442" s="52">
        <f>IF(OR(A442="",NOT(ISNUMBER(I442))),"",IF(G442=Lists!$B$5,I442/2,IF(G442=Lists!$B$7,I442,0)))</f>
        <v/>
      </c>
      <c r="O442" s="53">
        <f>IF(COUNTA(A442:K442)=0,"",IF(OR(A442="",B442="",C442="",D442="",E442="",F442="",G442="",NOT(ISNUMBER(I442))),"Incomplete",IF(COUNTIF(Lists!$H$4:$AA$4,C442)=0,"Check category",IF(COUNTIF(INDEX(Lists!$H$6:$AA$45,0,MATCH(C442,Lists!$H$4:$AA$4,0)),D442)=0,"Check sub-category","OK"))))</f>
        <v/>
      </c>
      <c r="P442">
        <f>IF(ISNUMBER(I442),I442+ROW()/10000000,"")</f>
        <v/>
      </c>
      <c r="Q442">
        <f>IF(AND(ISNUMBER(P442),ISNUMBER(A442)),IF(AND(A442&gt;=Dashboard!$Q$3,A442&lt;=Dashboard!$Q$4,OR(J442&lt;&gt;"Yes",Dashboard!$Q$15="Yes")),P442,""),"")</f>
        <v/>
      </c>
    </row>
    <row r="443">
      <c r="A443" s="47" t="n"/>
      <c r="B443" s="48" t="n"/>
      <c r="C443" s="48" t="n"/>
      <c r="D443" s="48" t="n"/>
      <c r="E443" s="48" t="n"/>
      <c r="F443" s="48" t="n"/>
      <c r="G443" s="48" t="n"/>
      <c r="H443" s="48" t="n"/>
      <c r="I443" s="49" t="n"/>
      <c r="J443" s="50" t="n"/>
      <c r="K443" s="48" t="n"/>
      <c r="L443" s="51">
        <f>IF(A443="","",DATE(YEAR(A443),MONTH(A443),1))</f>
        <v/>
      </c>
      <c r="M443" s="52">
        <f>IF(OR(A443="",NOT(ISNUMBER(I443))),"",IF(G443=Lists!$B$5,I443/2,IF(G443=Lists!$B$6,I443,0)))</f>
        <v/>
      </c>
      <c r="N443" s="52">
        <f>IF(OR(A443="",NOT(ISNUMBER(I443))),"",IF(G443=Lists!$B$5,I443/2,IF(G443=Lists!$B$7,I443,0)))</f>
        <v/>
      </c>
      <c r="O443" s="53">
        <f>IF(COUNTA(A443:K443)=0,"",IF(OR(A443="",B443="",C443="",D443="",E443="",F443="",G443="",NOT(ISNUMBER(I443))),"Incomplete",IF(COUNTIF(Lists!$H$4:$AA$4,C443)=0,"Check category",IF(COUNTIF(INDEX(Lists!$H$6:$AA$45,0,MATCH(C443,Lists!$H$4:$AA$4,0)),D443)=0,"Check sub-category","OK"))))</f>
        <v/>
      </c>
      <c r="P443">
        <f>IF(ISNUMBER(I443),I443+ROW()/10000000,"")</f>
        <v/>
      </c>
      <c r="Q443">
        <f>IF(AND(ISNUMBER(P443),ISNUMBER(A443)),IF(AND(A443&gt;=Dashboard!$Q$3,A443&lt;=Dashboard!$Q$4,OR(J443&lt;&gt;"Yes",Dashboard!$Q$15="Yes")),P443,""),"")</f>
        <v/>
      </c>
    </row>
    <row r="444">
      <c r="A444" s="47" t="n"/>
      <c r="B444" s="48" t="n"/>
      <c r="C444" s="48" t="n"/>
      <c r="D444" s="48" t="n"/>
      <c r="E444" s="48" t="n"/>
      <c r="F444" s="48" t="n"/>
      <c r="G444" s="48" t="n"/>
      <c r="H444" s="48" t="n"/>
      <c r="I444" s="49" t="n"/>
      <c r="J444" s="50" t="n"/>
      <c r="K444" s="48" t="n"/>
      <c r="L444" s="51">
        <f>IF(A444="","",DATE(YEAR(A444),MONTH(A444),1))</f>
        <v/>
      </c>
      <c r="M444" s="52">
        <f>IF(OR(A444="",NOT(ISNUMBER(I444))),"",IF(G444=Lists!$B$5,I444/2,IF(G444=Lists!$B$6,I444,0)))</f>
        <v/>
      </c>
      <c r="N444" s="52">
        <f>IF(OR(A444="",NOT(ISNUMBER(I444))),"",IF(G444=Lists!$B$5,I444/2,IF(G444=Lists!$B$7,I444,0)))</f>
        <v/>
      </c>
      <c r="O444" s="53">
        <f>IF(COUNTA(A444:K444)=0,"",IF(OR(A444="",B444="",C444="",D444="",E444="",F444="",G444="",NOT(ISNUMBER(I444))),"Incomplete",IF(COUNTIF(Lists!$H$4:$AA$4,C444)=0,"Check category",IF(COUNTIF(INDEX(Lists!$H$6:$AA$45,0,MATCH(C444,Lists!$H$4:$AA$4,0)),D444)=0,"Check sub-category","OK"))))</f>
        <v/>
      </c>
      <c r="P444">
        <f>IF(ISNUMBER(I444),I444+ROW()/10000000,"")</f>
        <v/>
      </c>
      <c r="Q444">
        <f>IF(AND(ISNUMBER(P444),ISNUMBER(A444)),IF(AND(A444&gt;=Dashboard!$Q$3,A444&lt;=Dashboard!$Q$4,OR(J444&lt;&gt;"Yes",Dashboard!$Q$15="Yes")),P444,""),"")</f>
        <v/>
      </c>
    </row>
    <row r="445">
      <c r="A445" s="47" t="n"/>
      <c r="B445" s="48" t="n"/>
      <c r="C445" s="48" t="n"/>
      <c r="D445" s="48" t="n"/>
      <c r="E445" s="48" t="n"/>
      <c r="F445" s="48" t="n"/>
      <c r="G445" s="48" t="n"/>
      <c r="H445" s="48" t="n"/>
      <c r="I445" s="49" t="n"/>
      <c r="J445" s="50" t="n"/>
      <c r="K445" s="48" t="n"/>
      <c r="L445" s="51">
        <f>IF(A445="","",DATE(YEAR(A445),MONTH(A445),1))</f>
        <v/>
      </c>
      <c r="M445" s="52">
        <f>IF(OR(A445="",NOT(ISNUMBER(I445))),"",IF(G445=Lists!$B$5,I445/2,IF(G445=Lists!$B$6,I445,0)))</f>
        <v/>
      </c>
      <c r="N445" s="52">
        <f>IF(OR(A445="",NOT(ISNUMBER(I445))),"",IF(G445=Lists!$B$5,I445/2,IF(G445=Lists!$B$7,I445,0)))</f>
        <v/>
      </c>
      <c r="O445" s="53">
        <f>IF(COUNTA(A445:K445)=0,"",IF(OR(A445="",B445="",C445="",D445="",E445="",F445="",G445="",NOT(ISNUMBER(I445))),"Incomplete",IF(COUNTIF(Lists!$H$4:$AA$4,C445)=0,"Check category",IF(COUNTIF(INDEX(Lists!$H$6:$AA$45,0,MATCH(C445,Lists!$H$4:$AA$4,0)),D445)=0,"Check sub-category","OK"))))</f>
        <v/>
      </c>
      <c r="P445">
        <f>IF(ISNUMBER(I445),I445+ROW()/10000000,"")</f>
        <v/>
      </c>
      <c r="Q445">
        <f>IF(AND(ISNUMBER(P445),ISNUMBER(A445)),IF(AND(A445&gt;=Dashboard!$Q$3,A445&lt;=Dashboard!$Q$4,OR(J445&lt;&gt;"Yes",Dashboard!$Q$15="Yes")),P445,""),"")</f>
        <v/>
      </c>
    </row>
    <row r="446">
      <c r="A446" s="47" t="n"/>
      <c r="B446" s="48" t="n"/>
      <c r="C446" s="48" t="n"/>
      <c r="D446" s="48" t="n"/>
      <c r="E446" s="48" t="n"/>
      <c r="F446" s="48" t="n"/>
      <c r="G446" s="48" t="n"/>
      <c r="H446" s="48" t="n"/>
      <c r="I446" s="49" t="n"/>
      <c r="J446" s="50" t="n"/>
      <c r="K446" s="48" t="n"/>
      <c r="L446" s="51">
        <f>IF(A446="","",DATE(YEAR(A446),MONTH(A446),1))</f>
        <v/>
      </c>
      <c r="M446" s="52">
        <f>IF(OR(A446="",NOT(ISNUMBER(I446))),"",IF(G446=Lists!$B$5,I446/2,IF(G446=Lists!$B$6,I446,0)))</f>
        <v/>
      </c>
      <c r="N446" s="52">
        <f>IF(OR(A446="",NOT(ISNUMBER(I446))),"",IF(G446=Lists!$B$5,I446/2,IF(G446=Lists!$B$7,I446,0)))</f>
        <v/>
      </c>
      <c r="O446" s="53">
        <f>IF(COUNTA(A446:K446)=0,"",IF(OR(A446="",B446="",C446="",D446="",E446="",F446="",G446="",NOT(ISNUMBER(I446))),"Incomplete",IF(COUNTIF(Lists!$H$4:$AA$4,C446)=0,"Check category",IF(COUNTIF(INDEX(Lists!$H$6:$AA$45,0,MATCH(C446,Lists!$H$4:$AA$4,0)),D446)=0,"Check sub-category","OK"))))</f>
        <v/>
      </c>
      <c r="P446">
        <f>IF(ISNUMBER(I446),I446+ROW()/10000000,"")</f>
        <v/>
      </c>
      <c r="Q446">
        <f>IF(AND(ISNUMBER(P446),ISNUMBER(A446)),IF(AND(A446&gt;=Dashboard!$Q$3,A446&lt;=Dashboard!$Q$4,OR(J446&lt;&gt;"Yes",Dashboard!$Q$15="Yes")),P446,""),"")</f>
        <v/>
      </c>
    </row>
    <row r="447">
      <c r="A447" s="47" t="n"/>
      <c r="B447" s="48" t="n"/>
      <c r="C447" s="48" t="n"/>
      <c r="D447" s="48" t="n"/>
      <c r="E447" s="48" t="n"/>
      <c r="F447" s="48" t="n"/>
      <c r="G447" s="48" t="n"/>
      <c r="H447" s="48" t="n"/>
      <c r="I447" s="49" t="n"/>
      <c r="J447" s="50" t="n"/>
      <c r="K447" s="48" t="n"/>
      <c r="L447" s="51">
        <f>IF(A447="","",DATE(YEAR(A447),MONTH(A447),1))</f>
        <v/>
      </c>
      <c r="M447" s="52">
        <f>IF(OR(A447="",NOT(ISNUMBER(I447))),"",IF(G447=Lists!$B$5,I447/2,IF(G447=Lists!$B$6,I447,0)))</f>
        <v/>
      </c>
      <c r="N447" s="52">
        <f>IF(OR(A447="",NOT(ISNUMBER(I447))),"",IF(G447=Lists!$B$5,I447/2,IF(G447=Lists!$B$7,I447,0)))</f>
        <v/>
      </c>
      <c r="O447" s="53">
        <f>IF(COUNTA(A447:K447)=0,"",IF(OR(A447="",B447="",C447="",D447="",E447="",F447="",G447="",NOT(ISNUMBER(I447))),"Incomplete",IF(COUNTIF(Lists!$H$4:$AA$4,C447)=0,"Check category",IF(COUNTIF(INDEX(Lists!$H$6:$AA$45,0,MATCH(C447,Lists!$H$4:$AA$4,0)),D447)=0,"Check sub-category","OK"))))</f>
        <v/>
      </c>
      <c r="P447">
        <f>IF(ISNUMBER(I447),I447+ROW()/10000000,"")</f>
        <v/>
      </c>
      <c r="Q447">
        <f>IF(AND(ISNUMBER(P447),ISNUMBER(A447)),IF(AND(A447&gt;=Dashboard!$Q$3,A447&lt;=Dashboard!$Q$4,OR(J447&lt;&gt;"Yes",Dashboard!$Q$15="Yes")),P447,""),"")</f>
        <v/>
      </c>
    </row>
    <row r="448">
      <c r="A448" s="47" t="n"/>
      <c r="B448" s="48" t="n"/>
      <c r="C448" s="48" t="n"/>
      <c r="D448" s="48" t="n"/>
      <c r="E448" s="48" t="n"/>
      <c r="F448" s="48" t="n"/>
      <c r="G448" s="48" t="n"/>
      <c r="H448" s="48" t="n"/>
      <c r="I448" s="49" t="n"/>
      <c r="J448" s="50" t="n"/>
      <c r="K448" s="48" t="n"/>
      <c r="L448" s="51">
        <f>IF(A448="","",DATE(YEAR(A448),MONTH(A448),1))</f>
        <v/>
      </c>
      <c r="M448" s="52">
        <f>IF(OR(A448="",NOT(ISNUMBER(I448))),"",IF(G448=Lists!$B$5,I448/2,IF(G448=Lists!$B$6,I448,0)))</f>
        <v/>
      </c>
      <c r="N448" s="52">
        <f>IF(OR(A448="",NOT(ISNUMBER(I448))),"",IF(G448=Lists!$B$5,I448/2,IF(G448=Lists!$B$7,I448,0)))</f>
        <v/>
      </c>
      <c r="O448" s="53">
        <f>IF(COUNTA(A448:K448)=0,"",IF(OR(A448="",B448="",C448="",D448="",E448="",F448="",G448="",NOT(ISNUMBER(I448))),"Incomplete",IF(COUNTIF(Lists!$H$4:$AA$4,C448)=0,"Check category",IF(COUNTIF(INDEX(Lists!$H$6:$AA$45,0,MATCH(C448,Lists!$H$4:$AA$4,0)),D448)=0,"Check sub-category","OK"))))</f>
        <v/>
      </c>
      <c r="P448">
        <f>IF(ISNUMBER(I448),I448+ROW()/10000000,"")</f>
        <v/>
      </c>
      <c r="Q448">
        <f>IF(AND(ISNUMBER(P448),ISNUMBER(A448)),IF(AND(A448&gt;=Dashboard!$Q$3,A448&lt;=Dashboard!$Q$4,OR(J448&lt;&gt;"Yes",Dashboard!$Q$15="Yes")),P448,""),"")</f>
        <v/>
      </c>
    </row>
    <row r="449">
      <c r="A449" s="47" t="n"/>
      <c r="B449" s="48" t="n"/>
      <c r="C449" s="48" t="n"/>
      <c r="D449" s="48" t="n"/>
      <c r="E449" s="48" t="n"/>
      <c r="F449" s="48" t="n"/>
      <c r="G449" s="48" t="n"/>
      <c r="H449" s="48" t="n"/>
      <c r="I449" s="49" t="n"/>
      <c r="J449" s="50" t="n"/>
      <c r="K449" s="48" t="n"/>
      <c r="L449" s="51">
        <f>IF(A449="","",DATE(YEAR(A449),MONTH(A449),1))</f>
        <v/>
      </c>
      <c r="M449" s="52">
        <f>IF(OR(A449="",NOT(ISNUMBER(I449))),"",IF(G449=Lists!$B$5,I449/2,IF(G449=Lists!$B$6,I449,0)))</f>
        <v/>
      </c>
      <c r="N449" s="52">
        <f>IF(OR(A449="",NOT(ISNUMBER(I449))),"",IF(G449=Lists!$B$5,I449/2,IF(G449=Lists!$B$7,I449,0)))</f>
        <v/>
      </c>
      <c r="O449" s="53">
        <f>IF(COUNTA(A449:K449)=0,"",IF(OR(A449="",B449="",C449="",D449="",E449="",F449="",G449="",NOT(ISNUMBER(I449))),"Incomplete",IF(COUNTIF(Lists!$H$4:$AA$4,C449)=0,"Check category",IF(COUNTIF(INDEX(Lists!$H$6:$AA$45,0,MATCH(C449,Lists!$H$4:$AA$4,0)),D449)=0,"Check sub-category","OK"))))</f>
        <v/>
      </c>
      <c r="P449">
        <f>IF(ISNUMBER(I449),I449+ROW()/10000000,"")</f>
        <v/>
      </c>
      <c r="Q449">
        <f>IF(AND(ISNUMBER(P449),ISNUMBER(A449)),IF(AND(A449&gt;=Dashboard!$Q$3,A449&lt;=Dashboard!$Q$4,OR(J449&lt;&gt;"Yes",Dashboard!$Q$15="Yes")),P449,""),"")</f>
        <v/>
      </c>
    </row>
    <row r="450">
      <c r="A450" s="47" t="n"/>
      <c r="B450" s="48" t="n"/>
      <c r="C450" s="48" t="n"/>
      <c r="D450" s="48" t="n"/>
      <c r="E450" s="48" t="n"/>
      <c r="F450" s="48" t="n"/>
      <c r="G450" s="48" t="n"/>
      <c r="H450" s="48" t="n"/>
      <c r="I450" s="49" t="n"/>
      <c r="J450" s="50" t="n"/>
      <c r="K450" s="48" t="n"/>
      <c r="L450" s="51">
        <f>IF(A450="","",DATE(YEAR(A450),MONTH(A450),1))</f>
        <v/>
      </c>
      <c r="M450" s="52">
        <f>IF(OR(A450="",NOT(ISNUMBER(I450))),"",IF(G450=Lists!$B$5,I450/2,IF(G450=Lists!$B$6,I450,0)))</f>
        <v/>
      </c>
      <c r="N450" s="52">
        <f>IF(OR(A450="",NOT(ISNUMBER(I450))),"",IF(G450=Lists!$B$5,I450/2,IF(G450=Lists!$B$7,I450,0)))</f>
        <v/>
      </c>
      <c r="O450" s="53">
        <f>IF(COUNTA(A450:K450)=0,"",IF(OR(A450="",B450="",C450="",D450="",E450="",F450="",G450="",NOT(ISNUMBER(I450))),"Incomplete",IF(COUNTIF(Lists!$H$4:$AA$4,C450)=0,"Check category",IF(COUNTIF(INDEX(Lists!$H$6:$AA$45,0,MATCH(C450,Lists!$H$4:$AA$4,0)),D450)=0,"Check sub-category","OK"))))</f>
        <v/>
      </c>
      <c r="P450">
        <f>IF(ISNUMBER(I450),I450+ROW()/10000000,"")</f>
        <v/>
      </c>
      <c r="Q450">
        <f>IF(AND(ISNUMBER(P450),ISNUMBER(A450)),IF(AND(A450&gt;=Dashboard!$Q$3,A450&lt;=Dashboard!$Q$4,OR(J450&lt;&gt;"Yes",Dashboard!$Q$15="Yes")),P450,""),"")</f>
        <v/>
      </c>
    </row>
    <row r="451">
      <c r="A451" s="47" t="n"/>
      <c r="B451" s="48" t="n"/>
      <c r="C451" s="48" t="n"/>
      <c r="D451" s="48" t="n"/>
      <c r="E451" s="48" t="n"/>
      <c r="F451" s="48" t="n"/>
      <c r="G451" s="48" t="n"/>
      <c r="H451" s="48" t="n"/>
      <c r="I451" s="49" t="n"/>
      <c r="J451" s="50" t="n"/>
      <c r="K451" s="48" t="n"/>
      <c r="L451" s="51">
        <f>IF(A451="","",DATE(YEAR(A451),MONTH(A451),1))</f>
        <v/>
      </c>
      <c r="M451" s="52">
        <f>IF(OR(A451="",NOT(ISNUMBER(I451))),"",IF(G451=Lists!$B$5,I451/2,IF(G451=Lists!$B$6,I451,0)))</f>
        <v/>
      </c>
      <c r="N451" s="52">
        <f>IF(OR(A451="",NOT(ISNUMBER(I451))),"",IF(G451=Lists!$B$5,I451/2,IF(G451=Lists!$B$7,I451,0)))</f>
        <v/>
      </c>
      <c r="O451" s="53">
        <f>IF(COUNTA(A451:K451)=0,"",IF(OR(A451="",B451="",C451="",D451="",E451="",F451="",G451="",NOT(ISNUMBER(I451))),"Incomplete",IF(COUNTIF(Lists!$H$4:$AA$4,C451)=0,"Check category",IF(COUNTIF(INDEX(Lists!$H$6:$AA$45,0,MATCH(C451,Lists!$H$4:$AA$4,0)),D451)=0,"Check sub-category","OK"))))</f>
        <v/>
      </c>
      <c r="P451">
        <f>IF(ISNUMBER(I451),I451+ROW()/10000000,"")</f>
        <v/>
      </c>
      <c r="Q451">
        <f>IF(AND(ISNUMBER(P451),ISNUMBER(A451)),IF(AND(A451&gt;=Dashboard!$Q$3,A451&lt;=Dashboard!$Q$4,OR(J451&lt;&gt;"Yes",Dashboard!$Q$15="Yes")),P451,""),"")</f>
        <v/>
      </c>
    </row>
    <row r="452">
      <c r="A452" s="47" t="n"/>
      <c r="B452" s="48" t="n"/>
      <c r="C452" s="48" t="n"/>
      <c r="D452" s="48" t="n"/>
      <c r="E452" s="48" t="n"/>
      <c r="F452" s="48" t="n"/>
      <c r="G452" s="48" t="n"/>
      <c r="H452" s="48" t="n"/>
      <c r="I452" s="49" t="n"/>
      <c r="J452" s="50" t="n"/>
      <c r="K452" s="48" t="n"/>
      <c r="L452" s="51">
        <f>IF(A452="","",DATE(YEAR(A452),MONTH(A452),1))</f>
        <v/>
      </c>
      <c r="M452" s="52">
        <f>IF(OR(A452="",NOT(ISNUMBER(I452))),"",IF(G452=Lists!$B$5,I452/2,IF(G452=Lists!$B$6,I452,0)))</f>
        <v/>
      </c>
      <c r="N452" s="52">
        <f>IF(OR(A452="",NOT(ISNUMBER(I452))),"",IF(G452=Lists!$B$5,I452/2,IF(G452=Lists!$B$7,I452,0)))</f>
        <v/>
      </c>
      <c r="O452" s="53">
        <f>IF(COUNTA(A452:K452)=0,"",IF(OR(A452="",B452="",C452="",D452="",E452="",F452="",G452="",NOT(ISNUMBER(I452))),"Incomplete",IF(COUNTIF(Lists!$H$4:$AA$4,C452)=0,"Check category",IF(COUNTIF(INDEX(Lists!$H$6:$AA$45,0,MATCH(C452,Lists!$H$4:$AA$4,0)),D452)=0,"Check sub-category","OK"))))</f>
        <v/>
      </c>
      <c r="P452">
        <f>IF(ISNUMBER(I452),I452+ROW()/10000000,"")</f>
        <v/>
      </c>
      <c r="Q452">
        <f>IF(AND(ISNUMBER(P452),ISNUMBER(A452)),IF(AND(A452&gt;=Dashboard!$Q$3,A452&lt;=Dashboard!$Q$4,OR(J452&lt;&gt;"Yes",Dashboard!$Q$15="Yes")),P452,""),"")</f>
        <v/>
      </c>
    </row>
    <row r="453">
      <c r="A453" s="47" t="n"/>
      <c r="B453" s="48" t="n"/>
      <c r="C453" s="48" t="n"/>
      <c r="D453" s="48" t="n"/>
      <c r="E453" s="48" t="n"/>
      <c r="F453" s="48" t="n"/>
      <c r="G453" s="48" t="n"/>
      <c r="H453" s="48" t="n"/>
      <c r="I453" s="49" t="n"/>
      <c r="J453" s="50" t="n"/>
      <c r="K453" s="48" t="n"/>
      <c r="L453" s="51">
        <f>IF(A453="","",DATE(YEAR(A453),MONTH(A453),1))</f>
        <v/>
      </c>
      <c r="M453" s="52">
        <f>IF(OR(A453="",NOT(ISNUMBER(I453))),"",IF(G453=Lists!$B$5,I453/2,IF(G453=Lists!$B$6,I453,0)))</f>
        <v/>
      </c>
      <c r="N453" s="52">
        <f>IF(OR(A453="",NOT(ISNUMBER(I453))),"",IF(G453=Lists!$B$5,I453/2,IF(G453=Lists!$B$7,I453,0)))</f>
        <v/>
      </c>
      <c r="O453" s="53">
        <f>IF(COUNTA(A453:K453)=0,"",IF(OR(A453="",B453="",C453="",D453="",E453="",F453="",G453="",NOT(ISNUMBER(I453))),"Incomplete",IF(COUNTIF(Lists!$H$4:$AA$4,C453)=0,"Check category",IF(COUNTIF(INDEX(Lists!$H$6:$AA$45,0,MATCH(C453,Lists!$H$4:$AA$4,0)),D453)=0,"Check sub-category","OK"))))</f>
        <v/>
      </c>
      <c r="P453">
        <f>IF(ISNUMBER(I453),I453+ROW()/10000000,"")</f>
        <v/>
      </c>
      <c r="Q453">
        <f>IF(AND(ISNUMBER(P453),ISNUMBER(A453)),IF(AND(A453&gt;=Dashboard!$Q$3,A453&lt;=Dashboard!$Q$4,OR(J453&lt;&gt;"Yes",Dashboard!$Q$15="Yes")),P453,""),"")</f>
        <v/>
      </c>
    </row>
    <row r="454">
      <c r="A454" s="47" t="n"/>
      <c r="B454" s="48" t="n"/>
      <c r="C454" s="48" t="n"/>
      <c r="D454" s="48" t="n"/>
      <c r="E454" s="48" t="n"/>
      <c r="F454" s="48" t="n"/>
      <c r="G454" s="48" t="n"/>
      <c r="H454" s="48" t="n"/>
      <c r="I454" s="49" t="n"/>
      <c r="J454" s="50" t="n"/>
      <c r="K454" s="48" t="n"/>
      <c r="L454" s="51">
        <f>IF(A454="","",DATE(YEAR(A454),MONTH(A454),1))</f>
        <v/>
      </c>
      <c r="M454" s="52">
        <f>IF(OR(A454="",NOT(ISNUMBER(I454))),"",IF(G454=Lists!$B$5,I454/2,IF(G454=Lists!$B$6,I454,0)))</f>
        <v/>
      </c>
      <c r="N454" s="52">
        <f>IF(OR(A454="",NOT(ISNUMBER(I454))),"",IF(G454=Lists!$B$5,I454/2,IF(G454=Lists!$B$7,I454,0)))</f>
        <v/>
      </c>
      <c r="O454" s="53">
        <f>IF(COUNTA(A454:K454)=0,"",IF(OR(A454="",B454="",C454="",D454="",E454="",F454="",G454="",NOT(ISNUMBER(I454))),"Incomplete",IF(COUNTIF(Lists!$H$4:$AA$4,C454)=0,"Check category",IF(COUNTIF(INDEX(Lists!$H$6:$AA$45,0,MATCH(C454,Lists!$H$4:$AA$4,0)),D454)=0,"Check sub-category","OK"))))</f>
        <v/>
      </c>
      <c r="P454">
        <f>IF(ISNUMBER(I454),I454+ROW()/10000000,"")</f>
        <v/>
      </c>
      <c r="Q454">
        <f>IF(AND(ISNUMBER(P454),ISNUMBER(A454)),IF(AND(A454&gt;=Dashboard!$Q$3,A454&lt;=Dashboard!$Q$4,OR(J454&lt;&gt;"Yes",Dashboard!$Q$15="Yes")),P454,""),"")</f>
        <v/>
      </c>
    </row>
    <row r="455">
      <c r="A455" s="47" t="n"/>
      <c r="B455" s="48" t="n"/>
      <c r="C455" s="48" t="n"/>
      <c r="D455" s="48" t="n"/>
      <c r="E455" s="48" t="n"/>
      <c r="F455" s="48" t="n"/>
      <c r="G455" s="48" t="n"/>
      <c r="H455" s="48" t="n"/>
      <c r="I455" s="49" t="n"/>
      <c r="J455" s="50" t="n"/>
      <c r="K455" s="48" t="n"/>
      <c r="L455" s="51">
        <f>IF(A455="","",DATE(YEAR(A455),MONTH(A455),1))</f>
        <v/>
      </c>
      <c r="M455" s="52">
        <f>IF(OR(A455="",NOT(ISNUMBER(I455))),"",IF(G455=Lists!$B$5,I455/2,IF(G455=Lists!$B$6,I455,0)))</f>
        <v/>
      </c>
      <c r="N455" s="52">
        <f>IF(OR(A455="",NOT(ISNUMBER(I455))),"",IF(G455=Lists!$B$5,I455/2,IF(G455=Lists!$B$7,I455,0)))</f>
        <v/>
      </c>
      <c r="O455" s="53">
        <f>IF(COUNTA(A455:K455)=0,"",IF(OR(A455="",B455="",C455="",D455="",E455="",F455="",G455="",NOT(ISNUMBER(I455))),"Incomplete",IF(COUNTIF(Lists!$H$4:$AA$4,C455)=0,"Check category",IF(COUNTIF(INDEX(Lists!$H$6:$AA$45,0,MATCH(C455,Lists!$H$4:$AA$4,0)),D455)=0,"Check sub-category","OK"))))</f>
        <v/>
      </c>
      <c r="P455">
        <f>IF(ISNUMBER(I455),I455+ROW()/10000000,"")</f>
        <v/>
      </c>
      <c r="Q455">
        <f>IF(AND(ISNUMBER(P455),ISNUMBER(A455)),IF(AND(A455&gt;=Dashboard!$Q$3,A455&lt;=Dashboard!$Q$4,OR(J455&lt;&gt;"Yes",Dashboard!$Q$15="Yes")),P455,""),"")</f>
        <v/>
      </c>
    </row>
    <row r="456">
      <c r="A456" s="47" t="n"/>
      <c r="B456" s="48" t="n"/>
      <c r="C456" s="48" t="n"/>
      <c r="D456" s="48" t="n"/>
      <c r="E456" s="48" t="n"/>
      <c r="F456" s="48" t="n"/>
      <c r="G456" s="48" t="n"/>
      <c r="H456" s="48" t="n"/>
      <c r="I456" s="49" t="n"/>
      <c r="J456" s="50" t="n"/>
      <c r="K456" s="48" t="n"/>
      <c r="L456" s="51">
        <f>IF(A456="","",DATE(YEAR(A456),MONTH(A456),1))</f>
        <v/>
      </c>
      <c r="M456" s="52">
        <f>IF(OR(A456="",NOT(ISNUMBER(I456))),"",IF(G456=Lists!$B$5,I456/2,IF(G456=Lists!$B$6,I456,0)))</f>
        <v/>
      </c>
      <c r="N456" s="52">
        <f>IF(OR(A456="",NOT(ISNUMBER(I456))),"",IF(G456=Lists!$B$5,I456/2,IF(G456=Lists!$B$7,I456,0)))</f>
        <v/>
      </c>
      <c r="O456" s="53">
        <f>IF(COUNTA(A456:K456)=0,"",IF(OR(A456="",B456="",C456="",D456="",E456="",F456="",G456="",NOT(ISNUMBER(I456))),"Incomplete",IF(COUNTIF(Lists!$H$4:$AA$4,C456)=0,"Check category",IF(COUNTIF(INDEX(Lists!$H$6:$AA$45,0,MATCH(C456,Lists!$H$4:$AA$4,0)),D456)=0,"Check sub-category","OK"))))</f>
        <v/>
      </c>
      <c r="P456">
        <f>IF(ISNUMBER(I456),I456+ROW()/10000000,"")</f>
        <v/>
      </c>
      <c r="Q456">
        <f>IF(AND(ISNUMBER(P456),ISNUMBER(A456)),IF(AND(A456&gt;=Dashboard!$Q$3,A456&lt;=Dashboard!$Q$4,OR(J456&lt;&gt;"Yes",Dashboard!$Q$15="Yes")),P456,""),"")</f>
        <v/>
      </c>
    </row>
    <row r="457">
      <c r="A457" s="47" t="n"/>
      <c r="B457" s="48" t="n"/>
      <c r="C457" s="48" t="n"/>
      <c r="D457" s="48" t="n"/>
      <c r="E457" s="48" t="n"/>
      <c r="F457" s="48" t="n"/>
      <c r="G457" s="48" t="n"/>
      <c r="H457" s="48" t="n"/>
      <c r="I457" s="49" t="n"/>
      <c r="J457" s="50" t="n"/>
      <c r="K457" s="48" t="n"/>
      <c r="L457" s="51">
        <f>IF(A457="","",DATE(YEAR(A457),MONTH(A457),1))</f>
        <v/>
      </c>
      <c r="M457" s="52">
        <f>IF(OR(A457="",NOT(ISNUMBER(I457))),"",IF(G457=Lists!$B$5,I457/2,IF(G457=Lists!$B$6,I457,0)))</f>
        <v/>
      </c>
      <c r="N457" s="52">
        <f>IF(OR(A457="",NOT(ISNUMBER(I457))),"",IF(G457=Lists!$B$5,I457/2,IF(G457=Lists!$B$7,I457,0)))</f>
        <v/>
      </c>
      <c r="O457" s="53">
        <f>IF(COUNTA(A457:K457)=0,"",IF(OR(A457="",B457="",C457="",D457="",E457="",F457="",G457="",NOT(ISNUMBER(I457))),"Incomplete",IF(COUNTIF(Lists!$H$4:$AA$4,C457)=0,"Check category",IF(COUNTIF(INDEX(Lists!$H$6:$AA$45,0,MATCH(C457,Lists!$H$4:$AA$4,0)),D457)=0,"Check sub-category","OK"))))</f>
        <v/>
      </c>
      <c r="P457">
        <f>IF(ISNUMBER(I457),I457+ROW()/10000000,"")</f>
        <v/>
      </c>
      <c r="Q457">
        <f>IF(AND(ISNUMBER(P457),ISNUMBER(A457)),IF(AND(A457&gt;=Dashboard!$Q$3,A457&lt;=Dashboard!$Q$4,OR(J457&lt;&gt;"Yes",Dashboard!$Q$15="Yes")),P457,""),"")</f>
        <v/>
      </c>
    </row>
    <row r="458">
      <c r="A458" s="47" t="n"/>
      <c r="B458" s="48" t="n"/>
      <c r="C458" s="48" t="n"/>
      <c r="D458" s="48" t="n"/>
      <c r="E458" s="48" t="n"/>
      <c r="F458" s="48" t="n"/>
      <c r="G458" s="48" t="n"/>
      <c r="H458" s="48" t="n"/>
      <c r="I458" s="49" t="n"/>
      <c r="J458" s="50" t="n"/>
      <c r="K458" s="48" t="n"/>
      <c r="L458" s="51">
        <f>IF(A458="","",DATE(YEAR(A458),MONTH(A458),1))</f>
        <v/>
      </c>
      <c r="M458" s="52">
        <f>IF(OR(A458="",NOT(ISNUMBER(I458))),"",IF(G458=Lists!$B$5,I458/2,IF(G458=Lists!$B$6,I458,0)))</f>
        <v/>
      </c>
      <c r="N458" s="52">
        <f>IF(OR(A458="",NOT(ISNUMBER(I458))),"",IF(G458=Lists!$B$5,I458/2,IF(G458=Lists!$B$7,I458,0)))</f>
        <v/>
      </c>
      <c r="O458" s="53">
        <f>IF(COUNTA(A458:K458)=0,"",IF(OR(A458="",B458="",C458="",D458="",E458="",F458="",G458="",NOT(ISNUMBER(I458))),"Incomplete",IF(COUNTIF(Lists!$H$4:$AA$4,C458)=0,"Check category",IF(COUNTIF(INDEX(Lists!$H$6:$AA$45,0,MATCH(C458,Lists!$H$4:$AA$4,0)),D458)=0,"Check sub-category","OK"))))</f>
        <v/>
      </c>
      <c r="P458">
        <f>IF(ISNUMBER(I458),I458+ROW()/10000000,"")</f>
        <v/>
      </c>
      <c r="Q458">
        <f>IF(AND(ISNUMBER(P458),ISNUMBER(A458)),IF(AND(A458&gt;=Dashboard!$Q$3,A458&lt;=Dashboard!$Q$4,OR(J458&lt;&gt;"Yes",Dashboard!$Q$15="Yes")),P458,""),"")</f>
        <v/>
      </c>
    </row>
    <row r="459">
      <c r="A459" s="47" t="n"/>
      <c r="B459" s="48" t="n"/>
      <c r="C459" s="48" t="n"/>
      <c r="D459" s="48" t="n"/>
      <c r="E459" s="48" t="n"/>
      <c r="F459" s="48" t="n"/>
      <c r="G459" s="48" t="n"/>
      <c r="H459" s="48" t="n"/>
      <c r="I459" s="49" t="n"/>
      <c r="J459" s="50" t="n"/>
      <c r="K459" s="48" t="n"/>
      <c r="L459" s="51">
        <f>IF(A459="","",DATE(YEAR(A459),MONTH(A459),1))</f>
        <v/>
      </c>
      <c r="M459" s="52">
        <f>IF(OR(A459="",NOT(ISNUMBER(I459))),"",IF(G459=Lists!$B$5,I459/2,IF(G459=Lists!$B$6,I459,0)))</f>
        <v/>
      </c>
      <c r="N459" s="52">
        <f>IF(OR(A459="",NOT(ISNUMBER(I459))),"",IF(G459=Lists!$B$5,I459/2,IF(G459=Lists!$B$7,I459,0)))</f>
        <v/>
      </c>
      <c r="O459" s="53">
        <f>IF(COUNTA(A459:K459)=0,"",IF(OR(A459="",B459="",C459="",D459="",E459="",F459="",G459="",NOT(ISNUMBER(I459))),"Incomplete",IF(COUNTIF(Lists!$H$4:$AA$4,C459)=0,"Check category",IF(COUNTIF(INDEX(Lists!$H$6:$AA$45,0,MATCH(C459,Lists!$H$4:$AA$4,0)),D459)=0,"Check sub-category","OK"))))</f>
        <v/>
      </c>
      <c r="P459">
        <f>IF(ISNUMBER(I459),I459+ROW()/10000000,"")</f>
        <v/>
      </c>
      <c r="Q459">
        <f>IF(AND(ISNUMBER(P459),ISNUMBER(A459)),IF(AND(A459&gt;=Dashboard!$Q$3,A459&lt;=Dashboard!$Q$4,OR(J459&lt;&gt;"Yes",Dashboard!$Q$15="Yes")),P459,""),"")</f>
        <v/>
      </c>
    </row>
    <row r="460">
      <c r="A460" s="47" t="n"/>
      <c r="B460" s="48" t="n"/>
      <c r="C460" s="48" t="n"/>
      <c r="D460" s="48" t="n"/>
      <c r="E460" s="48" t="n"/>
      <c r="F460" s="48" t="n"/>
      <c r="G460" s="48" t="n"/>
      <c r="H460" s="48" t="n"/>
      <c r="I460" s="49" t="n"/>
      <c r="J460" s="50" t="n"/>
      <c r="K460" s="48" t="n"/>
      <c r="L460" s="51">
        <f>IF(A460="","",DATE(YEAR(A460),MONTH(A460),1))</f>
        <v/>
      </c>
      <c r="M460" s="52">
        <f>IF(OR(A460="",NOT(ISNUMBER(I460))),"",IF(G460=Lists!$B$5,I460/2,IF(G460=Lists!$B$6,I460,0)))</f>
        <v/>
      </c>
      <c r="N460" s="52">
        <f>IF(OR(A460="",NOT(ISNUMBER(I460))),"",IF(G460=Lists!$B$5,I460/2,IF(G460=Lists!$B$7,I460,0)))</f>
        <v/>
      </c>
      <c r="O460" s="53">
        <f>IF(COUNTA(A460:K460)=0,"",IF(OR(A460="",B460="",C460="",D460="",E460="",F460="",G460="",NOT(ISNUMBER(I460))),"Incomplete",IF(COUNTIF(Lists!$H$4:$AA$4,C460)=0,"Check category",IF(COUNTIF(INDEX(Lists!$H$6:$AA$45,0,MATCH(C460,Lists!$H$4:$AA$4,0)),D460)=0,"Check sub-category","OK"))))</f>
        <v/>
      </c>
      <c r="P460">
        <f>IF(ISNUMBER(I460),I460+ROW()/10000000,"")</f>
        <v/>
      </c>
      <c r="Q460">
        <f>IF(AND(ISNUMBER(P460),ISNUMBER(A460)),IF(AND(A460&gt;=Dashboard!$Q$3,A460&lt;=Dashboard!$Q$4,OR(J460&lt;&gt;"Yes",Dashboard!$Q$15="Yes")),P460,""),"")</f>
        <v/>
      </c>
    </row>
    <row r="461">
      <c r="A461" s="47" t="n"/>
      <c r="B461" s="48" t="n"/>
      <c r="C461" s="48" t="n"/>
      <c r="D461" s="48" t="n"/>
      <c r="E461" s="48" t="n"/>
      <c r="F461" s="48" t="n"/>
      <c r="G461" s="48" t="n"/>
      <c r="H461" s="48" t="n"/>
      <c r="I461" s="49" t="n"/>
      <c r="J461" s="50" t="n"/>
      <c r="K461" s="48" t="n"/>
      <c r="L461" s="51">
        <f>IF(A461="","",DATE(YEAR(A461),MONTH(A461),1))</f>
        <v/>
      </c>
      <c r="M461" s="52">
        <f>IF(OR(A461="",NOT(ISNUMBER(I461))),"",IF(G461=Lists!$B$5,I461/2,IF(G461=Lists!$B$6,I461,0)))</f>
        <v/>
      </c>
      <c r="N461" s="52">
        <f>IF(OR(A461="",NOT(ISNUMBER(I461))),"",IF(G461=Lists!$B$5,I461/2,IF(G461=Lists!$B$7,I461,0)))</f>
        <v/>
      </c>
      <c r="O461" s="53">
        <f>IF(COUNTA(A461:K461)=0,"",IF(OR(A461="",B461="",C461="",D461="",E461="",F461="",G461="",NOT(ISNUMBER(I461))),"Incomplete",IF(COUNTIF(Lists!$H$4:$AA$4,C461)=0,"Check category",IF(COUNTIF(INDEX(Lists!$H$6:$AA$45,0,MATCH(C461,Lists!$H$4:$AA$4,0)),D461)=0,"Check sub-category","OK"))))</f>
        <v/>
      </c>
      <c r="P461">
        <f>IF(ISNUMBER(I461),I461+ROW()/10000000,"")</f>
        <v/>
      </c>
      <c r="Q461">
        <f>IF(AND(ISNUMBER(P461),ISNUMBER(A461)),IF(AND(A461&gt;=Dashboard!$Q$3,A461&lt;=Dashboard!$Q$4,OR(J461&lt;&gt;"Yes",Dashboard!$Q$15="Yes")),P461,""),"")</f>
        <v/>
      </c>
    </row>
    <row r="462">
      <c r="A462" s="47" t="n"/>
      <c r="B462" s="48" t="n"/>
      <c r="C462" s="48" t="n"/>
      <c r="D462" s="48" t="n"/>
      <c r="E462" s="48" t="n"/>
      <c r="F462" s="48" t="n"/>
      <c r="G462" s="48" t="n"/>
      <c r="H462" s="48" t="n"/>
      <c r="I462" s="49" t="n"/>
      <c r="J462" s="50" t="n"/>
      <c r="K462" s="48" t="n"/>
      <c r="L462" s="51">
        <f>IF(A462="","",DATE(YEAR(A462),MONTH(A462),1))</f>
        <v/>
      </c>
      <c r="M462" s="52">
        <f>IF(OR(A462="",NOT(ISNUMBER(I462))),"",IF(G462=Lists!$B$5,I462/2,IF(G462=Lists!$B$6,I462,0)))</f>
        <v/>
      </c>
      <c r="N462" s="52">
        <f>IF(OR(A462="",NOT(ISNUMBER(I462))),"",IF(G462=Lists!$B$5,I462/2,IF(G462=Lists!$B$7,I462,0)))</f>
        <v/>
      </c>
      <c r="O462" s="53">
        <f>IF(COUNTA(A462:K462)=0,"",IF(OR(A462="",B462="",C462="",D462="",E462="",F462="",G462="",NOT(ISNUMBER(I462))),"Incomplete",IF(COUNTIF(Lists!$H$4:$AA$4,C462)=0,"Check category",IF(COUNTIF(INDEX(Lists!$H$6:$AA$45,0,MATCH(C462,Lists!$H$4:$AA$4,0)),D462)=0,"Check sub-category","OK"))))</f>
        <v/>
      </c>
      <c r="P462">
        <f>IF(ISNUMBER(I462),I462+ROW()/10000000,"")</f>
        <v/>
      </c>
      <c r="Q462">
        <f>IF(AND(ISNUMBER(P462),ISNUMBER(A462)),IF(AND(A462&gt;=Dashboard!$Q$3,A462&lt;=Dashboard!$Q$4,OR(J462&lt;&gt;"Yes",Dashboard!$Q$15="Yes")),P462,""),"")</f>
        <v/>
      </c>
    </row>
    <row r="463">
      <c r="A463" s="47" t="n"/>
      <c r="B463" s="48" t="n"/>
      <c r="C463" s="48" t="n"/>
      <c r="D463" s="48" t="n"/>
      <c r="E463" s="48" t="n"/>
      <c r="F463" s="48" t="n"/>
      <c r="G463" s="48" t="n"/>
      <c r="H463" s="48" t="n"/>
      <c r="I463" s="49" t="n"/>
      <c r="J463" s="50" t="n"/>
      <c r="K463" s="48" t="n"/>
      <c r="L463" s="51">
        <f>IF(A463="","",DATE(YEAR(A463),MONTH(A463),1))</f>
        <v/>
      </c>
      <c r="M463" s="52">
        <f>IF(OR(A463="",NOT(ISNUMBER(I463))),"",IF(G463=Lists!$B$5,I463/2,IF(G463=Lists!$B$6,I463,0)))</f>
        <v/>
      </c>
      <c r="N463" s="52">
        <f>IF(OR(A463="",NOT(ISNUMBER(I463))),"",IF(G463=Lists!$B$5,I463/2,IF(G463=Lists!$B$7,I463,0)))</f>
        <v/>
      </c>
      <c r="O463" s="53">
        <f>IF(COUNTA(A463:K463)=0,"",IF(OR(A463="",B463="",C463="",D463="",E463="",F463="",G463="",NOT(ISNUMBER(I463))),"Incomplete",IF(COUNTIF(Lists!$H$4:$AA$4,C463)=0,"Check category",IF(COUNTIF(INDEX(Lists!$H$6:$AA$45,0,MATCH(C463,Lists!$H$4:$AA$4,0)),D463)=0,"Check sub-category","OK"))))</f>
        <v/>
      </c>
      <c r="P463">
        <f>IF(ISNUMBER(I463),I463+ROW()/10000000,"")</f>
        <v/>
      </c>
      <c r="Q463">
        <f>IF(AND(ISNUMBER(P463),ISNUMBER(A463)),IF(AND(A463&gt;=Dashboard!$Q$3,A463&lt;=Dashboard!$Q$4,OR(J463&lt;&gt;"Yes",Dashboard!$Q$15="Yes")),P463,""),"")</f>
        <v/>
      </c>
    </row>
    <row r="464">
      <c r="A464" s="47" t="n"/>
      <c r="B464" s="48" t="n"/>
      <c r="C464" s="48" t="n"/>
      <c r="D464" s="48" t="n"/>
      <c r="E464" s="48" t="n"/>
      <c r="F464" s="48" t="n"/>
      <c r="G464" s="48" t="n"/>
      <c r="H464" s="48" t="n"/>
      <c r="I464" s="49" t="n"/>
      <c r="J464" s="50" t="n"/>
      <c r="K464" s="48" t="n"/>
      <c r="L464" s="51">
        <f>IF(A464="","",DATE(YEAR(A464),MONTH(A464),1))</f>
        <v/>
      </c>
      <c r="M464" s="52">
        <f>IF(OR(A464="",NOT(ISNUMBER(I464))),"",IF(G464=Lists!$B$5,I464/2,IF(G464=Lists!$B$6,I464,0)))</f>
        <v/>
      </c>
      <c r="N464" s="52">
        <f>IF(OR(A464="",NOT(ISNUMBER(I464))),"",IF(G464=Lists!$B$5,I464/2,IF(G464=Lists!$B$7,I464,0)))</f>
        <v/>
      </c>
      <c r="O464" s="53">
        <f>IF(COUNTA(A464:K464)=0,"",IF(OR(A464="",B464="",C464="",D464="",E464="",F464="",G464="",NOT(ISNUMBER(I464))),"Incomplete",IF(COUNTIF(Lists!$H$4:$AA$4,C464)=0,"Check category",IF(COUNTIF(INDEX(Lists!$H$6:$AA$45,0,MATCH(C464,Lists!$H$4:$AA$4,0)),D464)=0,"Check sub-category","OK"))))</f>
        <v/>
      </c>
      <c r="P464">
        <f>IF(ISNUMBER(I464),I464+ROW()/10000000,"")</f>
        <v/>
      </c>
      <c r="Q464">
        <f>IF(AND(ISNUMBER(P464),ISNUMBER(A464)),IF(AND(A464&gt;=Dashboard!$Q$3,A464&lt;=Dashboard!$Q$4,OR(J464&lt;&gt;"Yes",Dashboard!$Q$15="Yes")),P464,""),"")</f>
        <v/>
      </c>
    </row>
    <row r="465">
      <c r="A465" s="47" t="n"/>
      <c r="B465" s="48" t="n"/>
      <c r="C465" s="48" t="n"/>
      <c r="D465" s="48" t="n"/>
      <c r="E465" s="48" t="n"/>
      <c r="F465" s="48" t="n"/>
      <c r="G465" s="48" t="n"/>
      <c r="H465" s="48" t="n"/>
      <c r="I465" s="49" t="n"/>
      <c r="J465" s="50" t="n"/>
      <c r="K465" s="48" t="n"/>
      <c r="L465" s="51">
        <f>IF(A465="","",DATE(YEAR(A465),MONTH(A465),1))</f>
        <v/>
      </c>
      <c r="M465" s="52">
        <f>IF(OR(A465="",NOT(ISNUMBER(I465))),"",IF(G465=Lists!$B$5,I465/2,IF(G465=Lists!$B$6,I465,0)))</f>
        <v/>
      </c>
      <c r="N465" s="52">
        <f>IF(OR(A465="",NOT(ISNUMBER(I465))),"",IF(G465=Lists!$B$5,I465/2,IF(G465=Lists!$B$7,I465,0)))</f>
        <v/>
      </c>
      <c r="O465" s="53">
        <f>IF(COUNTA(A465:K465)=0,"",IF(OR(A465="",B465="",C465="",D465="",E465="",F465="",G465="",NOT(ISNUMBER(I465))),"Incomplete",IF(COUNTIF(Lists!$H$4:$AA$4,C465)=0,"Check category",IF(COUNTIF(INDEX(Lists!$H$6:$AA$45,0,MATCH(C465,Lists!$H$4:$AA$4,0)),D465)=0,"Check sub-category","OK"))))</f>
        <v/>
      </c>
      <c r="P465">
        <f>IF(ISNUMBER(I465),I465+ROW()/10000000,"")</f>
        <v/>
      </c>
      <c r="Q465">
        <f>IF(AND(ISNUMBER(P465),ISNUMBER(A465)),IF(AND(A465&gt;=Dashboard!$Q$3,A465&lt;=Dashboard!$Q$4,OR(J465&lt;&gt;"Yes",Dashboard!$Q$15="Yes")),P465,""),"")</f>
        <v/>
      </c>
    </row>
    <row r="466">
      <c r="A466" s="47" t="n"/>
      <c r="B466" s="48" t="n"/>
      <c r="C466" s="48" t="n"/>
      <c r="D466" s="48" t="n"/>
      <c r="E466" s="48" t="n"/>
      <c r="F466" s="48" t="n"/>
      <c r="G466" s="48" t="n"/>
      <c r="H466" s="48" t="n"/>
      <c r="I466" s="49" t="n"/>
      <c r="J466" s="50" t="n"/>
      <c r="K466" s="48" t="n"/>
      <c r="L466" s="51">
        <f>IF(A466="","",DATE(YEAR(A466),MONTH(A466),1))</f>
        <v/>
      </c>
      <c r="M466" s="52">
        <f>IF(OR(A466="",NOT(ISNUMBER(I466))),"",IF(G466=Lists!$B$5,I466/2,IF(G466=Lists!$B$6,I466,0)))</f>
        <v/>
      </c>
      <c r="N466" s="52">
        <f>IF(OR(A466="",NOT(ISNUMBER(I466))),"",IF(G466=Lists!$B$5,I466/2,IF(G466=Lists!$B$7,I466,0)))</f>
        <v/>
      </c>
      <c r="O466" s="53">
        <f>IF(COUNTA(A466:K466)=0,"",IF(OR(A466="",B466="",C466="",D466="",E466="",F466="",G466="",NOT(ISNUMBER(I466))),"Incomplete",IF(COUNTIF(Lists!$H$4:$AA$4,C466)=0,"Check category",IF(COUNTIF(INDEX(Lists!$H$6:$AA$45,0,MATCH(C466,Lists!$H$4:$AA$4,0)),D466)=0,"Check sub-category","OK"))))</f>
        <v/>
      </c>
      <c r="P466">
        <f>IF(ISNUMBER(I466),I466+ROW()/10000000,"")</f>
        <v/>
      </c>
      <c r="Q466">
        <f>IF(AND(ISNUMBER(P466),ISNUMBER(A466)),IF(AND(A466&gt;=Dashboard!$Q$3,A466&lt;=Dashboard!$Q$4,OR(J466&lt;&gt;"Yes",Dashboard!$Q$15="Yes")),P466,""),"")</f>
        <v/>
      </c>
    </row>
    <row r="467">
      <c r="A467" s="47" t="n"/>
      <c r="B467" s="48" t="n"/>
      <c r="C467" s="48" t="n"/>
      <c r="D467" s="48" t="n"/>
      <c r="E467" s="48" t="n"/>
      <c r="F467" s="48" t="n"/>
      <c r="G467" s="48" t="n"/>
      <c r="H467" s="48" t="n"/>
      <c r="I467" s="49" t="n"/>
      <c r="J467" s="50" t="n"/>
      <c r="K467" s="48" t="n"/>
      <c r="L467" s="51">
        <f>IF(A467="","",DATE(YEAR(A467),MONTH(A467),1))</f>
        <v/>
      </c>
      <c r="M467" s="52">
        <f>IF(OR(A467="",NOT(ISNUMBER(I467))),"",IF(G467=Lists!$B$5,I467/2,IF(G467=Lists!$B$6,I467,0)))</f>
        <v/>
      </c>
      <c r="N467" s="52">
        <f>IF(OR(A467="",NOT(ISNUMBER(I467))),"",IF(G467=Lists!$B$5,I467/2,IF(G467=Lists!$B$7,I467,0)))</f>
        <v/>
      </c>
      <c r="O467" s="53">
        <f>IF(COUNTA(A467:K467)=0,"",IF(OR(A467="",B467="",C467="",D467="",E467="",F467="",G467="",NOT(ISNUMBER(I467))),"Incomplete",IF(COUNTIF(Lists!$H$4:$AA$4,C467)=0,"Check category",IF(COUNTIF(INDEX(Lists!$H$6:$AA$45,0,MATCH(C467,Lists!$H$4:$AA$4,0)),D467)=0,"Check sub-category","OK"))))</f>
        <v/>
      </c>
      <c r="P467">
        <f>IF(ISNUMBER(I467),I467+ROW()/10000000,"")</f>
        <v/>
      </c>
      <c r="Q467">
        <f>IF(AND(ISNUMBER(P467),ISNUMBER(A467)),IF(AND(A467&gt;=Dashboard!$Q$3,A467&lt;=Dashboard!$Q$4,OR(J467&lt;&gt;"Yes",Dashboard!$Q$15="Yes")),P467,""),"")</f>
        <v/>
      </c>
    </row>
    <row r="468">
      <c r="A468" s="47" t="n"/>
      <c r="B468" s="48" t="n"/>
      <c r="C468" s="48" t="n"/>
      <c r="D468" s="48" t="n"/>
      <c r="E468" s="48" t="n"/>
      <c r="F468" s="48" t="n"/>
      <c r="G468" s="48" t="n"/>
      <c r="H468" s="48" t="n"/>
      <c r="I468" s="49" t="n"/>
      <c r="J468" s="50" t="n"/>
      <c r="K468" s="48" t="n"/>
      <c r="L468" s="51">
        <f>IF(A468="","",DATE(YEAR(A468),MONTH(A468),1))</f>
        <v/>
      </c>
      <c r="M468" s="52">
        <f>IF(OR(A468="",NOT(ISNUMBER(I468))),"",IF(G468=Lists!$B$5,I468/2,IF(G468=Lists!$B$6,I468,0)))</f>
        <v/>
      </c>
      <c r="N468" s="52">
        <f>IF(OR(A468="",NOT(ISNUMBER(I468))),"",IF(G468=Lists!$B$5,I468/2,IF(G468=Lists!$B$7,I468,0)))</f>
        <v/>
      </c>
      <c r="O468" s="53">
        <f>IF(COUNTA(A468:K468)=0,"",IF(OR(A468="",B468="",C468="",D468="",E468="",F468="",G468="",NOT(ISNUMBER(I468))),"Incomplete",IF(COUNTIF(Lists!$H$4:$AA$4,C468)=0,"Check category",IF(COUNTIF(INDEX(Lists!$H$6:$AA$45,0,MATCH(C468,Lists!$H$4:$AA$4,0)),D468)=0,"Check sub-category","OK"))))</f>
        <v/>
      </c>
      <c r="P468">
        <f>IF(ISNUMBER(I468),I468+ROW()/10000000,"")</f>
        <v/>
      </c>
      <c r="Q468">
        <f>IF(AND(ISNUMBER(P468),ISNUMBER(A468)),IF(AND(A468&gt;=Dashboard!$Q$3,A468&lt;=Dashboard!$Q$4,OR(J468&lt;&gt;"Yes",Dashboard!$Q$15="Yes")),P468,""),"")</f>
        <v/>
      </c>
    </row>
    <row r="469">
      <c r="A469" s="47" t="n"/>
      <c r="B469" s="48" t="n"/>
      <c r="C469" s="48" t="n"/>
      <c r="D469" s="48" t="n"/>
      <c r="E469" s="48" t="n"/>
      <c r="F469" s="48" t="n"/>
      <c r="G469" s="48" t="n"/>
      <c r="H469" s="48" t="n"/>
      <c r="I469" s="49" t="n"/>
      <c r="J469" s="50" t="n"/>
      <c r="K469" s="48" t="n"/>
      <c r="L469" s="51">
        <f>IF(A469="","",DATE(YEAR(A469),MONTH(A469),1))</f>
        <v/>
      </c>
      <c r="M469" s="52">
        <f>IF(OR(A469="",NOT(ISNUMBER(I469))),"",IF(G469=Lists!$B$5,I469/2,IF(G469=Lists!$B$6,I469,0)))</f>
        <v/>
      </c>
      <c r="N469" s="52">
        <f>IF(OR(A469="",NOT(ISNUMBER(I469))),"",IF(G469=Lists!$B$5,I469/2,IF(G469=Lists!$B$7,I469,0)))</f>
        <v/>
      </c>
      <c r="O469" s="53">
        <f>IF(COUNTA(A469:K469)=0,"",IF(OR(A469="",B469="",C469="",D469="",E469="",F469="",G469="",NOT(ISNUMBER(I469))),"Incomplete",IF(COUNTIF(Lists!$H$4:$AA$4,C469)=0,"Check category",IF(COUNTIF(INDEX(Lists!$H$6:$AA$45,0,MATCH(C469,Lists!$H$4:$AA$4,0)),D469)=0,"Check sub-category","OK"))))</f>
        <v/>
      </c>
      <c r="P469">
        <f>IF(ISNUMBER(I469),I469+ROW()/10000000,"")</f>
        <v/>
      </c>
      <c r="Q469">
        <f>IF(AND(ISNUMBER(P469),ISNUMBER(A469)),IF(AND(A469&gt;=Dashboard!$Q$3,A469&lt;=Dashboard!$Q$4,OR(J469&lt;&gt;"Yes",Dashboard!$Q$15="Yes")),P469,""),"")</f>
        <v/>
      </c>
    </row>
    <row r="470">
      <c r="A470" s="47" t="n"/>
      <c r="B470" s="48" t="n"/>
      <c r="C470" s="48" t="n"/>
      <c r="D470" s="48" t="n"/>
      <c r="E470" s="48" t="n"/>
      <c r="F470" s="48" t="n"/>
      <c r="G470" s="48" t="n"/>
      <c r="H470" s="48" t="n"/>
      <c r="I470" s="49" t="n"/>
      <c r="J470" s="50" t="n"/>
      <c r="K470" s="48" t="n"/>
      <c r="L470" s="51">
        <f>IF(A470="","",DATE(YEAR(A470),MONTH(A470),1))</f>
        <v/>
      </c>
      <c r="M470" s="52">
        <f>IF(OR(A470="",NOT(ISNUMBER(I470))),"",IF(G470=Lists!$B$5,I470/2,IF(G470=Lists!$B$6,I470,0)))</f>
        <v/>
      </c>
      <c r="N470" s="52">
        <f>IF(OR(A470="",NOT(ISNUMBER(I470))),"",IF(G470=Lists!$B$5,I470/2,IF(G470=Lists!$B$7,I470,0)))</f>
        <v/>
      </c>
      <c r="O470" s="53">
        <f>IF(COUNTA(A470:K470)=0,"",IF(OR(A470="",B470="",C470="",D470="",E470="",F470="",G470="",NOT(ISNUMBER(I470))),"Incomplete",IF(COUNTIF(Lists!$H$4:$AA$4,C470)=0,"Check category",IF(COUNTIF(INDEX(Lists!$H$6:$AA$45,0,MATCH(C470,Lists!$H$4:$AA$4,0)),D470)=0,"Check sub-category","OK"))))</f>
        <v/>
      </c>
      <c r="P470">
        <f>IF(ISNUMBER(I470),I470+ROW()/10000000,"")</f>
        <v/>
      </c>
      <c r="Q470">
        <f>IF(AND(ISNUMBER(P470),ISNUMBER(A470)),IF(AND(A470&gt;=Dashboard!$Q$3,A470&lt;=Dashboard!$Q$4,OR(J470&lt;&gt;"Yes",Dashboard!$Q$15="Yes")),P470,""),"")</f>
        <v/>
      </c>
    </row>
    <row r="471">
      <c r="A471" s="47" t="n"/>
      <c r="B471" s="48" t="n"/>
      <c r="C471" s="48" t="n"/>
      <c r="D471" s="48" t="n"/>
      <c r="E471" s="48" t="n"/>
      <c r="F471" s="48" t="n"/>
      <c r="G471" s="48" t="n"/>
      <c r="H471" s="48" t="n"/>
      <c r="I471" s="49" t="n"/>
      <c r="J471" s="50" t="n"/>
      <c r="K471" s="48" t="n"/>
      <c r="L471" s="51">
        <f>IF(A471="","",DATE(YEAR(A471),MONTH(A471),1))</f>
        <v/>
      </c>
      <c r="M471" s="52">
        <f>IF(OR(A471="",NOT(ISNUMBER(I471))),"",IF(G471=Lists!$B$5,I471/2,IF(G471=Lists!$B$6,I471,0)))</f>
        <v/>
      </c>
      <c r="N471" s="52">
        <f>IF(OR(A471="",NOT(ISNUMBER(I471))),"",IF(G471=Lists!$B$5,I471/2,IF(G471=Lists!$B$7,I471,0)))</f>
        <v/>
      </c>
      <c r="O471" s="53">
        <f>IF(COUNTA(A471:K471)=0,"",IF(OR(A471="",B471="",C471="",D471="",E471="",F471="",G471="",NOT(ISNUMBER(I471))),"Incomplete",IF(COUNTIF(Lists!$H$4:$AA$4,C471)=0,"Check category",IF(COUNTIF(INDEX(Lists!$H$6:$AA$45,0,MATCH(C471,Lists!$H$4:$AA$4,0)),D471)=0,"Check sub-category","OK"))))</f>
        <v/>
      </c>
      <c r="P471">
        <f>IF(ISNUMBER(I471),I471+ROW()/10000000,"")</f>
        <v/>
      </c>
      <c r="Q471">
        <f>IF(AND(ISNUMBER(P471),ISNUMBER(A471)),IF(AND(A471&gt;=Dashboard!$Q$3,A471&lt;=Dashboard!$Q$4,OR(J471&lt;&gt;"Yes",Dashboard!$Q$15="Yes")),P471,""),"")</f>
        <v/>
      </c>
    </row>
    <row r="472">
      <c r="A472" s="47" t="n"/>
      <c r="B472" s="48" t="n"/>
      <c r="C472" s="48" t="n"/>
      <c r="D472" s="48" t="n"/>
      <c r="E472" s="48" t="n"/>
      <c r="F472" s="48" t="n"/>
      <c r="G472" s="48" t="n"/>
      <c r="H472" s="48" t="n"/>
      <c r="I472" s="49" t="n"/>
      <c r="J472" s="50" t="n"/>
      <c r="K472" s="48" t="n"/>
      <c r="L472" s="51">
        <f>IF(A472="","",DATE(YEAR(A472),MONTH(A472),1))</f>
        <v/>
      </c>
      <c r="M472" s="52">
        <f>IF(OR(A472="",NOT(ISNUMBER(I472))),"",IF(G472=Lists!$B$5,I472/2,IF(G472=Lists!$B$6,I472,0)))</f>
        <v/>
      </c>
      <c r="N472" s="52">
        <f>IF(OR(A472="",NOT(ISNUMBER(I472))),"",IF(G472=Lists!$B$5,I472/2,IF(G472=Lists!$B$7,I472,0)))</f>
        <v/>
      </c>
      <c r="O472" s="53">
        <f>IF(COUNTA(A472:K472)=0,"",IF(OR(A472="",B472="",C472="",D472="",E472="",F472="",G472="",NOT(ISNUMBER(I472))),"Incomplete",IF(COUNTIF(Lists!$H$4:$AA$4,C472)=0,"Check category",IF(COUNTIF(INDEX(Lists!$H$6:$AA$45,0,MATCH(C472,Lists!$H$4:$AA$4,0)),D472)=0,"Check sub-category","OK"))))</f>
        <v/>
      </c>
      <c r="P472">
        <f>IF(ISNUMBER(I472),I472+ROW()/10000000,"")</f>
        <v/>
      </c>
      <c r="Q472">
        <f>IF(AND(ISNUMBER(P472),ISNUMBER(A472)),IF(AND(A472&gt;=Dashboard!$Q$3,A472&lt;=Dashboard!$Q$4,OR(J472&lt;&gt;"Yes",Dashboard!$Q$15="Yes")),P472,""),"")</f>
        <v/>
      </c>
    </row>
    <row r="473">
      <c r="A473" s="47" t="n"/>
      <c r="B473" s="48" t="n"/>
      <c r="C473" s="48" t="n"/>
      <c r="D473" s="48" t="n"/>
      <c r="E473" s="48" t="n"/>
      <c r="F473" s="48" t="n"/>
      <c r="G473" s="48" t="n"/>
      <c r="H473" s="48" t="n"/>
      <c r="I473" s="49" t="n"/>
      <c r="J473" s="50" t="n"/>
      <c r="K473" s="48" t="n"/>
      <c r="L473" s="51">
        <f>IF(A473="","",DATE(YEAR(A473),MONTH(A473),1))</f>
        <v/>
      </c>
      <c r="M473" s="52">
        <f>IF(OR(A473="",NOT(ISNUMBER(I473))),"",IF(G473=Lists!$B$5,I473/2,IF(G473=Lists!$B$6,I473,0)))</f>
        <v/>
      </c>
      <c r="N473" s="52">
        <f>IF(OR(A473="",NOT(ISNUMBER(I473))),"",IF(G473=Lists!$B$5,I473/2,IF(G473=Lists!$B$7,I473,0)))</f>
        <v/>
      </c>
      <c r="O473" s="53">
        <f>IF(COUNTA(A473:K473)=0,"",IF(OR(A473="",B473="",C473="",D473="",E473="",F473="",G473="",NOT(ISNUMBER(I473))),"Incomplete",IF(COUNTIF(Lists!$H$4:$AA$4,C473)=0,"Check category",IF(COUNTIF(INDEX(Lists!$H$6:$AA$45,0,MATCH(C473,Lists!$H$4:$AA$4,0)),D473)=0,"Check sub-category","OK"))))</f>
        <v/>
      </c>
      <c r="P473">
        <f>IF(ISNUMBER(I473),I473+ROW()/10000000,"")</f>
        <v/>
      </c>
      <c r="Q473">
        <f>IF(AND(ISNUMBER(P473),ISNUMBER(A473)),IF(AND(A473&gt;=Dashboard!$Q$3,A473&lt;=Dashboard!$Q$4,OR(J473&lt;&gt;"Yes",Dashboard!$Q$15="Yes")),P473,""),"")</f>
        <v/>
      </c>
    </row>
    <row r="474">
      <c r="A474" s="47" t="n"/>
      <c r="B474" s="48" t="n"/>
      <c r="C474" s="48" t="n"/>
      <c r="D474" s="48" t="n"/>
      <c r="E474" s="48" t="n"/>
      <c r="F474" s="48" t="n"/>
      <c r="G474" s="48" t="n"/>
      <c r="H474" s="48" t="n"/>
      <c r="I474" s="49" t="n"/>
      <c r="J474" s="50" t="n"/>
      <c r="K474" s="48" t="n"/>
      <c r="L474" s="51">
        <f>IF(A474="","",DATE(YEAR(A474),MONTH(A474),1))</f>
        <v/>
      </c>
      <c r="M474" s="52">
        <f>IF(OR(A474="",NOT(ISNUMBER(I474))),"",IF(G474=Lists!$B$5,I474/2,IF(G474=Lists!$B$6,I474,0)))</f>
        <v/>
      </c>
      <c r="N474" s="52">
        <f>IF(OR(A474="",NOT(ISNUMBER(I474))),"",IF(G474=Lists!$B$5,I474/2,IF(G474=Lists!$B$7,I474,0)))</f>
        <v/>
      </c>
      <c r="O474" s="53">
        <f>IF(COUNTA(A474:K474)=0,"",IF(OR(A474="",B474="",C474="",D474="",E474="",F474="",G474="",NOT(ISNUMBER(I474))),"Incomplete",IF(COUNTIF(Lists!$H$4:$AA$4,C474)=0,"Check category",IF(COUNTIF(INDEX(Lists!$H$6:$AA$45,0,MATCH(C474,Lists!$H$4:$AA$4,0)),D474)=0,"Check sub-category","OK"))))</f>
        <v/>
      </c>
      <c r="P474">
        <f>IF(ISNUMBER(I474),I474+ROW()/10000000,"")</f>
        <v/>
      </c>
      <c r="Q474">
        <f>IF(AND(ISNUMBER(P474),ISNUMBER(A474)),IF(AND(A474&gt;=Dashboard!$Q$3,A474&lt;=Dashboard!$Q$4,OR(J474&lt;&gt;"Yes",Dashboard!$Q$15="Yes")),P474,""),"")</f>
        <v/>
      </c>
    </row>
    <row r="475">
      <c r="A475" s="47" t="n"/>
      <c r="B475" s="48" t="n"/>
      <c r="C475" s="48" t="n"/>
      <c r="D475" s="48" t="n"/>
      <c r="E475" s="48" t="n"/>
      <c r="F475" s="48" t="n"/>
      <c r="G475" s="48" t="n"/>
      <c r="H475" s="48" t="n"/>
      <c r="I475" s="49" t="n"/>
      <c r="J475" s="50" t="n"/>
      <c r="K475" s="48" t="n"/>
      <c r="L475" s="51">
        <f>IF(A475="","",DATE(YEAR(A475),MONTH(A475),1))</f>
        <v/>
      </c>
      <c r="M475" s="52">
        <f>IF(OR(A475="",NOT(ISNUMBER(I475))),"",IF(G475=Lists!$B$5,I475/2,IF(G475=Lists!$B$6,I475,0)))</f>
        <v/>
      </c>
      <c r="N475" s="52">
        <f>IF(OR(A475="",NOT(ISNUMBER(I475))),"",IF(G475=Lists!$B$5,I475/2,IF(G475=Lists!$B$7,I475,0)))</f>
        <v/>
      </c>
      <c r="O475" s="53">
        <f>IF(COUNTA(A475:K475)=0,"",IF(OR(A475="",B475="",C475="",D475="",E475="",F475="",G475="",NOT(ISNUMBER(I475))),"Incomplete",IF(COUNTIF(Lists!$H$4:$AA$4,C475)=0,"Check category",IF(COUNTIF(INDEX(Lists!$H$6:$AA$45,0,MATCH(C475,Lists!$H$4:$AA$4,0)),D475)=0,"Check sub-category","OK"))))</f>
        <v/>
      </c>
      <c r="P475">
        <f>IF(ISNUMBER(I475),I475+ROW()/10000000,"")</f>
        <v/>
      </c>
      <c r="Q475">
        <f>IF(AND(ISNUMBER(P475),ISNUMBER(A475)),IF(AND(A475&gt;=Dashboard!$Q$3,A475&lt;=Dashboard!$Q$4,OR(J475&lt;&gt;"Yes",Dashboard!$Q$15="Yes")),P475,""),"")</f>
        <v/>
      </c>
    </row>
    <row r="476">
      <c r="A476" s="47" t="n"/>
      <c r="B476" s="48" t="n"/>
      <c r="C476" s="48" t="n"/>
      <c r="D476" s="48" t="n"/>
      <c r="E476" s="48" t="n"/>
      <c r="F476" s="48" t="n"/>
      <c r="G476" s="48" t="n"/>
      <c r="H476" s="48" t="n"/>
      <c r="I476" s="49" t="n"/>
      <c r="J476" s="50" t="n"/>
      <c r="K476" s="48" t="n"/>
      <c r="L476" s="51">
        <f>IF(A476="","",DATE(YEAR(A476),MONTH(A476),1))</f>
        <v/>
      </c>
      <c r="M476" s="52">
        <f>IF(OR(A476="",NOT(ISNUMBER(I476))),"",IF(G476=Lists!$B$5,I476/2,IF(G476=Lists!$B$6,I476,0)))</f>
        <v/>
      </c>
      <c r="N476" s="52">
        <f>IF(OR(A476="",NOT(ISNUMBER(I476))),"",IF(G476=Lists!$B$5,I476/2,IF(G476=Lists!$B$7,I476,0)))</f>
        <v/>
      </c>
      <c r="O476" s="53">
        <f>IF(COUNTA(A476:K476)=0,"",IF(OR(A476="",B476="",C476="",D476="",E476="",F476="",G476="",NOT(ISNUMBER(I476))),"Incomplete",IF(COUNTIF(Lists!$H$4:$AA$4,C476)=0,"Check category",IF(COUNTIF(INDEX(Lists!$H$6:$AA$45,0,MATCH(C476,Lists!$H$4:$AA$4,0)),D476)=0,"Check sub-category","OK"))))</f>
        <v/>
      </c>
      <c r="P476">
        <f>IF(ISNUMBER(I476),I476+ROW()/10000000,"")</f>
        <v/>
      </c>
      <c r="Q476">
        <f>IF(AND(ISNUMBER(P476),ISNUMBER(A476)),IF(AND(A476&gt;=Dashboard!$Q$3,A476&lt;=Dashboard!$Q$4,OR(J476&lt;&gt;"Yes",Dashboard!$Q$15="Yes")),P476,""),"")</f>
        <v/>
      </c>
    </row>
    <row r="477">
      <c r="A477" s="47" t="n"/>
      <c r="B477" s="48" t="n"/>
      <c r="C477" s="48" t="n"/>
      <c r="D477" s="48" t="n"/>
      <c r="E477" s="48" t="n"/>
      <c r="F477" s="48" t="n"/>
      <c r="G477" s="48" t="n"/>
      <c r="H477" s="48" t="n"/>
      <c r="I477" s="49" t="n"/>
      <c r="J477" s="50" t="n"/>
      <c r="K477" s="48" t="n"/>
      <c r="L477" s="51">
        <f>IF(A477="","",DATE(YEAR(A477),MONTH(A477),1))</f>
        <v/>
      </c>
      <c r="M477" s="52">
        <f>IF(OR(A477="",NOT(ISNUMBER(I477))),"",IF(G477=Lists!$B$5,I477/2,IF(G477=Lists!$B$6,I477,0)))</f>
        <v/>
      </c>
      <c r="N477" s="52">
        <f>IF(OR(A477="",NOT(ISNUMBER(I477))),"",IF(G477=Lists!$B$5,I477/2,IF(G477=Lists!$B$7,I477,0)))</f>
        <v/>
      </c>
      <c r="O477" s="53">
        <f>IF(COUNTA(A477:K477)=0,"",IF(OR(A477="",B477="",C477="",D477="",E477="",F477="",G477="",NOT(ISNUMBER(I477))),"Incomplete",IF(COUNTIF(Lists!$H$4:$AA$4,C477)=0,"Check category",IF(COUNTIF(INDEX(Lists!$H$6:$AA$45,0,MATCH(C477,Lists!$H$4:$AA$4,0)),D477)=0,"Check sub-category","OK"))))</f>
        <v/>
      </c>
      <c r="P477">
        <f>IF(ISNUMBER(I477),I477+ROW()/10000000,"")</f>
        <v/>
      </c>
      <c r="Q477">
        <f>IF(AND(ISNUMBER(P477),ISNUMBER(A477)),IF(AND(A477&gt;=Dashboard!$Q$3,A477&lt;=Dashboard!$Q$4,OR(J477&lt;&gt;"Yes",Dashboard!$Q$15="Yes")),P477,""),"")</f>
        <v/>
      </c>
    </row>
    <row r="478">
      <c r="A478" s="47" t="n"/>
      <c r="B478" s="48" t="n"/>
      <c r="C478" s="48" t="n"/>
      <c r="D478" s="48" t="n"/>
      <c r="E478" s="48" t="n"/>
      <c r="F478" s="48" t="n"/>
      <c r="G478" s="48" t="n"/>
      <c r="H478" s="48" t="n"/>
      <c r="I478" s="49" t="n"/>
      <c r="J478" s="50" t="n"/>
      <c r="K478" s="48" t="n"/>
      <c r="L478" s="51">
        <f>IF(A478="","",DATE(YEAR(A478),MONTH(A478),1))</f>
        <v/>
      </c>
      <c r="M478" s="52">
        <f>IF(OR(A478="",NOT(ISNUMBER(I478))),"",IF(G478=Lists!$B$5,I478/2,IF(G478=Lists!$B$6,I478,0)))</f>
        <v/>
      </c>
      <c r="N478" s="52">
        <f>IF(OR(A478="",NOT(ISNUMBER(I478))),"",IF(G478=Lists!$B$5,I478/2,IF(G478=Lists!$B$7,I478,0)))</f>
        <v/>
      </c>
      <c r="O478" s="53">
        <f>IF(COUNTA(A478:K478)=0,"",IF(OR(A478="",B478="",C478="",D478="",E478="",F478="",G478="",NOT(ISNUMBER(I478))),"Incomplete",IF(COUNTIF(Lists!$H$4:$AA$4,C478)=0,"Check category",IF(COUNTIF(INDEX(Lists!$H$6:$AA$45,0,MATCH(C478,Lists!$H$4:$AA$4,0)),D478)=0,"Check sub-category","OK"))))</f>
        <v/>
      </c>
      <c r="P478">
        <f>IF(ISNUMBER(I478),I478+ROW()/10000000,"")</f>
        <v/>
      </c>
      <c r="Q478">
        <f>IF(AND(ISNUMBER(P478),ISNUMBER(A478)),IF(AND(A478&gt;=Dashboard!$Q$3,A478&lt;=Dashboard!$Q$4,OR(J478&lt;&gt;"Yes",Dashboard!$Q$15="Yes")),P478,""),"")</f>
        <v/>
      </c>
    </row>
    <row r="479">
      <c r="A479" s="47" t="n"/>
      <c r="B479" s="48" t="n"/>
      <c r="C479" s="48" t="n"/>
      <c r="D479" s="48" t="n"/>
      <c r="E479" s="48" t="n"/>
      <c r="F479" s="48" t="n"/>
      <c r="G479" s="48" t="n"/>
      <c r="H479" s="48" t="n"/>
      <c r="I479" s="49" t="n"/>
      <c r="J479" s="50" t="n"/>
      <c r="K479" s="48" t="n"/>
      <c r="L479" s="51">
        <f>IF(A479="","",DATE(YEAR(A479),MONTH(A479),1))</f>
        <v/>
      </c>
      <c r="M479" s="52">
        <f>IF(OR(A479="",NOT(ISNUMBER(I479))),"",IF(G479=Lists!$B$5,I479/2,IF(G479=Lists!$B$6,I479,0)))</f>
        <v/>
      </c>
      <c r="N479" s="52">
        <f>IF(OR(A479="",NOT(ISNUMBER(I479))),"",IF(G479=Lists!$B$5,I479/2,IF(G479=Lists!$B$7,I479,0)))</f>
        <v/>
      </c>
      <c r="O479" s="53">
        <f>IF(COUNTA(A479:K479)=0,"",IF(OR(A479="",B479="",C479="",D479="",E479="",F479="",G479="",NOT(ISNUMBER(I479))),"Incomplete",IF(COUNTIF(Lists!$H$4:$AA$4,C479)=0,"Check category",IF(COUNTIF(INDEX(Lists!$H$6:$AA$45,0,MATCH(C479,Lists!$H$4:$AA$4,0)),D479)=0,"Check sub-category","OK"))))</f>
        <v/>
      </c>
      <c r="P479">
        <f>IF(ISNUMBER(I479),I479+ROW()/10000000,"")</f>
        <v/>
      </c>
      <c r="Q479">
        <f>IF(AND(ISNUMBER(P479),ISNUMBER(A479)),IF(AND(A479&gt;=Dashboard!$Q$3,A479&lt;=Dashboard!$Q$4,OR(J479&lt;&gt;"Yes",Dashboard!$Q$15="Yes")),P479,""),"")</f>
        <v/>
      </c>
    </row>
    <row r="480">
      <c r="A480" s="47" t="n"/>
      <c r="B480" s="48" t="n"/>
      <c r="C480" s="48" t="n"/>
      <c r="D480" s="48" t="n"/>
      <c r="E480" s="48" t="n"/>
      <c r="F480" s="48" t="n"/>
      <c r="G480" s="48" t="n"/>
      <c r="H480" s="48" t="n"/>
      <c r="I480" s="49" t="n"/>
      <c r="J480" s="50" t="n"/>
      <c r="K480" s="48" t="n"/>
      <c r="L480" s="51">
        <f>IF(A480="","",DATE(YEAR(A480),MONTH(A480),1))</f>
        <v/>
      </c>
      <c r="M480" s="52">
        <f>IF(OR(A480="",NOT(ISNUMBER(I480))),"",IF(G480=Lists!$B$5,I480/2,IF(G480=Lists!$B$6,I480,0)))</f>
        <v/>
      </c>
      <c r="N480" s="52">
        <f>IF(OR(A480="",NOT(ISNUMBER(I480))),"",IF(G480=Lists!$B$5,I480/2,IF(G480=Lists!$B$7,I480,0)))</f>
        <v/>
      </c>
      <c r="O480" s="53">
        <f>IF(COUNTA(A480:K480)=0,"",IF(OR(A480="",B480="",C480="",D480="",E480="",F480="",G480="",NOT(ISNUMBER(I480))),"Incomplete",IF(COUNTIF(Lists!$H$4:$AA$4,C480)=0,"Check category",IF(COUNTIF(INDEX(Lists!$H$6:$AA$45,0,MATCH(C480,Lists!$H$4:$AA$4,0)),D480)=0,"Check sub-category","OK"))))</f>
        <v/>
      </c>
      <c r="P480">
        <f>IF(ISNUMBER(I480),I480+ROW()/10000000,"")</f>
        <v/>
      </c>
      <c r="Q480">
        <f>IF(AND(ISNUMBER(P480),ISNUMBER(A480)),IF(AND(A480&gt;=Dashboard!$Q$3,A480&lt;=Dashboard!$Q$4,OR(J480&lt;&gt;"Yes",Dashboard!$Q$15="Yes")),P480,""),"")</f>
        <v/>
      </c>
    </row>
    <row r="481">
      <c r="A481" s="47" t="n"/>
      <c r="B481" s="48" t="n"/>
      <c r="C481" s="48" t="n"/>
      <c r="D481" s="48" t="n"/>
      <c r="E481" s="48" t="n"/>
      <c r="F481" s="48" t="n"/>
      <c r="G481" s="48" t="n"/>
      <c r="H481" s="48" t="n"/>
      <c r="I481" s="49" t="n"/>
      <c r="J481" s="50" t="n"/>
      <c r="K481" s="48" t="n"/>
      <c r="L481" s="51">
        <f>IF(A481="","",DATE(YEAR(A481),MONTH(A481),1))</f>
        <v/>
      </c>
      <c r="M481" s="52">
        <f>IF(OR(A481="",NOT(ISNUMBER(I481))),"",IF(G481=Lists!$B$5,I481/2,IF(G481=Lists!$B$6,I481,0)))</f>
        <v/>
      </c>
      <c r="N481" s="52">
        <f>IF(OR(A481="",NOT(ISNUMBER(I481))),"",IF(G481=Lists!$B$5,I481/2,IF(G481=Lists!$B$7,I481,0)))</f>
        <v/>
      </c>
      <c r="O481" s="53">
        <f>IF(COUNTA(A481:K481)=0,"",IF(OR(A481="",B481="",C481="",D481="",E481="",F481="",G481="",NOT(ISNUMBER(I481))),"Incomplete",IF(COUNTIF(Lists!$H$4:$AA$4,C481)=0,"Check category",IF(COUNTIF(INDEX(Lists!$H$6:$AA$45,0,MATCH(C481,Lists!$H$4:$AA$4,0)),D481)=0,"Check sub-category","OK"))))</f>
        <v/>
      </c>
      <c r="P481">
        <f>IF(ISNUMBER(I481),I481+ROW()/10000000,"")</f>
        <v/>
      </c>
      <c r="Q481">
        <f>IF(AND(ISNUMBER(P481),ISNUMBER(A481)),IF(AND(A481&gt;=Dashboard!$Q$3,A481&lt;=Dashboard!$Q$4,OR(J481&lt;&gt;"Yes",Dashboard!$Q$15="Yes")),P481,""),"")</f>
        <v/>
      </c>
    </row>
    <row r="482">
      <c r="A482" s="47" t="n"/>
      <c r="B482" s="48" t="n"/>
      <c r="C482" s="48" t="n"/>
      <c r="D482" s="48" t="n"/>
      <c r="E482" s="48" t="n"/>
      <c r="F482" s="48" t="n"/>
      <c r="G482" s="48" t="n"/>
      <c r="H482" s="48" t="n"/>
      <c r="I482" s="49" t="n"/>
      <c r="J482" s="50" t="n"/>
      <c r="K482" s="48" t="n"/>
      <c r="L482" s="51">
        <f>IF(A482="","",DATE(YEAR(A482),MONTH(A482),1))</f>
        <v/>
      </c>
      <c r="M482" s="52">
        <f>IF(OR(A482="",NOT(ISNUMBER(I482))),"",IF(G482=Lists!$B$5,I482/2,IF(G482=Lists!$B$6,I482,0)))</f>
        <v/>
      </c>
      <c r="N482" s="52">
        <f>IF(OR(A482="",NOT(ISNUMBER(I482))),"",IF(G482=Lists!$B$5,I482/2,IF(G482=Lists!$B$7,I482,0)))</f>
        <v/>
      </c>
      <c r="O482" s="53">
        <f>IF(COUNTA(A482:K482)=0,"",IF(OR(A482="",B482="",C482="",D482="",E482="",F482="",G482="",NOT(ISNUMBER(I482))),"Incomplete",IF(COUNTIF(Lists!$H$4:$AA$4,C482)=0,"Check category",IF(COUNTIF(INDEX(Lists!$H$6:$AA$45,0,MATCH(C482,Lists!$H$4:$AA$4,0)),D482)=0,"Check sub-category","OK"))))</f>
        <v/>
      </c>
      <c r="P482">
        <f>IF(ISNUMBER(I482),I482+ROW()/10000000,"")</f>
        <v/>
      </c>
      <c r="Q482">
        <f>IF(AND(ISNUMBER(P482),ISNUMBER(A482)),IF(AND(A482&gt;=Dashboard!$Q$3,A482&lt;=Dashboard!$Q$4,OR(J482&lt;&gt;"Yes",Dashboard!$Q$15="Yes")),P482,""),"")</f>
        <v/>
      </c>
    </row>
    <row r="483">
      <c r="A483" s="47" t="n"/>
      <c r="B483" s="48" t="n"/>
      <c r="C483" s="48" t="n"/>
      <c r="D483" s="48" t="n"/>
      <c r="E483" s="48" t="n"/>
      <c r="F483" s="48" t="n"/>
      <c r="G483" s="48" t="n"/>
      <c r="H483" s="48" t="n"/>
      <c r="I483" s="49" t="n"/>
      <c r="J483" s="50" t="n"/>
      <c r="K483" s="48" t="n"/>
      <c r="L483" s="51">
        <f>IF(A483="","",DATE(YEAR(A483),MONTH(A483),1))</f>
        <v/>
      </c>
      <c r="M483" s="52">
        <f>IF(OR(A483="",NOT(ISNUMBER(I483))),"",IF(G483=Lists!$B$5,I483/2,IF(G483=Lists!$B$6,I483,0)))</f>
        <v/>
      </c>
      <c r="N483" s="52">
        <f>IF(OR(A483="",NOT(ISNUMBER(I483))),"",IF(G483=Lists!$B$5,I483/2,IF(G483=Lists!$B$7,I483,0)))</f>
        <v/>
      </c>
      <c r="O483" s="53">
        <f>IF(COUNTA(A483:K483)=0,"",IF(OR(A483="",B483="",C483="",D483="",E483="",F483="",G483="",NOT(ISNUMBER(I483))),"Incomplete",IF(COUNTIF(Lists!$H$4:$AA$4,C483)=0,"Check category",IF(COUNTIF(INDEX(Lists!$H$6:$AA$45,0,MATCH(C483,Lists!$H$4:$AA$4,0)),D483)=0,"Check sub-category","OK"))))</f>
        <v/>
      </c>
      <c r="P483">
        <f>IF(ISNUMBER(I483),I483+ROW()/10000000,"")</f>
        <v/>
      </c>
      <c r="Q483">
        <f>IF(AND(ISNUMBER(P483),ISNUMBER(A483)),IF(AND(A483&gt;=Dashboard!$Q$3,A483&lt;=Dashboard!$Q$4,OR(J483&lt;&gt;"Yes",Dashboard!$Q$15="Yes")),P483,""),"")</f>
        <v/>
      </c>
    </row>
    <row r="484">
      <c r="A484" s="47" t="n"/>
      <c r="B484" s="48" t="n"/>
      <c r="C484" s="48" t="n"/>
      <c r="D484" s="48" t="n"/>
      <c r="E484" s="48" t="n"/>
      <c r="F484" s="48" t="n"/>
      <c r="G484" s="48" t="n"/>
      <c r="H484" s="48" t="n"/>
      <c r="I484" s="49" t="n"/>
      <c r="J484" s="50" t="n"/>
      <c r="K484" s="48" t="n"/>
      <c r="L484" s="51">
        <f>IF(A484="","",DATE(YEAR(A484),MONTH(A484),1))</f>
        <v/>
      </c>
      <c r="M484" s="52">
        <f>IF(OR(A484="",NOT(ISNUMBER(I484))),"",IF(G484=Lists!$B$5,I484/2,IF(G484=Lists!$B$6,I484,0)))</f>
        <v/>
      </c>
      <c r="N484" s="52">
        <f>IF(OR(A484="",NOT(ISNUMBER(I484))),"",IF(G484=Lists!$B$5,I484/2,IF(G484=Lists!$B$7,I484,0)))</f>
        <v/>
      </c>
      <c r="O484" s="53">
        <f>IF(COUNTA(A484:K484)=0,"",IF(OR(A484="",B484="",C484="",D484="",E484="",F484="",G484="",NOT(ISNUMBER(I484))),"Incomplete",IF(COUNTIF(Lists!$H$4:$AA$4,C484)=0,"Check category",IF(COUNTIF(INDEX(Lists!$H$6:$AA$45,0,MATCH(C484,Lists!$H$4:$AA$4,0)),D484)=0,"Check sub-category","OK"))))</f>
        <v/>
      </c>
      <c r="P484">
        <f>IF(ISNUMBER(I484),I484+ROW()/10000000,"")</f>
        <v/>
      </c>
      <c r="Q484">
        <f>IF(AND(ISNUMBER(P484),ISNUMBER(A484)),IF(AND(A484&gt;=Dashboard!$Q$3,A484&lt;=Dashboard!$Q$4,OR(J484&lt;&gt;"Yes",Dashboard!$Q$15="Yes")),P484,""),"")</f>
        <v/>
      </c>
    </row>
    <row r="485">
      <c r="A485" s="47" t="n"/>
      <c r="B485" s="48" t="n"/>
      <c r="C485" s="48" t="n"/>
      <c r="D485" s="48" t="n"/>
      <c r="E485" s="48" t="n"/>
      <c r="F485" s="48" t="n"/>
      <c r="G485" s="48" t="n"/>
      <c r="H485" s="48" t="n"/>
      <c r="I485" s="49" t="n"/>
      <c r="J485" s="50" t="n"/>
      <c r="K485" s="48" t="n"/>
      <c r="L485" s="51">
        <f>IF(A485="","",DATE(YEAR(A485),MONTH(A485),1))</f>
        <v/>
      </c>
      <c r="M485" s="52">
        <f>IF(OR(A485="",NOT(ISNUMBER(I485))),"",IF(G485=Lists!$B$5,I485/2,IF(G485=Lists!$B$6,I485,0)))</f>
        <v/>
      </c>
      <c r="N485" s="52">
        <f>IF(OR(A485="",NOT(ISNUMBER(I485))),"",IF(G485=Lists!$B$5,I485/2,IF(G485=Lists!$B$7,I485,0)))</f>
        <v/>
      </c>
      <c r="O485" s="53">
        <f>IF(COUNTA(A485:K485)=0,"",IF(OR(A485="",B485="",C485="",D485="",E485="",F485="",G485="",NOT(ISNUMBER(I485))),"Incomplete",IF(COUNTIF(Lists!$H$4:$AA$4,C485)=0,"Check category",IF(COUNTIF(INDEX(Lists!$H$6:$AA$45,0,MATCH(C485,Lists!$H$4:$AA$4,0)),D485)=0,"Check sub-category","OK"))))</f>
        <v/>
      </c>
      <c r="P485">
        <f>IF(ISNUMBER(I485),I485+ROW()/10000000,"")</f>
        <v/>
      </c>
      <c r="Q485">
        <f>IF(AND(ISNUMBER(P485),ISNUMBER(A485)),IF(AND(A485&gt;=Dashboard!$Q$3,A485&lt;=Dashboard!$Q$4,OR(J485&lt;&gt;"Yes",Dashboard!$Q$15="Yes")),P485,""),"")</f>
        <v/>
      </c>
    </row>
    <row r="486">
      <c r="A486" s="47" t="n"/>
      <c r="B486" s="48" t="n"/>
      <c r="C486" s="48" t="n"/>
      <c r="D486" s="48" t="n"/>
      <c r="E486" s="48" t="n"/>
      <c r="F486" s="48" t="n"/>
      <c r="G486" s="48" t="n"/>
      <c r="H486" s="48" t="n"/>
      <c r="I486" s="49" t="n"/>
      <c r="J486" s="50" t="n"/>
      <c r="K486" s="48" t="n"/>
      <c r="L486" s="51">
        <f>IF(A486="","",DATE(YEAR(A486),MONTH(A486),1))</f>
        <v/>
      </c>
      <c r="M486" s="52">
        <f>IF(OR(A486="",NOT(ISNUMBER(I486))),"",IF(G486=Lists!$B$5,I486/2,IF(G486=Lists!$B$6,I486,0)))</f>
        <v/>
      </c>
      <c r="N486" s="52">
        <f>IF(OR(A486="",NOT(ISNUMBER(I486))),"",IF(G486=Lists!$B$5,I486/2,IF(G486=Lists!$B$7,I486,0)))</f>
        <v/>
      </c>
      <c r="O486" s="53">
        <f>IF(COUNTA(A486:K486)=0,"",IF(OR(A486="",B486="",C486="",D486="",E486="",F486="",G486="",NOT(ISNUMBER(I486))),"Incomplete",IF(COUNTIF(Lists!$H$4:$AA$4,C486)=0,"Check category",IF(COUNTIF(INDEX(Lists!$H$6:$AA$45,0,MATCH(C486,Lists!$H$4:$AA$4,0)),D486)=0,"Check sub-category","OK"))))</f>
        <v/>
      </c>
      <c r="P486">
        <f>IF(ISNUMBER(I486),I486+ROW()/10000000,"")</f>
        <v/>
      </c>
      <c r="Q486">
        <f>IF(AND(ISNUMBER(P486),ISNUMBER(A486)),IF(AND(A486&gt;=Dashboard!$Q$3,A486&lt;=Dashboard!$Q$4,OR(J486&lt;&gt;"Yes",Dashboard!$Q$15="Yes")),P486,""),"")</f>
        <v/>
      </c>
    </row>
    <row r="487">
      <c r="A487" s="47" t="n"/>
      <c r="B487" s="48" t="n"/>
      <c r="C487" s="48" t="n"/>
      <c r="D487" s="48" t="n"/>
      <c r="E487" s="48" t="n"/>
      <c r="F487" s="48" t="n"/>
      <c r="G487" s="48" t="n"/>
      <c r="H487" s="48" t="n"/>
      <c r="I487" s="49" t="n"/>
      <c r="J487" s="50" t="n"/>
      <c r="K487" s="48" t="n"/>
      <c r="L487" s="51">
        <f>IF(A487="","",DATE(YEAR(A487),MONTH(A487),1))</f>
        <v/>
      </c>
      <c r="M487" s="52">
        <f>IF(OR(A487="",NOT(ISNUMBER(I487))),"",IF(G487=Lists!$B$5,I487/2,IF(G487=Lists!$B$6,I487,0)))</f>
        <v/>
      </c>
      <c r="N487" s="52">
        <f>IF(OR(A487="",NOT(ISNUMBER(I487))),"",IF(G487=Lists!$B$5,I487/2,IF(G487=Lists!$B$7,I487,0)))</f>
        <v/>
      </c>
      <c r="O487" s="53">
        <f>IF(COUNTA(A487:K487)=0,"",IF(OR(A487="",B487="",C487="",D487="",E487="",F487="",G487="",NOT(ISNUMBER(I487))),"Incomplete",IF(COUNTIF(Lists!$H$4:$AA$4,C487)=0,"Check category",IF(COUNTIF(INDEX(Lists!$H$6:$AA$45,0,MATCH(C487,Lists!$H$4:$AA$4,0)),D487)=0,"Check sub-category","OK"))))</f>
        <v/>
      </c>
      <c r="P487">
        <f>IF(ISNUMBER(I487),I487+ROW()/10000000,"")</f>
        <v/>
      </c>
      <c r="Q487">
        <f>IF(AND(ISNUMBER(P487),ISNUMBER(A487)),IF(AND(A487&gt;=Dashboard!$Q$3,A487&lt;=Dashboard!$Q$4,OR(J487&lt;&gt;"Yes",Dashboard!$Q$15="Yes")),P487,""),"")</f>
        <v/>
      </c>
    </row>
    <row r="488">
      <c r="A488" s="47" t="n"/>
      <c r="B488" s="48" t="n"/>
      <c r="C488" s="48" t="n"/>
      <c r="D488" s="48" t="n"/>
      <c r="E488" s="48" t="n"/>
      <c r="F488" s="48" t="n"/>
      <c r="G488" s="48" t="n"/>
      <c r="H488" s="48" t="n"/>
      <c r="I488" s="49" t="n"/>
      <c r="J488" s="50" t="n"/>
      <c r="K488" s="48" t="n"/>
      <c r="L488" s="51">
        <f>IF(A488="","",DATE(YEAR(A488),MONTH(A488),1))</f>
        <v/>
      </c>
      <c r="M488" s="52">
        <f>IF(OR(A488="",NOT(ISNUMBER(I488))),"",IF(G488=Lists!$B$5,I488/2,IF(G488=Lists!$B$6,I488,0)))</f>
        <v/>
      </c>
      <c r="N488" s="52">
        <f>IF(OR(A488="",NOT(ISNUMBER(I488))),"",IF(G488=Lists!$B$5,I488/2,IF(G488=Lists!$B$7,I488,0)))</f>
        <v/>
      </c>
      <c r="O488" s="53">
        <f>IF(COUNTA(A488:K488)=0,"",IF(OR(A488="",B488="",C488="",D488="",E488="",F488="",G488="",NOT(ISNUMBER(I488))),"Incomplete",IF(COUNTIF(Lists!$H$4:$AA$4,C488)=0,"Check category",IF(COUNTIF(INDEX(Lists!$H$6:$AA$45,0,MATCH(C488,Lists!$H$4:$AA$4,0)),D488)=0,"Check sub-category","OK"))))</f>
        <v/>
      </c>
      <c r="P488">
        <f>IF(ISNUMBER(I488),I488+ROW()/10000000,"")</f>
        <v/>
      </c>
      <c r="Q488">
        <f>IF(AND(ISNUMBER(P488),ISNUMBER(A488)),IF(AND(A488&gt;=Dashboard!$Q$3,A488&lt;=Dashboard!$Q$4,OR(J488&lt;&gt;"Yes",Dashboard!$Q$15="Yes")),P488,""),"")</f>
        <v/>
      </c>
    </row>
    <row r="489">
      <c r="A489" s="47" t="n"/>
      <c r="B489" s="48" t="n"/>
      <c r="C489" s="48" t="n"/>
      <c r="D489" s="48" t="n"/>
      <c r="E489" s="48" t="n"/>
      <c r="F489" s="48" t="n"/>
      <c r="G489" s="48" t="n"/>
      <c r="H489" s="48" t="n"/>
      <c r="I489" s="49" t="n"/>
      <c r="J489" s="50" t="n"/>
      <c r="K489" s="48" t="n"/>
      <c r="L489" s="51">
        <f>IF(A489="","",DATE(YEAR(A489),MONTH(A489),1))</f>
        <v/>
      </c>
      <c r="M489" s="52">
        <f>IF(OR(A489="",NOT(ISNUMBER(I489))),"",IF(G489=Lists!$B$5,I489/2,IF(G489=Lists!$B$6,I489,0)))</f>
        <v/>
      </c>
      <c r="N489" s="52">
        <f>IF(OR(A489="",NOT(ISNUMBER(I489))),"",IF(G489=Lists!$B$5,I489/2,IF(G489=Lists!$B$7,I489,0)))</f>
        <v/>
      </c>
      <c r="O489" s="53">
        <f>IF(COUNTA(A489:K489)=0,"",IF(OR(A489="",B489="",C489="",D489="",E489="",F489="",G489="",NOT(ISNUMBER(I489))),"Incomplete",IF(COUNTIF(Lists!$H$4:$AA$4,C489)=0,"Check category",IF(COUNTIF(INDEX(Lists!$H$6:$AA$45,0,MATCH(C489,Lists!$H$4:$AA$4,0)),D489)=0,"Check sub-category","OK"))))</f>
        <v/>
      </c>
      <c r="P489">
        <f>IF(ISNUMBER(I489),I489+ROW()/10000000,"")</f>
        <v/>
      </c>
      <c r="Q489">
        <f>IF(AND(ISNUMBER(P489),ISNUMBER(A489)),IF(AND(A489&gt;=Dashboard!$Q$3,A489&lt;=Dashboard!$Q$4,OR(J489&lt;&gt;"Yes",Dashboard!$Q$15="Yes")),P489,""),"")</f>
        <v/>
      </c>
    </row>
    <row r="490">
      <c r="A490" s="47" t="n"/>
      <c r="B490" s="48" t="n"/>
      <c r="C490" s="48" t="n"/>
      <c r="D490" s="48" t="n"/>
      <c r="E490" s="48" t="n"/>
      <c r="F490" s="48" t="n"/>
      <c r="G490" s="48" t="n"/>
      <c r="H490" s="48" t="n"/>
      <c r="I490" s="49" t="n"/>
      <c r="J490" s="50" t="n"/>
      <c r="K490" s="48" t="n"/>
      <c r="L490" s="51">
        <f>IF(A490="","",DATE(YEAR(A490),MONTH(A490),1))</f>
        <v/>
      </c>
      <c r="M490" s="52">
        <f>IF(OR(A490="",NOT(ISNUMBER(I490))),"",IF(G490=Lists!$B$5,I490/2,IF(G490=Lists!$B$6,I490,0)))</f>
        <v/>
      </c>
      <c r="N490" s="52">
        <f>IF(OR(A490="",NOT(ISNUMBER(I490))),"",IF(G490=Lists!$B$5,I490/2,IF(G490=Lists!$B$7,I490,0)))</f>
        <v/>
      </c>
      <c r="O490" s="53">
        <f>IF(COUNTA(A490:K490)=0,"",IF(OR(A490="",B490="",C490="",D490="",E490="",F490="",G490="",NOT(ISNUMBER(I490))),"Incomplete",IF(COUNTIF(Lists!$H$4:$AA$4,C490)=0,"Check category",IF(COUNTIF(INDEX(Lists!$H$6:$AA$45,0,MATCH(C490,Lists!$H$4:$AA$4,0)),D490)=0,"Check sub-category","OK"))))</f>
        <v/>
      </c>
      <c r="P490">
        <f>IF(ISNUMBER(I490),I490+ROW()/10000000,"")</f>
        <v/>
      </c>
      <c r="Q490">
        <f>IF(AND(ISNUMBER(P490),ISNUMBER(A490)),IF(AND(A490&gt;=Dashboard!$Q$3,A490&lt;=Dashboard!$Q$4,OR(J490&lt;&gt;"Yes",Dashboard!$Q$15="Yes")),P490,""),"")</f>
        <v/>
      </c>
    </row>
    <row r="491">
      <c r="A491" s="47" t="n"/>
      <c r="B491" s="48" t="n"/>
      <c r="C491" s="48" t="n"/>
      <c r="D491" s="48" t="n"/>
      <c r="E491" s="48" t="n"/>
      <c r="F491" s="48" t="n"/>
      <c r="G491" s="48" t="n"/>
      <c r="H491" s="48" t="n"/>
      <c r="I491" s="49" t="n"/>
      <c r="J491" s="50" t="n"/>
      <c r="K491" s="48" t="n"/>
      <c r="L491" s="51">
        <f>IF(A491="","",DATE(YEAR(A491),MONTH(A491),1))</f>
        <v/>
      </c>
      <c r="M491" s="52">
        <f>IF(OR(A491="",NOT(ISNUMBER(I491))),"",IF(G491=Lists!$B$5,I491/2,IF(G491=Lists!$B$6,I491,0)))</f>
        <v/>
      </c>
      <c r="N491" s="52">
        <f>IF(OR(A491="",NOT(ISNUMBER(I491))),"",IF(G491=Lists!$B$5,I491/2,IF(G491=Lists!$B$7,I491,0)))</f>
        <v/>
      </c>
      <c r="O491" s="53">
        <f>IF(COUNTA(A491:K491)=0,"",IF(OR(A491="",B491="",C491="",D491="",E491="",F491="",G491="",NOT(ISNUMBER(I491))),"Incomplete",IF(COUNTIF(Lists!$H$4:$AA$4,C491)=0,"Check category",IF(COUNTIF(INDEX(Lists!$H$6:$AA$45,0,MATCH(C491,Lists!$H$4:$AA$4,0)),D491)=0,"Check sub-category","OK"))))</f>
        <v/>
      </c>
      <c r="P491">
        <f>IF(ISNUMBER(I491),I491+ROW()/10000000,"")</f>
        <v/>
      </c>
      <c r="Q491">
        <f>IF(AND(ISNUMBER(P491),ISNUMBER(A491)),IF(AND(A491&gt;=Dashboard!$Q$3,A491&lt;=Dashboard!$Q$4,OR(J491&lt;&gt;"Yes",Dashboard!$Q$15="Yes")),P491,""),"")</f>
        <v/>
      </c>
    </row>
    <row r="492">
      <c r="A492" s="47" t="n"/>
      <c r="B492" s="48" t="n"/>
      <c r="C492" s="48" t="n"/>
      <c r="D492" s="48" t="n"/>
      <c r="E492" s="48" t="n"/>
      <c r="F492" s="48" t="n"/>
      <c r="G492" s="48" t="n"/>
      <c r="H492" s="48" t="n"/>
      <c r="I492" s="49" t="n"/>
      <c r="J492" s="50" t="n"/>
      <c r="K492" s="48" t="n"/>
      <c r="L492" s="51">
        <f>IF(A492="","",DATE(YEAR(A492),MONTH(A492),1))</f>
        <v/>
      </c>
      <c r="M492" s="52">
        <f>IF(OR(A492="",NOT(ISNUMBER(I492))),"",IF(G492=Lists!$B$5,I492/2,IF(G492=Lists!$B$6,I492,0)))</f>
        <v/>
      </c>
      <c r="N492" s="52">
        <f>IF(OR(A492="",NOT(ISNUMBER(I492))),"",IF(G492=Lists!$B$5,I492/2,IF(G492=Lists!$B$7,I492,0)))</f>
        <v/>
      </c>
      <c r="O492" s="53">
        <f>IF(COUNTA(A492:K492)=0,"",IF(OR(A492="",B492="",C492="",D492="",E492="",F492="",G492="",NOT(ISNUMBER(I492))),"Incomplete",IF(COUNTIF(Lists!$H$4:$AA$4,C492)=0,"Check category",IF(COUNTIF(INDEX(Lists!$H$6:$AA$45,0,MATCH(C492,Lists!$H$4:$AA$4,0)),D492)=0,"Check sub-category","OK"))))</f>
        <v/>
      </c>
      <c r="P492">
        <f>IF(ISNUMBER(I492),I492+ROW()/10000000,"")</f>
        <v/>
      </c>
      <c r="Q492">
        <f>IF(AND(ISNUMBER(P492),ISNUMBER(A492)),IF(AND(A492&gt;=Dashboard!$Q$3,A492&lt;=Dashboard!$Q$4,OR(J492&lt;&gt;"Yes",Dashboard!$Q$15="Yes")),P492,""),"")</f>
        <v/>
      </c>
    </row>
    <row r="493">
      <c r="A493" s="47" t="n"/>
      <c r="B493" s="48" t="n"/>
      <c r="C493" s="48" t="n"/>
      <c r="D493" s="48" t="n"/>
      <c r="E493" s="48" t="n"/>
      <c r="F493" s="48" t="n"/>
      <c r="G493" s="48" t="n"/>
      <c r="H493" s="48" t="n"/>
      <c r="I493" s="49" t="n"/>
      <c r="J493" s="50" t="n"/>
      <c r="K493" s="48" t="n"/>
      <c r="L493" s="51">
        <f>IF(A493="","",DATE(YEAR(A493),MONTH(A493),1))</f>
        <v/>
      </c>
      <c r="M493" s="52">
        <f>IF(OR(A493="",NOT(ISNUMBER(I493))),"",IF(G493=Lists!$B$5,I493/2,IF(G493=Lists!$B$6,I493,0)))</f>
        <v/>
      </c>
      <c r="N493" s="52">
        <f>IF(OR(A493="",NOT(ISNUMBER(I493))),"",IF(G493=Lists!$B$5,I493/2,IF(G493=Lists!$B$7,I493,0)))</f>
        <v/>
      </c>
      <c r="O493" s="53">
        <f>IF(COUNTA(A493:K493)=0,"",IF(OR(A493="",B493="",C493="",D493="",E493="",F493="",G493="",NOT(ISNUMBER(I493))),"Incomplete",IF(COUNTIF(Lists!$H$4:$AA$4,C493)=0,"Check category",IF(COUNTIF(INDEX(Lists!$H$6:$AA$45,0,MATCH(C493,Lists!$H$4:$AA$4,0)),D493)=0,"Check sub-category","OK"))))</f>
        <v/>
      </c>
      <c r="P493">
        <f>IF(ISNUMBER(I493),I493+ROW()/10000000,"")</f>
        <v/>
      </c>
      <c r="Q493">
        <f>IF(AND(ISNUMBER(P493),ISNUMBER(A493)),IF(AND(A493&gt;=Dashboard!$Q$3,A493&lt;=Dashboard!$Q$4,OR(J493&lt;&gt;"Yes",Dashboard!$Q$15="Yes")),P493,""),"")</f>
        <v/>
      </c>
    </row>
    <row r="494">
      <c r="A494" s="47" t="n"/>
      <c r="B494" s="48" t="n"/>
      <c r="C494" s="48" t="n"/>
      <c r="D494" s="48" t="n"/>
      <c r="E494" s="48" t="n"/>
      <c r="F494" s="48" t="n"/>
      <c r="G494" s="48" t="n"/>
      <c r="H494" s="48" t="n"/>
      <c r="I494" s="49" t="n"/>
      <c r="J494" s="50" t="n"/>
      <c r="K494" s="48" t="n"/>
      <c r="L494" s="51">
        <f>IF(A494="","",DATE(YEAR(A494),MONTH(A494),1))</f>
        <v/>
      </c>
      <c r="M494" s="52">
        <f>IF(OR(A494="",NOT(ISNUMBER(I494))),"",IF(G494=Lists!$B$5,I494/2,IF(G494=Lists!$B$6,I494,0)))</f>
        <v/>
      </c>
      <c r="N494" s="52">
        <f>IF(OR(A494="",NOT(ISNUMBER(I494))),"",IF(G494=Lists!$B$5,I494/2,IF(G494=Lists!$B$7,I494,0)))</f>
        <v/>
      </c>
      <c r="O494" s="53">
        <f>IF(COUNTA(A494:K494)=0,"",IF(OR(A494="",B494="",C494="",D494="",E494="",F494="",G494="",NOT(ISNUMBER(I494))),"Incomplete",IF(COUNTIF(Lists!$H$4:$AA$4,C494)=0,"Check category",IF(COUNTIF(INDEX(Lists!$H$6:$AA$45,0,MATCH(C494,Lists!$H$4:$AA$4,0)),D494)=0,"Check sub-category","OK"))))</f>
        <v/>
      </c>
      <c r="P494">
        <f>IF(ISNUMBER(I494),I494+ROW()/10000000,"")</f>
        <v/>
      </c>
      <c r="Q494">
        <f>IF(AND(ISNUMBER(P494),ISNUMBER(A494)),IF(AND(A494&gt;=Dashboard!$Q$3,A494&lt;=Dashboard!$Q$4,OR(J494&lt;&gt;"Yes",Dashboard!$Q$15="Yes")),P494,""),"")</f>
        <v/>
      </c>
    </row>
    <row r="495">
      <c r="A495" s="47" t="n"/>
      <c r="B495" s="48" t="n"/>
      <c r="C495" s="48" t="n"/>
      <c r="D495" s="48" t="n"/>
      <c r="E495" s="48" t="n"/>
      <c r="F495" s="48" t="n"/>
      <c r="G495" s="48" t="n"/>
      <c r="H495" s="48" t="n"/>
      <c r="I495" s="49" t="n"/>
      <c r="J495" s="50" t="n"/>
      <c r="K495" s="48" t="n"/>
      <c r="L495" s="51">
        <f>IF(A495="","",DATE(YEAR(A495),MONTH(A495),1))</f>
        <v/>
      </c>
      <c r="M495" s="52">
        <f>IF(OR(A495="",NOT(ISNUMBER(I495))),"",IF(G495=Lists!$B$5,I495/2,IF(G495=Lists!$B$6,I495,0)))</f>
        <v/>
      </c>
      <c r="N495" s="52">
        <f>IF(OR(A495="",NOT(ISNUMBER(I495))),"",IF(G495=Lists!$B$5,I495/2,IF(G495=Lists!$B$7,I495,0)))</f>
        <v/>
      </c>
      <c r="O495" s="53">
        <f>IF(COUNTA(A495:K495)=0,"",IF(OR(A495="",B495="",C495="",D495="",E495="",F495="",G495="",NOT(ISNUMBER(I495))),"Incomplete",IF(COUNTIF(Lists!$H$4:$AA$4,C495)=0,"Check category",IF(COUNTIF(INDEX(Lists!$H$6:$AA$45,0,MATCH(C495,Lists!$H$4:$AA$4,0)),D495)=0,"Check sub-category","OK"))))</f>
        <v/>
      </c>
      <c r="P495">
        <f>IF(ISNUMBER(I495),I495+ROW()/10000000,"")</f>
        <v/>
      </c>
      <c r="Q495">
        <f>IF(AND(ISNUMBER(P495),ISNUMBER(A495)),IF(AND(A495&gt;=Dashboard!$Q$3,A495&lt;=Dashboard!$Q$4,OR(J495&lt;&gt;"Yes",Dashboard!$Q$15="Yes")),P495,""),"")</f>
        <v/>
      </c>
    </row>
    <row r="496">
      <c r="A496" s="47" t="n"/>
      <c r="B496" s="48" t="n"/>
      <c r="C496" s="48" t="n"/>
      <c r="D496" s="48" t="n"/>
      <c r="E496" s="48" t="n"/>
      <c r="F496" s="48" t="n"/>
      <c r="G496" s="48" t="n"/>
      <c r="H496" s="48" t="n"/>
      <c r="I496" s="49" t="n"/>
      <c r="J496" s="50" t="n"/>
      <c r="K496" s="48" t="n"/>
      <c r="L496" s="51">
        <f>IF(A496="","",DATE(YEAR(A496),MONTH(A496),1))</f>
        <v/>
      </c>
      <c r="M496" s="52">
        <f>IF(OR(A496="",NOT(ISNUMBER(I496))),"",IF(G496=Lists!$B$5,I496/2,IF(G496=Lists!$B$6,I496,0)))</f>
        <v/>
      </c>
      <c r="N496" s="52">
        <f>IF(OR(A496="",NOT(ISNUMBER(I496))),"",IF(G496=Lists!$B$5,I496/2,IF(G496=Lists!$B$7,I496,0)))</f>
        <v/>
      </c>
      <c r="O496" s="53">
        <f>IF(COUNTA(A496:K496)=0,"",IF(OR(A496="",B496="",C496="",D496="",E496="",F496="",G496="",NOT(ISNUMBER(I496))),"Incomplete",IF(COUNTIF(Lists!$H$4:$AA$4,C496)=0,"Check category",IF(COUNTIF(INDEX(Lists!$H$6:$AA$45,0,MATCH(C496,Lists!$H$4:$AA$4,0)),D496)=0,"Check sub-category","OK"))))</f>
        <v/>
      </c>
      <c r="P496">
        <f>IF(ISNUMBER(I496),I496+ROW()/10000000,"")</f>
        <v/>
      </c>
      <c r="Q496">
        <f>IF(AND(ISNUMBER(P496),ISNUMBER(A496)),IF(AND(A496&gt;=Dashboard!$Q$3,A496&lt;=Dashboard!$Q$4,OR(J496&lt;&gt;"Yes",Dashboard!$Q$15="Yes")),P496,""),"")</f>
        <v/>
      </c>
    </row>
    <row r="497">
      <c r="A497" s="47" t="n"/>
      <c r="B497" s="48" t="n"/>
      <c r="C497" s="48" t="n"/>
      <c r="D497" s="48" t="n"/>
      <c r="E497" s="48" t="n"/>
      <c r="F497" s="48" t="n"/>
      <c r="G497" s="48" t="n"/>
      <c r="H497" s="48" t="n"/>
      <c r="I497" s="49" t="n"/>
      <c r="J497" s="50" t="n"/>
      <c r="K497" s="48" t="n"/>
      <c r="L497" s="51">
        <f>IF(A497="","",DATE(YEAR(A497),MONTH(A497),1))</f>
        <v/>
      </c>
      <c r="M497" s="52">
        <f>IF(OR(A497="",NOT(ISNUMBER(I497))),"",IF(G497=Lists!$B$5,I497/2,IF(G497=Lists!$B$6,I497,0)))</f>
        <v/>
      </c>
      <c r="N497" s="52">
        <f>IF(OR(A497="",NOT(ISNUMBER(I497))),"",IF(G497=Lists!$B$5,I497/2,IF(G497=Lists!$B$7,I497,0)))</f>
        <v/>
      </c>
      <c r="O497" s="53">
        <f>IF(COUNTA(A497:K497)=0,"",IF(OR(A497="",B497="",C497="",D497="",E497="",F497="",G497="",NOT(ISNUMBER(I497))),"Incomplete",IF(COUNTIF(Lists!$H$4:$AA$4,C497)=0,"Check category",IF(COUNTIF(INDEX(Lists!$H$6:$AA$45,0,MATCH(C497,Lists!$H$4:$AA$4,0)),D497)=0,"Check sub-category","OK"))))</f>
        <v/>
      </c>
      <c r="P497">
        <f>IF(ISNUMBER(I497),I497+ROW()/10000000,"")</f>
        <v/>
      </c>
      <c r="Q497">
        <f>IF(AND(ISNUMBER(P497),ISNUMBER(A497)),IF(AND(A497&gt;=Dashboard!$Q$3,A497&lt;=Dashboard!$Q$4,OR(J497&lt;&gt;"Yes",Dashboard!$Q$15="Yes")),P497,""),"")</f>
        <v/>
      </c>
    </row>
    <row r="498">
      <c r="A498" s="47" t="n"/>
      <c r="B498" s="48" t="n"/>
      <c r="C498" s="48" t="n"/>
      <c r="D498" s="48" t="n"/>
      <c r="E498" s="48" t="n"/>
      <c r="F498" s="48" t="n"/>
      <c r="G498" s="48" t="n"/>
      <c r="H498" s="48" t="n"/>
      <c r="I498" s="49" t="n"/>
      <c r="J498" s="50" t="n"/>
      <c r="K498" s="48" t="n"/>
      <c r="L498" s="51">
        <f>IF(A498="","",DATE(YEAR(A498),MONTH(A498),1))</f>
        <v/>
      </c>
      <c r="M498" s="52">
        <f>IF(OR(A498="",NOT(ISNUMBER(I498))),"",IF(G498=Lists!$B$5,I498/2,IF(G498=Lists!$B$6,I498,0)))</f>
        <v/>
      </c>
      <c r="N498" s="52">
        <f>IF(OR(A498="",NOT(ISNUMBER(I498))),"",IF(G498=Lists!$B$5,I498/2,IF(G498=Lists!$B$7,I498,0)))</f>
        <v/>
      </c>
      <c r="O498" s="53">
        <f>IF(COUNTA(A498:K498)=0,"",IF(OR(A498="",B498="",C498="",D498="",E498="",F498="",G498="",NOT(ISNUMBER(I498))),"Incomplete",IF(COUNTIF(Lists!$H$4:$AA$4,C498)=0,"Check category",IF(COUNTIF(INDEX(Lists!$H$6:$AA$45,0,MATCH(C498,Lists!$H$4:$AA$4,0)),D498)=0,"Check sub-category","OK"))))</f>
        <v/>
      </c>
      <c r="P498">
        <f>IF(ISNUMBER(I498),I498+ROW()/10000000,"")</f>
        <v/>
      </c>
      <c r="Q498">
        <f>IF(AND(ISNUMBER(P498),ISNUMBER(A498)),IF(AND(A498&gt;=Dashboard!$Q$3,A498&lt;=Dashboard!$Q$4,OR(J498&lt;&gt;"Yes",Dashboard!$Q$15="Yes")),P498,""),"")</f>
        <v/>
      </c>
    </row>
    <row r="499">
      <c r="A499" s="47" t="n"/>
      <c r="B499" s="48" t="n"/>
      <c r="C499" s="48" t="n"/>
      <c r="D499" s="48" t="n"/>
      <c r="E499" s="48" t="n"/>
      <c r="F499" s="48" t="n"/>
      <c r="G499" s="48" t="n"/>
      <c r="H499" s="48" t="n"/>
      <c r="I499" s="49" t="n"/>
      <c r="J499" s="50" t="n"/>
      <c r="K499" s="48" t="n"/>
      <c r="L499" s="51">
        <f>IF(A499="","",DATE(YEAR(A499),MONTH(A499),1))</f>
        <v/>
      </c>
      <c r="M499" s="52">
        <f>IF(OR(A499="",NOT(ISNUMBER(I499))),"",IF(G499=Lists!$B$5,I499/2,IF(G499=Lists!$B$6,I499,0)))</f>
        <v/>
      </c>
      <c r="N499" s="52">
        <f>IF(OR(A499="",NOT(ISNUMBER(I499))),"",IF(G499=Lists!$B$5,I499/2,IF(G499=Lists!$B$7,I499,0)))</f>
        <v/>
      </c>
      <c r="O499" s="53">
        <f>IF(COUNTA(A499:K499)=0,"",IF(OR(A499="",B499="",C499="",D499="",E499="",F499="",G499="",NOT(ISNUMBER(I499))),"Incomplete",IF(COUNTIF(Lists!$H$4:$AA$4,C499)=0,"Check category",IF(COUNTIF(INDEX(Lists!$H$6:$AA$45,0,MATCH(C499,Lists!$H$4:$AA$4,0)),D499)=0,"Check sub-category","OK"))))</f>
        <v/>
      </c>
      <c r="P499">
        <f>IF(ISNUMBER(I499),I499+ROW()/10000000,"")</f>
        <v/>
      </c>
      <c r="Q499">
        <f>IF(AND(ISNUMBER(P499),ISNUMBER(A499)),IF(AND(A499&gt;=Dashboard!$Q$3,A499&lt;=Dashboard!$Q$4,OR(J499&lt;&gt;"Yes",Dashboard!$Q$15="Yes")),P499,""),"")</f>
        <v/>
      </c>
    </row>
    <row r="500">
      <c r="A500" s="47" t="n"/>
      <c r="B500" s="48" t="n"/>
      <c r="C500" s="48" t="n"/>
      <c r="D500" s="48" t="n"/>
      <c r="E500" s="48" t="n"/>
      <c r="F500" s="48" t="n"/>
      <c r="G500" s="48" t="n"/>
      <c r="H500" s="48" t="n"/>
      <c r="I500" s="49" t="n"/>
      <c r="J500" s="50" t="n"/>
      <c r="K500" s="48" t="n"/>
      <c r="L500" s="51">
        <f>IF(A500="","",DATE(YEAR(A500),MONTH(A500),1))</f>
        <v/>
      </c>
      <c r="M500" s="52">
        <f>IF(OR(A500="",NOT(ISNUMBER(I500))),"",IF(G500=Lists!$B$5,I500/2,IF(G500=Lists!$B$6,I500,0)))</f>
        <v/>
      </c>
      <c r="N500" s="52">
        <f>IF(OR(A500="",NOT(ISNUMBER(I500))),"",IF(G500=Lists!$B$5,I500/2,IF(G500=Lists!$B$7,I500,0)))</f>
        <v/>
      </c>
      <c r="O500" s="53">
        <f>IF(COUNTA(A500:K500)=0,"",IF(OR(A500="",B500="",C500="",D500="",E500="",F500="",G500="",NOT(ISNUMBER(I500))),"Incomplete",IF(COUNTIF(Lists!$H$4:$AA$4,C500)=0,"Check category",IF(COUNTIF(INDEX(Lists!$H$6:$AA$45,0,MATCH(C500,Lists!$H$4:$AA$4,0)),D500)=0,"Check sub-category","OK"))))</f>
        <v/>
      </c>
      <c r="P500">
        <f>IF(ISNUMBER(I500),I500+ROW()/10000000,"")</f>
        <v/>
      </c>
      <c r="Q500">
        <f>IF(AND(ISNUMBER(P500),ISNUMBER(A500)),IF(AND(A500&gt;=Dashboard!$Q$3,A500&lt;=Dashboard!$Q$4,OR(J500&lt;&gt;"Yes",Dashboard!$Q$15="Yes")),P500,""),"")</f>
        <v/>
      </c>
    </row>
    <row r="501">
      <c r="A501" s="47" t="n"/>
      <c r="B501" s="48" t="n"/>
      <c r="C501" s="48" t="n"/>
      <c r="D501" s="48" t="n"/>
      <c r="E501" s="48" t="n"/>
      <c r="F501" s="48" t="n"/>
      <c r="G501" s="48" t="n"/>
      <c r="H501" s="48" t="n"/>
      <c r="I501" s="49" t="n"/>
      <c r="J501" s="50" t="n"/>
      <c r="K501" s="48" t="n"/>
      <c r="L501" s="51">
        <f>IF(A501="","",DATE(YEAR(A501),MONTH(A501),1))</f>
        <v/>
      </c>
      <c r="M501" s="52">
        <f>IF(OR(A501="",NOT(ISNUMBER(I501))),"",IF(G501=Lists!$B$5,I501/2,IF(G501=Lists!$B$6,I501,0)))</f>
        <v/>
      </c>
      <c r="N501" s="52">
        <f>IF(OR(A501="",NOT(ISNUMBER(I501))),"",IF(G501=Lists!$B$5,I501/2,IF(G501=Lists!$B$7,I501,0)))</f>
        <v/>
      </c>
      <c r="O501" s="53">
        <f>IF(COUNTA(A501:K501)=0,"",IF(OR(A501="",B501="",C501="",D501="",E501="",F501="",G501="",NOT(ISNUMBER(I501))),"Incomplete",IF(COUNTIF(Lists!$H$4:$AA$4,C501)=0,"Check category",IF(COUNTIF(INDEX(Lists!$H$6:$AA$45,0,MATCH(C501,Lists!$H$4:$AA$4,0)),D501)=0,"Check sub-category","OK"))))</f>
        <v/>
      </c>
      <c r="P501">
        <f>IF(ISNUMBER(I501),I501+ROW()/10000000,"")</f>
        <v/>
      </c>
      <c r="Q501">
        <f>IF(AND(ISNUMBER(P501),ISNUMBER(A501)),IF(AND(A501&gt;=Dashboard!$Q$3,A501&lt;=Dashboard!$Q$4,OR(J501&lt;&gt;"Yes",Dashboard!$Q$15="Yes")),P501,""),"")</f>
        <v/>
      </c>
    </row>
    <row r="502">
      <c r="A502" s="47" t="n"/>
      <c r="B502" s="48" t="n"/>
      <c r="C502" s="48" t="n"/>
      <c r="D502" s="48" t="n"/>
      <c r="E502" s="48" t="n"/>
      <c r="F502" s="48" t="n"/>
      <c r="G502" s="48" t="n"/>
      <c r="H502" s="48" t="n"/>
      <c r="I502" s="49" t="n"/>
      <c r="J502" s="50" t="n"/>
      <c r="K502" s="48" t="n"/>
      <c r="L502" s="51">
        <f>IF(A502="","",DATE(YEAR(A502),MONTH(A502),1))</f>
        <v/>
      </c>
      <c r="M502" s="52">
        <f>IF(OR(A502="",NOT(ISNUMBER(I502))),"",IF(G502=Lists!$B$5,I502/2,IF(G502=Lists!$B$6,I502,0)))</f>
        <v/>
      </c>
      <c r="N502" s="52">
        <f>IF(OR(A502="",NOT(ISNUMBER(I502))),"",IF(G502=Lists!$B$5,I502/2,IF(G502=Lists!$B$7,I502,0)))</f>
        <v/>
      </c>
      <c r="O502" s="53">
        <f>IF(COUNTA(A502:K502)=0,"",IF(OR(A502="",B502="",C502="",D502="",E502="",F502="",G502="",NOT(ISNUMBER(I502))),"Incomplete",IF(COUNTIF(Lists!$H$4:$AA$4,C502)=0,"Check category",IF(COUNTIF(INDEX(Lists!$H$6:$AA$45,0,MATCH(C502,Lists!$H$4:$AA$4,0)),D502)=0,"Check sub-category","OK"))))</f>
        <v/>
      </c>
      <c r="P502">
        <f>IF(ISNUMBER(I502),I502+ROW()/10000000,"")</f>
        <v/>
      </c>
      <c r="Q502">
        <f>IF(AND(ISNUMBER(P502),ISNUMBER(A502)),IF(AND(A502&gt;=Dashboard!$Q$3,A502&lt;=Dashboard!$Q$4,OR(J502&lt;&gt;"Yes",Dashboard!$Q$15="Yes")),P502,""),"")</f>
        <v/>
      </c>
    </row>
    <row r="503">
      <c r="A503" s="47" t="n"/>
      <c r="B503" s="48" t="n"/>
      <c r="C503" s="48" t="n"/>
      <c r="D503" s="48" t="n"/>
      <c r="E503" s="48" t="n"/>
      <c r="F503" s="48" t="n"/>
      <c r="G503" s="48" t="n"/>
      <c r="H503" s="48" t="n"/>
      <c r="I503" s="49" t="n"/>
      <c r="J503" s="50" t="n"/>
      <c r="K503" s="48" t="n"/>
      <c r="L503" s="51">
        <f>IF(A503="","",DATE(YEAR(A503),MONTH(A503),1))</f>
        <v/>
      </c>
      <c r="M503" s="52">
        <f>IF(OR(A503="",NOT(ISNUMBER(I503))),"",IF(G503=Lists!$B$5,I503/2,IF(G503=Lists!$B$6,I503,0)))</f>
        <v/>
      </c>
      <c r="N503" s="52">
        <f>IF(OR(A503="",NOT(ISNUMBER(I503))),"",IF(G503=Lists!$B$5,I503/2,IF(G503=Lists!$B$7,I503,0)))</f>
        <v/>
      </c>
      <c r="O503" s="53">
        <f>IF(COUNTA(A503:K503)=0,"",IF(OR(A503="",B503="",C503="",D503="",E503="",F503="",G503="",NOT(ISNUMBER(I503))),"Incomplete",IF(COUNTIF(Lists!$H$4:$AA$4,C503)=0,"Check category",IF(COUNTIF(INDEX(Lists!$H$6:$AA$45,0,MATCH(C503,Lists!$H$4:$AA$4,0)),D503)=0,"Check sub-category","OK"))))</f>
        <v/>
      </c>
      <c r="P503">
        <f>IF(ISNUMBER(I503),I503+ROW()/10000000,"")</f>
        <v/>
      </c>
      <c r="Q503">
        <f>IF(AND(ISNUMBER(P503),ISNUMBER(A503)),IF(AND(A503&gt;=Dashboard!$Q$3,A503&lt;=Dashboard!$Q$4,OR(J503&lt;&gt;"Yes",Dashboard!$Q$15="Yes")),P503,""),"")</f>
        <v/>
      </c>
    </row>
    <row r="504">
      <c r="A504" s="47" t="n"/>
      <c r="B504" s="48" t="n"/>
      <c r="C504" s="48" t="n"/>
      <c r="D504" s="48" t="n"/>
      <c r="E504" s="48" t="n"/>
      <c r="F504" s="48" t="n"/>
      <c r="G504" s="48" t="n"/>
      <c r="H504" s="48" t="n"/>
      <c r="I504" s="49" t="n"/>
      <c r="J504" s="50" t="n"/>
      <c r="K504" s="48" t="n"/>
      <c r="L504" s="51">
        <f>IF(A504="","",DATE(YEAR(A504),MONTH(A504),1))</f>
        <v/>
      </c>
      <c r="M504" s="52">
        <f>IF(OR(A504="",NOT(ISNUMBER(I504))),"",IF(G504=Lists!$B$5,I504/2,IF(G504=Lists!$B$6,I504,0)))</f>
        <v/>
      </c>
      <c r="N504" s="52">
        <f>IF(OR(A504="",NOT(ISNUMBER(I504))),"",IF(G504=Lists!$B$5,I504/2,IF(G504=Lists!$B$7,I504,0)))</f>
        <v/>
      </c>
      <c r="O504" s="53">
        <f>IF(COUNTA(A504:K504)=0,"",IF(OR(A504="",B504="",C504="",D504="",E504="",F504="",G504="",NOT(ISNUMBER(I504))),"Incomplete",IF(COUNTIF(Lists!$H$4:$AA$4,C504)=0,"Check category",IF(COUNTIF(INDEX(Lists!$H$6:$AA$45,0,MATCH(C504,Lists!$H$4:$AA$4,0)),D504)=0,"Check sub-category","OK"))))</f>
        <v/>
      </c>
      <c r="P504">
        <f>IF(ISNUMBER(I504),I504+ROW()/10000000,"")</f>
        <v/>
      </c>
      <c r="Q504">
        <f>IF(AND(ISNUMBER(P504),ISNUMBER(A504)),IF(AND(A504&gt;=Dashboard!$Q$3,A504&lt;=Dashboard!$Q$4,OR(J504&lt;&gt;"Yes",Dashboard!$Q$15="Yes")),P504,""),"")</f>
        <v/>
      </c>
    </row>
    <row r="505">
      <c r="A505" s="47" t="n"/>
      <c r="B505" s="48" t="n"/>
      <c r="C505" s="48" t="n"/>
      <c r="D505" s="48" t="n"/>
      <c r="E505" s="48" t="n"/>
      <c r="F505" s="48" t="n"/>
      <c r="G505" s="48" t="n"/>
      <c r="H505" s="48" t="n"/>
      <c r="I505" s="49" t="n"/>
      <c r="J505" s="50" t="n"/>
      <c r="K505" s="48" t="n"/>
      <c r="L505" s="51">
        <f>IF(A505="","",DATE(YEAR(A505),MONTH(A505),1))</f>
        <v/>
      </c>
      <c r="M505" s="52">
        <f>IF(OR(A505="",NOT(ISNUMBER(I505))),"",IF(G505=Lists!$B$5,I505/2,IF(G505=Lists!$B$6,I505,0)))</f>
        <v/>
      </c>
      <c r="N505" s="52">
        <f>IF(OR(A505="",NOT(ISNUMBER(I505))),"",IF(G505=Lists!$B$5,I505/2,IF(G505=Lists!$B$7,I505,0)))</f>
        <v/>
      </c>
      <c r="O505" s="53">
        <f>IF(COUNTA(A505:K505)=0,"",IF(OR(A505="",B505="",C505="",D505="",E505="",F505="",G505="",NOT(ISNUMBER(I505))),"Incomplete",IF(COUNTIF(Lists!$H$4:$AA$4,C505)=0,"Check category",IF(COUNTIF(INDEX(Lists!$H$6:$AA$45,0,MATCH(C505,Lists!$H$4:$AA$4,0)),D505)=0,"Check sub-category","OK"))))</f>
        <v/>
      </c>
      <c r="P505">
        <f>IF(ISNUMBER(I505),I505+ROW()/10000000,"")</f>
        <v/>
      </c>
      <c r="Q505">
        <f>IF(AND(ISNUMBER(P505),ISNUMBER(A505)),IF(AND(A505&gt;=Dashboard!$Q$3,A505&lt;=Dashboard!$Q$4,OR(J505&lt;&gt;"Yes",Dashboard!$Q$15="Yes")),P505,""),"")</f>
        <v/>
      </c>
    </row>
    <row r="506">
      <c r="A506" s="47" t="n"/>
      <c r="B506" s="48" t="n"/>
      <c r="C506" s="48" t="n"/>
      <c r="D506" s="48" t="n"/>
      <c r="E506" s="48" t="n"/>
      <c r="F506" s="48" t="n"/>
      <c r="G506" s="48" t="n"/>
      <c r="H506" s="48" t="n"/>
      <c r="I506" s="49" t="n"/>
      <c r="J506" s="50" t="n"/>
      <c r="K506" s="48" t="n"/>
      <c r="L506" s="51">
        <f>IF(A506="","",DATE(YEAR(A506),MONTH(A506),1))</f>
        <v/>
      </c>
      <c r="M506" s="52">
        <f>IF(OR(A506="",NOT(ISNUMBER(I506))),"",IF(G506=Lists!$B$5,I506/2,IF(G506=Lists!$B$6,I506,0)))</f>
        <v/>
      </c>
      <c r="N506" s="52">
        <f>IF(OR(A506="",NOT(ISNUMBER(I506))),"",IF(G506=Lists!$B$5,I506/2,IF(G506=Lists!$B$7,I506,0)))</f>
        <v/>
      </c>
      <c r="O506" s="53">
        <f>IF(COUNTA(A506:K506)=0,"",IF(OR(A506="",B506="",C506="",D506="",E506="",F506="",G506="",NOT(ISNUMBER(I506))),"Incomplete",IF(COUNTIF(Lists!$H$4:$AA$4,C506)=0,"Check category",IF(COUNTIF(INDEX(Lists!$H$6:$AA$45,0,MATCH(C506,Lists!$H$4:$AA$4,0)),D506)=0,"Check sub-category","OK"))))</f>
        <v/>
      </c>
      <c r="P506">
        <f>IF(ISNUMBER(I506),I506+ROW()/10000000,"")</f>
        <v/>
      </c>
      <c r="Q506">
        <f>IF(AND(ISNUMBER(P506),ISNUMBER(A506)),IF(AND(A506&gt;=Dashboard!$Q$3,A506&lt;=Dashboard!$Q$4,OR(J506&lt;&gt;"Yes",Dashboard!$Q$15="Yes")),P506,""),"")</f>
        <v/>
      </c>
    </row>
    <row r="507">
      <c r="A507" s="47" t="n"/>
      <c r="B507" s="48" t="n"/>
      <c r="C507" s="48" t="n"/>
      <c r="D507" s="48" t="n"/>
      <c r="E507" s="48" t="n"/>
      <c r="F507" s="48" t="n"/>
      <c r="G507" s="48" t="n"/>
      <c r="H507" s="48" t="n"/>
      <c r="I507" s="49" t="n"/>
      <c r="J507" s="50" t="n"/>
      <c r="K507" s="48" t="n"/>
      <c r="L507" s="51">
        <f>IF(A507="","",DATE(YEAR(A507),MONTH(A507),1))</f>
        <v/>
      </c>
      <c r="M507" s="52">
        <f>IF(OR(A507="",NOT(ISNUMBER(I507))),"",IF(G507=Lists!$B$5,I507/2,IF(G507=Lists!$B$6,I507,0)))</f>
        <v/>
      </c>
      <c r="N507" s="52">
        <f>IF(OR(A507="",NOT(ISNUMBER(I507))),"",IF(G507=Lists!$B$5,I507/2,IF(G507=Lists!$B$7,I507,0)))</f>
        <v/>
      </c>
      <c r="O507" s="53">
        <f>IF(COUNTA(A507:K507)=0,"",IF(OR(A507="",B507="",C507="",D507="",E507="",F507="",G507="",NOT(ISNUMBER(I507))),"Incomplete",IF(COUNTIF(Lists!$H$4:$AA$4,C507)=0,"Check category",IF(COUNTIF(INDEX(Lists!$H$6:$AA$45,0,MATCH(C507,Lists!$H$4:$AA$4,0)),D507)=0,"Check sub-category","OK"))))</f>
        <v/>
      </c>
      <c r="P507">
        <f>IF(ISNUMBER(I507),I507+ROW()/10000000,"")</f>
        <v/>
      </c>
      <c r="Q507">
        <f>IF(AND(ISNUMBER(P507),ISNUMBER(A507)),IF(AND(A507&gt;=Dashboard!$Q$3,A507&lt;=Dashboard!$Q$4,OR(J507&lt;&gt;"Yes",Dashboard!$Q$15="Yes")),P507,""),"")</f>
        <v/>
      </c>
    </row>
    <row r="508">
      <c r="A508" s="47" t="n"/>
      <c r="B508" s="48" t="n"/>
      <c r="C508" s="48" t="n"/>
      <c r="D508" s="48" t="n"/>
      <c r="E508" s="48" t="n"/>
      <c r="F508" s="48" t="n"/>
      <c r="G508" s="48" t="n"/>
      <c r="H508" s="48" t="n"/>
      <c r="I508" s="49" t="n"/>
      <c r="J508" s="50" t="n"/>
      <c r="K508" s="48" t="n"/>
      <c r="L508" s="51">
        <f>IF(A508="","",DATE(YEAR(A508),MONTH(A508),1))</f>
        <v/>
      </c>
      <c r="M508" s="52">
        <f>IF(OR(A508="",NOT(ISNUMBER(I508))),"",IF(G508=Lists!$B$5,I508/2,IF(G508=Lists!$B$6,I508,0)))</f>
        <v/>
      </c>
      <c r="N508" s="52">
        <f>IF(OR(A508="",NOT(ISNUMBER(I508))),"",IF(G508=Lists!$B$5,I508/2,IF(G508=Lists!$B$7,I508,0)))</f>
        <v/>
      </c>
      <c r="O508" s="53">
        <f>IF(COUNTA(A508:K508)=0,"",IF(OR(A508="",B508="",C508="",D508="",E508="",F508="",G508="",NOT(ISNUMBER(I508))),"Incomplete",IF(COUNTIF(Lists!$H$4:$AA$4,C508)=0,"Check category",IF(COUNTIF(INDEX(Lists!$H$6:$AA$45,0,MATCH(C508,Lists!$H$4:$AA$4,0)),D508)=0,"Check sub-category","OK"))))</f>
        <v/>
      </c>
      <c r="P508">
        <f>IF(ISNUMBER(I508),I508+ROW()/10000000,"")</f>
        <v/>
      </c>
      <c r="Q508">
        <f>IF(AND(ISNUMBER(P508),ISNUMBER(A508)),IF(AND(A508&gt;=Dashboard!$Q$3,A508&lt;=Dashboard!$Q$4,OR(J508&lt;&gt;"Yes",Dashboard!$Q$15="Yes")),P508,""),"")</f>
        <v/>
      </c>
    </row>
    <row r="509">
      <c r="A509" s="47" t="n"/>
      <c r="B509" s="48" t="n"/>
      <c r="C509" s="48" t="n"/>
      <c r="D509" s="48" t="n"/>
      <c r="E509" s="48" t="n"/>
      <c r="F509" s="48" t="n"/>
      <c r="G509" s="48" t="n"/>
      <c r="H509" s="48" t="n"/>
      <c r="I509" s="49" t="n"/>
      <c r="J509" s="50" t="n"/>
      <c r="K509" s="48" t="n"/>
      <c r="L509" s="51">
        <f>IF(A509="","",DATE(YEAR(A509),MONTH(A509),1))</f>
        <v/>
      </c>
      <c r="M509" s="52">
        <f>IF(OR(A509="",NOT(ISNUMBER(I509))),"",IF(G509=Lists!$B$5,I509/2,IF(G509=Lists!$B$6,I509,0)))</f>
        <v/>
      </c>
      <c r="N509" s="52">
        <f>IF(OR(A509="",NOT(ISNUMBER(I509))),"",IF(G509=Lists!$B$5,I509/2,IF(G509=Lists!$B$7,I509,0)))</f>
        <v/>
      </c>
      <c r="O509" s="53">
        <f>IF(COUNTA(A509:K509)=0,"",IF(OR(A509="",B509="",C509="",D509="",E509="",F509="",G509="",NOT(ISNUMBER(I509))),"Incomplete",IF(COUNTIF(Lists!$H$4:$AA$4,C509)=0,"Check category",IF(COUNTIF(INDEX(Lists!$H$6:$AA$45,0,MATCH(C509,Lists!$H$4:$AA$4,0)),D509)=0,"Check sub-category","OK"))))</f>
        <v/>
      </c>
      <c r="P509">
        <f>IF(ISNUMBER(I509),I509+ROW()/10000000,"")</f>
        <v/>
      </c>
      <c r="Q509">
        <f>IF(AND(ISNUMBER(P509),ISNUMBER(A509)),IF(AND(A509&gt;=Dashboard!$Q$3,A509&lt;=Dashboard!$Q$4,OR(J509&lt;&gt;"Yes",Dashboard!$Q$15="Yes")),P509,""),"")</f>
        <v/>
      </c>
    </row>
    <row r="510">
      <c r="A510" s="47" t="n"/>
      <c r="B510" s="48" t="n"/>
      <c r="C510" s="48" t="n"/>
      <c r="D510" s="48" t="n"/>
      <c r="E510" s="48" t="n"/>
      <c r="F510" s="48" t="n"/>
      <c r="G510" s="48" t="n"/>
      <c r="H510" s="48" t="n"/>
      <c r="I510" s="49" t="n"/>
      <c r="J510" s="50" t="n"/>
      <c r="K510" s="48" t="n"/>
      <c r="L510" s="51">
        <f>IF(A510="","",DATE(YEAR(A510),MONTH(A510),1))</f>
        <v/>
      </c>
      <c r="M510" s="52">
        <f>IF(OR(A510="",NOT(ISNUMBER(I510))),"",IF(G510=Lists!$B$5,I510/2,IF(G510=Lists!$B$6,I510,0)))</f>
        <v/>
      </c>
      <c r="N510" s="52">
        <f>IF(OR(A510="",NOT(ISNUMBER(I510))),"",IF(G510=Lists!$B$5,I510/2,IF(G510=Lists!$B$7,I510,0)))</f>
        <v/>
      </c>
      <c r="O510" s="53">
        <f>IF(COUNTA(A510:K510)=0,"",IF(OR(A510="",B510="",C510="",D510="",E510="",F510="",G510="",NOT(ISNUMBER(I510))),"Incomplete",IF(COUNTIF(Lists!$H$4:$AA$4,C510)=0,"Check category",IF(COUNTIF(INDEX(Lists!$H$6:$AA$45,0,MATCH(C510,Lists!$H$4:$AA$4,0)),D510)=0,"Check sub-category","OK"))))</f>
        <v/>
      </c>
      <c r="P510">
        <f>IF(ISNUMBER(I510),I510+ROW()/10000000,"")</f>
        <v/>
      </c>
      <c r="Q510">
        <f>IF(AND(ISNUMBER(P510),ISNUMBER(A510)),IF(AND(A510&gt;=Dashboard!$Q$3,A510&lt;=Dashboard!$Q$4,OR(J510&lt;&gt;"Yes",Dashboard!$Q$15="Yes")),P510,""),"")</f>
        <v/>
      </c>
    </row>
    <row r="511">
      <c r="A511" s="47" t="n"/>
      <c r="B511" s="48" t="n"/>
      <c r="C511" s="48" t="n"/>
      <c r="D511" s="48" t="n"/>
      <c r="E511" s="48" t="n"/>
      <c r="F511" s="48" t="n"/>
      <c r="G511" s="48" t="n"/>
      <c r="H511" s="48" t="n"/>
      <c r="I511" s="49" t="n"/>
      <c r="J511" s="50" t="n"/>
      <c r="K511" s="48" t="n"/>
      <c r="L511" s="51">
        <f>IF(A511="","",DATE(YEAR(A511),MONTH(A511),1))</f>
        <v/>
      </c>
      <c r="M511" s="52">
        <f>IF(OR(A511="",NOT(ISNUMBER(I511))),"",IF(G511=Lists!$B$5,I511/2,IF(G511=Lists!$B$6,I511,0)))</f>
        <v/>
      </c>
      <c r="N511" s="52">
        <f>IF(OR(A511="",NOT(ISNUMBER(I511))),"",IF(G511=Lists!$B$5,I511/2,IF(G511=Lists!$B$7,I511,0)))</f>
        <v/>
      </c>
      <c r="O511" s="53">
        <f>IF(COUNTA(A511:K511)=0,"",IF(OR(A511="",B511="",C511="",D511="",E511="",F511="",G511="",NOT(ISNUMBER(I511))),"Incomplete",IF(COUNTIF(Lists!$H$4:$AA$4,C511)=0,"Check category",IF(COUNTIF(INDEX(Lists!$H$6:$AA$45,0,MATCH(C511,Lists!$H$4:$AA$4,0)),D511)=0,"Check sub-category","OK"))))</f>
        <v/>
      </c>
      <c r="P511">
        <f>IF(ISNUMBER(I511),I511+ROW()/10000000,"")</f>
        <v/>
      </c>
      <c r="Q511">
        <f>IF(AND(ISNUMBER(P511),ISNUMBER(A511)),IF(AND(A511&gt;=Dashboard!$Q$3,A511&lt;=Dashboard!$Q$4,OR(J511&lt;&gt;"Yes",Dashboard!$Q$15="Yes")),P511,""),"")</f>
        <v/>
      </c>
    </row>
    <row r="512">
      <c r="A512" s="47" t="n"/>
      <c r="B512" s="48" t="n"/>
      <c r="C512" s="48" t="n"/>
      <c r="D512" s="48" t="n"/>
      <c r="E512" s="48" t="n"/>
      <c r="F512" s="48" t="n"/>
      <c r="G512" s="48" t="n"/>
      <c r="H512" s="48" t="n"/>
      <c r="I512" s="49" t="n"/>
      <c r="J512" s="50" t="n"/>
      <c r="K512" s="48" t="n"/>
      <c r="L512" s="51">
        <f>IF(A512="","",DATE(YEAR(A512),MONTH(A512),1))</f>
        <v/>
      </c>
      <c r="M512" s="52">
        <f>IF(OR(A512="",NOT(ISNUMBER(I512))),"",IF(G512=Lists!$B$5,I512/2,IF(G512=Lists!$B$6,I512,0)))</f>
        <v/>
      </c>
      <c r="N512" s="52">
        <f>IF(OR(A512="",NOT(ISNUMBER(I512))),"",IF(G512=Lists!$B$5,I512/2,IF(G512=Lists!$B$7,I512,0)))</f>
        <v/>
      </c>
      <c r="O512" s="53">
        <f>IF(COUNTA(A512:K512)=0,"",IF(OR(A512="",B512="",C512="",D512="",E512="",F512="",G512="",NOT(ISNUMBER(I512))),"Incomplete",IF(COUNTIF(Lists!$H$4:$AA$4,C512)=0,"Check category",IF(COUNTIF(INDEX(Lists!$H$6:$AA$45,0,MATCH(C512,Lists!$H$4:$AA$4,0)),D512)=0,"Check sub-category","OK"))))</f>
        <v/>
      </c>
      <c r="P512">
        <f>IF(ISNUMBER(I512),I512+ROW()/10000000,"")</f>
        <v/>
      </c>
      <c r="Q512">
        <f>IF(AND(ISNUMBER(P512),ISNUMBER(A512)),IF(AND(A512&gt;=Dashboard!$Q$3,A512&lt;=Dashboard!$Q$4,OR(J512&lt;&gt;"Yes",Dashboard!$Q$15="Yes")),P512,""),"")</f>
        <v/>
      </c>
    </row>
    <row r="513">
      <c r="A513" s="47" t="n"/>
      <c r="B513" s="48" t="n"/>
      <c r="C513" s="48" t="n"/>
      <c r="D513" s="48" t="n"/>
      <c r="E513" s="48" t="n"/>
      <c r="F513" s="48" t="n"/>
      <c r="G513" s="48" t="n"/>
      <c r="H513" s="48" t="n"/>
      <c r="I513" s="49" t="n"/>
      <c r="J513" s="50" t="n"/>
      <c r="K513" s="48" t="n"/>
      <c r="L513" s="51">
        <f>IF(A513="","",DATE(YEAR(A513),MONTH(A513),1))</f>
        <v/>
      </c>
      <c r="M513" s="52">
        <f>IF(OR(A513="",NOT(ISNUMBER(I513))),"",IF(G513=Lists!$B$5,I513/2,IF(G513=Lists!$B$6,I513,0)))</f>
        <v/>
      </c>
      <c r="N513" s="52">
        <f>IF(OR(A513="",NOT(ISNUMBER(I513))),"",IF(G513=Lists!$B$5,I513/2,IF(G513=Lists!$B$7,I513,0)))</f>
        <v/>
      </c>
      <c r="O513" s="53">
        <f>IF(COUNTA(A513:K513)=0,"",IF(OR(A513="",B513="",C513="",D513="",E513="",F513="",G513="",NOT(ISNUMBER(I513))),"Incomplete",IF(COUNTIF(Lists!$H$4:$AA$4,C513)=0,"Check category",IF(COUNTIF(INDEX(Lists!$H$6:$AA$45,0,MATCH(C513,Lists!$H$4:$AA$4,0)),D513)=0,"Check sub-category","OK"))))</f>
        <v/>
      </c>
      <c r="P513">
        <f>IF(ISNUMBER(I513),I513+ROW()/10000000,"")</f>
        <v/>
      </c>
      <c r="Q513">
        <f>IF(AND(ISNUMBER(P513),ISNUMBER(A513)),IF(AND(A513&gt;=Dashboard!$Q$3,A513&lt;=Dashboard!$Q$4,OR(J513&lt;&gt;"Yes",Dashboard!$Q$15="Yes")),P513,""),"")</f>
        <v/>
      </c>
    </row>
    <row r="514">
      <c r="A514" s="47" t="n"/>
      <c r="B514" s="48" t="n"/>
      <c r="C514" s="48" t="n"/>
      <c r="D514" s="48" t="n"/>
      <c r="E514" s="48" t="n"/>
      <c r="F514" s="48" t="n"/>
      <c r="G514" s="48" t="n"/>
      <c r="H514" s="48" t="n"/>
      <c r="I514" s="49" t="n"/>
      <c r="J514" s="50" t="n"/>
      <c r="K514" s="48" t="n"/>
      <c r="L514" s="51">
        <f>IF(A514="","",DATE(YEAR(A514),MONTH(A514),1))</f>
        <v/>
      </c>
      <c r="M514" s="52">
        <f>IF(OR(A514="",NOT(ISNUMBER(I514))),"",IF(G514=Lists!$B$5,I514/2,IF(G514=Lists!$B$6,I514,0)))</f>
        <v/>
      </c>
      <c r="N514" s="52">
        <f>IF(OR(A514="",NOT(ISNUMBER(I514))),"",IF(G514=Lists!$B$5,I514/2,IF(G514=Lists!$B$7,I514,0)))</f>
        <v/>
      </c>
      <c r="O514" s="53">
        <f>IF(COUNTA(A514:K514)=0,"",IF(OR(A514="",B514="",C514="",D514="",E514="",F514="",G514="",NOT(ISNUMBER(I514))),"Incomplete",IF(COUNTIF(Lists!$H$4:$AA$4,C514)=0,"Check category",IF(COUNTIF(INDEX(Lists!$H$6:$AA$45,0,MATCH(C514,Lists!$H$4:$AA$4,0)),D514)=0,"Check sub-category","OK"))))</f>
        <v/>
      </c>
      <c r="P514">
        <f>IF(ISNUMBER(I514),I514+ROW()/10000000,"")</f>
        <v/>
      </c>
      <c r="Q514">
        <f>IF(AND(ISNUMBER(P514),ISNUMBER(A514)),IF(AND(A514&gt;=Dashboard!$Q$3,A514&lt;=Dashboard!$Q$4,OR(J514&lt;&gt;"Yes",Dashboard!$Q$15="Yes")),P514,""),"")</f>
        <v/>
      </c>
    </row>
    <row r="515">
      <c r="A515" s="47" t="n"/>
      <c r="B515" s="48" t="n"/>
      <c r="C515" s="48" t="n"/>
      <c r="D515" s="48" t="n"/>
      <c r="E515" s="48" t="n"/>
      <c r="F515" s="48" t="n"/>
      <c r="G515" s="48" t="n"/>
      <c r="H515" s="48" t="n"/>
      <c r="I515" s="49" t="n"/>
      <c r="J515" s="50" t="n"/>
      <c r="K515" s="48" t="n"/>
      <c r="L515" s="51">
        <f>IF(A515="","",DATE(YEAR(A515),MONTH(A515),1))</f>
        <v/>
      </c>
      <c r="M515" s="52">
        <f>IF(OR(A515="",NOT(ISNUMBER(I515))),"",IF(G515=Lists!$B$5,I515/2,IF(G515=Lists!$B$6,I515,0)))</f>
        <v/>
      </c>
      <c r="N515" s="52">
        <f>IF(OR(A515="",NOT(ISNUMBER(I515))),"",IF(G515=Lists!$B$5,I515/2,IF(G515=Lists!$B$7,I515,0)))</f>
        <v/>
      </c>
      <c r="O515" s="53">
        <f>IF(COUNTA(A515:K515)=0,"",IF(OR(A515="",B515="",C515="",D515="",E515="",F515="",G515="",NOT(ISNUMBER(I515))),"Incomplete",IF(COUNTIF(Lists!$H$4:$AA$4,C515)=0,"Check category",IF(COUNTIF(INDEX(Lists!$H$6:$AA$45,0,MATCH(C515,Lists!$H$4:$AA$4,0)),D515)=0,"Check sub-category","OK"))))</f>
        <v/>
      </c>
      <c r="P515">
        <f>IF(ISNUMBER(I515),I515+ROW()/10000000,"")</f>
        <v/>
      </c>
      <c r="Q515">
        <f>IF(AND(ISNUMBER(P515),ISNUMBER(A515)),IF(AND(A515&gt;=Dashboard!$Q$3,A515&lt;=Dashboard!$Q$4,OR(J515&lt;&gt;"Yes",Dashboard!$Q$15="Yes")),P515,""),"")</f>
        <v/>
      </c>
    </row>
    <row r="516">
      <c r="A516" s="47" t="n"/>
      <c r="B516" s="48" t="n"/>
      <c r="C516" s="48" t="n"/>
      <c r="D516" s="48" t="n"/>
      <c r="E516" s="48" t="n"/>
      <c r="F516" s="48" t="n"/>
      <c r="G516" s="48" t="n"/>
      <c r="H516" s="48" t="n"/>
      <c r="I516" s="49" t="n"/>
      <c r="J516" s="50" t="n"/>
      <c r="K516" s="48" t="n"/>
      <c r="L516" s="51">
        <f>IF(A516="","",DATE(YEAR(A516),MONTH(A516),1))</f>
        <v/>
      </c>
      <c r="M516" s="52">
        <f>IF(OR(A516="",NOT(ISNUMBER(I516))),"",IF(G516=Lists!$B$5,I516/2,IF(G516=Lists!$B$6,I516,0)))</f>
        <v/>
      </c>
      <c r="N516" s="52">
        <f>IF(OR(A516="",NOT(ISNUMBER(I516))),"",IF(G516=Lists!$B$5,I516/2,IF(G516=Lists!$B$7,I516,0)))</f>
        <v/>
      </c>
      <c r="O516" s="53">
        <f>IF(COUNTA(A516:K516)=0,"",IF(OR(A516="",B516="",C516="",D516="",E516="",F516="",G516="",NOT(ISNUMBER(I516))),"Incomplete",IF(COUNTIF(Lists!$H$4:$AA$4,C516)=0,"Check category",IF(COUNTIF(INDEX(Lists!$H$6:$AA$45,0,MATCH(C516,Lists!$H$4:$AA$4,0)),D516)=0,"Check sub-category","OK"))))</f>
        <v/>
      </c>
      <c r="P516">
        <f>IF(ISNUMBER(I516),I516+ROW()/10000000,"")</f>
        <v/>
      </c>
      <c r="Q516">
        <f>IF(AND(ISNUMBER(P516),ISNUMBER(A516)),IF(AND(A516&gt;=Dashboard!$Q$3,A516&lt;=Dashboard!$Q$4,OR(J516&lt;&gt;"Yes",Dashboard!$Q$15="Yes")),P516,""),"")</f>
        <v/>
      </c>
    </row>
    <row r="517">
      <c r="A517" s="47" t="n"/>
      <c r="B517" s="48" t="n"/>
      <c r="C517" s="48" t="n"/>
      <c r="D517" s="48" t="n"/>
      <c r="E517" s="48" t="n"/>
      <c r="F517" s="48" t="n"/>
      <c r="G517" s="48" t="n"/>
      <c r="H517" s="48" t="n"/>
      <c r="I517" s="49" t="n"/>
      <c r="J517" s="50" t="n"/>
      <c r="K517" s="48" t="n"/>
      <c r="L517" s="51">
        <f>IF(A517="","",DATE(YEAR(A517),MONTH(A517),1))</f>
        <v/>
      </c>
      <c r="M517" s="52">
        <f>IF(OR(A517="",NOT(ISNUMBER(I517))),"",IF(G517=Lists!$B$5,I517/2,IF(G517=Lists!$B$6,I517,0)))</f>
        <v/>
      </c>
      <c r="N517" s="52">
        <f>IF(OR(A517="",NOT(ISNUMBER(I517))),"",IF(G517=Lists!$B$5,I517/2,IF(G517=Lists!$B$7,I517,0)))</f>
        <v/>
      </c>
      <c r="O517" s="53">
        <f>IF(COUNTA(A517:K517)=0,"",IF(OR(A517="",B517="",C517="",D517="",E517="",F517="",G517="",NOT(ISNUMBER(I517))),"Incomplete",IF(COUNTIF(Lists!$H$4:$AA$4,C517)=0,"Check category",IF(COUNTIF(INDEX(Lists!$H$6:$AA$45,0,MATCH(C517,Lists!$H$4:$AA$4,0)),D517)=0,"Check sub-category","OK"))))</f>
        <v/>
      </c>
      <c r="P517">
        <f>IF(ISNUMBER(I517),I517+ROW()/10000000,"")</f>
        <v/>
      </c>
      <c r="Q517">
        <f>IF(AND(ISNUMBER(P517),ISNUMBER(A517)),IF(AND(A517&gt;=Dashboard!$Q$3,A517&lt;=Dashboard!$Q$4,OR(J517&lt;&gt;"Yes",Dashboard!$Q$15="Yes")),P517,""),"")</f>
        <v/>
      </c>
    </row>
    <row r="518">
      <c r="A518" s="47" t="n"/>
      <c r="B518" s="48" t="n"/>
      <c r="C518" s="48" t="n"/>
      <c r="D518" s="48" t="n"/>
      <c r="E518" s="48" t="n"/>
      <c r="F518" s="48" t="n"/>
      <c r="G518" s="48" t="n"/>
      <c r="H518" s="48" t="n"/>
      <c r="I518" s="49" t="n"/>
      <c r="J518" s="50" t="n"/>
      <c r="K518" s="48" t="n"/>
      <c r="L518" s="51">
        <f>IF(A518="","",DATE(YEAR(A518),MONTH(A518),1))</f>
        <v/>
      </c>
      <c r="M518" s="52">
        <f>IF(OR(A518="",NOT(ISNUMBER(I518))),"",IF(G518=Lists!$B$5,I518/2,IF(G518=Lists!$B$6,I518,0)))</f>
        <v/>
      </c>
      <c r="N518" s="52">
        <f>IF(OR(A518="",NOT(ISNUMBER(I518))),"",IF(G518=Lists!$B$5,I518/2,IF(G518=Lists!$B$7,I518,0)))</f>
        <v/>
      </c>
      <c r="O518" s="53">
        <f>IF(COUNTA(A518:K518)=0,"",IF(OR(A518="",B518="",C518="",D518="",E518="",F518="",G518="",NOT(ISNUMBER(I518))),"Incomplete",IF(COUNTIF(Lists!$H$4:$AA$4,C518)=0,"Check category",IF(COUNTIF(INDEX(Lists!$H$6:$AA$45,0,MATCH(C518,Lists!$H$4:$AA$4,0)),D518)=0,"Check sub-category","OK"))))</f>
        <v/>
      </c>
      <c r="P518">
        <f>IF(ISNUMBER(I518),I518+ROW()/10000000,"")</f>
        <v/>
      </c>
      <c r="Q518">
        <f>IF(AND(ISNUMBER(P518),ISNUMBER(A518)),IF(AND(A518&gt;=Dashboard!$Q$3,A518&lt;=Dashboard!$Q$4,OR(J518&lt;&gt;"Yes",Dashboard!$Q$15="Yes")),P518,""),"")</f>
        <v/>
      </c>
    </row>
    <row r="519">
      <c r="A519" s="47" t="n"/>
      <c r="B519" s="48" t="n"/>
      <c r="C519" s="48" t="n"/>
      <c r="D519" s="48" t="n"/>
      <c r="E519" s="48" t="n"/>
      <c r="F519" s="48" t="n"/>
      <c r="G519" s="48" t="n"/>
      <c r="H519" s="48" t="n"/>
      <c r="I519" s="49" t="n"/>
      <c r="J519" s="50" t="n"/>
      <c r="K519" s="48" t="n"/>
      <c r="L519" s="51">
        <f>IF(A519="","",DATE(YEAR(A519),MONTH(A519),1))</f>
        <v/>
      </c>
      <c r="M519" s="52">
        <f>IF(OR(A519="",NOT(ISNUMBER(I519))),"",IF(G519=Lists!$B$5,I519/2,IF(G519=Lists!$B$6,I519,0)))</f>
        <v/>
      </c>
      <c r="N519" s="52">
        <f>IF(OR(A519="",NOT(ISNUMBER(I519))),"",IF(G519=Lists!$B$5,I519/2,IF(G519=Lists!$B$7,I519,0)))</f>
        <v/>
      </c>
      <c r="O519" s="53">
        <f>IF(COUNTA(A519:K519)=0,"",IF(OR(A519="",B519="",C519="",D519="",E519="",F519="",G519="",NOT(ISNUMBER(I519))),"Incomplete",IF(COUNTIF(Lists!$H$4:$AA$4,C519)=0,"Check category",IF(COUNTIF(INDEX(Lists!$H$6:$AA$45,0,MATCH(C519,Lists!$H$4:$AA$4,0)),D519)=0,"Check sub-category","OK"))))</f>
        <v/>
      </c>
      <c r="P519">
        <f>IF(ISNUMBER(I519),I519+ROW()/10000000,"")</f>
        <v/>
      </c>
      <c r="Q519">
        <f>IF(AND(ISNUMBER(P519),ISNUMBER(A519)),IF(AND(A519&gt;=Dashboard!$Q$3,A519&lt;=Dashboard!$Q$4,OR(J519&lt;&gt;"Yes",Dashboard!$Q$15="Yes")),P519,""),"")</f>
        <v/>
      </c>
    </row>
    <row r="520">
      <c r="A520" s="47" t="n"/>
      <c r="B520" s="48" t="n"/>
      <c r="C520" s="48" t="n"/>
      <c r="D520" s="48" t="n"/>
      <c r="E520" s="48" t="n"/>
      <c r="F520" s="48" t="n"/>
      <c r="G520" s="48" t="n"/>
      <c r="H520" s="48" t="n"/>
      <c r="I520" s="49" t="n"/>
      <c r="J520" s="50" t="n"/>
      <c r="K520" s="48" t="n"/>
      <c r="L520" s="51">
        <f>IF(A520="","",DATE(YEAR(A520),MONTH(A520),1))</f>
        <v/>
      </c>
      <c r="M520" s="52">
        <f>IF(OR(A520="",NOT(ISNUMBER(I520))),"",IF(G520=Lists!$B$5,I520/2,IF(G520=Lists!$B$6,I520,0)))</f>
        <v/>
      </c>
      <c r="N520" s="52">
        <f>IF(OR(A520="",NOT(ISNUMBER(I520))),"",IF(G520=Lists!$B$5,I520/2,IF(G520=Lists!$B$7,I520,0)))</f>
        <v/>
      </c>
      <c r="O520" s="53">
        <f>IF(COUNTA(A520:K520)=0,"",IF(OR(A520="",B520="",C520="",D520="",E520="",F520="",G520="",NOT(ISNUMBER(I520))),"Incomplete",IF(COUNTIF(Lists!$H$4:$AA$4,C520)=0,"Check category",IF(COUNTIF(INDEX(Lists!$H$6:$AA$45,0,MATCH(C520,Lists!$H$4:$AA$4,0)),D520)=0,"Check sub-category","OK"))))</f>
        <v/>
      </c>
      <c r="P520">
        <f>IF(ISNUMBER(I520),I520+ROW()/10000000,"")</f>
        <v/>
      </c>
      <c r="Q520">
        <f>IF(AND(ISNUMBER(P520),ISNUMBER(A520)),IF(AND(A520&gt;=Dashboard!$Q$3,A520&lt;=Dashboard!$Q$4,OR(J520&lt;&gt;"Yes",Dashboard!$Q$15="Yes")),P520,""),"")</f>
        <v/>
      </c>
    </row>
    <row r="521">
      <c r="A521" s="47" t="n"/>
      <c r="B521" s="48" t="n"/>
      <c r="C521" s="48" t="n"/>
      <c r="D521" s="48" t="n"/>
      <c r="E521" s="48" t="n"/>
      <c r="F521" s="48" t="n"/>
      <c r="G521" s="48" t="n"/>
      <c r="H521" s="48" t="n"/>
      <c r="I521" s="49" t="n"/>
      <c r="J521" s="50" t="n"/>
      <c r="K521" s="48" t="n"/>
      <c r="L521" s="51">
        <f>IF(A521="","",DATE(YEAR(A521),MONTH(A521),1))</f>
        <v/>
      </c>
      <c r="M521" s="52">
        <f>IF(OR(A521="",NOT(ISNUMBER(I521))),"",IF(G521=Lists!$B$5,I521/2,IF(G521=Lists!$B$6,I521,0)))</f>
        <v/>
      </c>
      <c r="N521" s="52">
        <f>IF(OR(A521="",NOT(ISNUMBER(I521))),"",IF(G521=Lists!$B$5,I521/2,IF(G521=Lists!$B$7,I521,0)))</f>
        <v/>
      </c>
      <c r="O521" s="53">
        <f>IF(COUNTA(A521:K521)=0,"",IF(OR(A521="",B521="",C521="",D521="",E521="",F521="",G521="",NOT(ISNUMBER(I521))),"Incomplete",IF(COUNTIF(Lists!$H$4:$AA$4,C521)=0,"Check category",IF(COUNTIF(INDEX(Lists!$H$6:$AA$45,0,MATCH(C521,Lists!$H$4:$AA$4,0)),D521)=0,"Check sub-category","OK"))))</f>
        <v/>
      </c>
      <c r="P521">
        <f>IF(ISNUMBER(I521),I521+ROW()/10000000,"")</f>
        <v/>
      </c>
      <c r="Q521">
        <f>IF(AND(ISNUMBER(P521),ISNUMBER(A521)),IF(AND(A521&gt;=Dashboard!$Q$3,A521&lt;=Dashboard!$Q$4,OR(J521&lt;&gt;"Yes",Dashboard!$Q$15="Yes")),P521,""),"")</f>
        <v/>
      </c>
    </row>
    <row r="522">
      <c r="A522" s="47" t="n"/>
      <c r="B522" s="48" t="n"/>
      <c r="C522" s="48" t="n"/>
      <c r="D522" s="48" t="n"/>
      <c r="E522" s="48" t="n"/>
      <c r="F522" s="48" t="n"/>
      <c r="G522" s="48" t="n"/>
      <c r="H522" s="48" t="n"/>
      <c r="I522" s="49" t="n"/>
      <c r="J522" s="50" t="n"/>
      <c r="K522" s="48" t="n"/>
      <c r="L522" s="51">
        <f>IF(A522="","",DATE(YEAR(A522),MONTH(A522),1))</f>
        <v/>
      </c>
      <c r="M522" s="52">
        <f>IF(OR(A522="",NOT(ISNUMBER(I522))),"",IF(G522=Lists!$B$5,I522/2,IF(G522=Lists!$B$6,I522,0)))</f>
        <v/>
      </c>
      <c r="N522" s="52">
        <f>IF(OR(A522="",NOT(ISNUMBER(I522))),"",IF(G522=Lists!$B$5,I522/2,IF(G522=Lists!$B$7,I522,0)))</f>
        <v/>
      </c>
      <c r="O522" s="53">
        <f>IF(COUNTA(A522:K522)=0,"",IF(OR(A522="",B522="",C522="",D522="",E522="",F522="",G522="",NOT(ISNUMBER(I522))),"Incomplete",IF(COUNTIF(Lists!$H$4:$AA$4,C522)=0,"Check category",IF(COUNTIF(INDEX(Lists!$H$6:$AA$45,0,MATCH(C522,Lists!$H$4:$AA$4,0)),D522)=0,"Check sub-category","OK"))))</f>
        <v/>
      </c>
      <c r="P522">
        <f>IF(ISNUMBER(I522),I522+ROW()/10000000,"")</f>
        <v/>
      </c>
      <c r="Q522">
        <f>IF(AND(ISNUMBER(P522),ISNUMBER(A522)),IF(AND(A522&gt;=Dashboard!$Q$3,A522&lt;=Dashboard!$Q$4,OR(J522&lt;&gt;"Yes",Dashboard!$Q$15="Yes")),P522,""),"")</f>
        <v/>
      </c>
    </row>
    <row r="523">
      <c r="A523" s="47" t="n"/>
      <c r="B523" s="48" t="n"/>
      <c r="C523" s="48" t="n"/>
      <c r="D523" s="48" t="n"/>
      <c r="E523" s="48" t="n"/>
      <c r="F523" s="48" t="n"/>
      <c r="G523" s="48" t="n"/>
      <c r="H523" s="48" t="n"/>
      <c r="I523" s="49" t="n"/>
      <c r="J523" s="50" t="n"/>
      <c r="K523" s="48" t="n"/>
      <c r="L523" s="51">
        <f>IF(A523="","",DATE(YEAR(A523),MONTH(A523),1))</f>
        <v/>
      </c>
      <c r="M523" s="52">
        <f>IF(OR(A523="",NOT(ISNUMBER(I523))),"",IF(G523=Lists!$B$5,I523/2,IF(G523=Lists!$B$6,I523,0)))</f>
        <v/>
      </c>
      <c r="N523" s="52">
        <f>IF(OR(A523="",NOT(ISNUMBER(I523))),"",IF(G523=Lists!$B$5,I523/2,IF(G523=Lists!$B$7,I523,0)))</f>
        <v/>
      </c>
      <c r="O523" s="53">
        <f>IF(COUNTA(A523:K523)=0,"",IF(OR(A523="",B523="",C523="",D523="",E523="",F523="",G523="",NOT(ISNUMBER(I523))),"Incomplete",IF(COUNTIF(Lists!$H$4:$AA$4,C523)=0,"Check category",IF(COUNTIF(INDEX(Lists!$H$6:$AA$45,0,MATCH(C523,Lists!$H$4:$AA$4,0)),D523)=0,"Check sub-category","OK"))))</f>
        <v/>
      </c>
      <c r="P523">
        <f>IF(ISNUMBER(I523),I523+ROW()/10000000,"")</f>
        <v/>
      </c>
      <c r="Q523">
        <f>IF(AND(ISNUMBER(P523),ISNUMBER(A523)),IF(AND(A523&gt;=Dashboard!$Q$3,A523&lt;=Dashboard!$Q$4,OR(J523&lt;&gt;"Yes",Dashboard!$Q$15="Yes")),P523,""),"")</f>
        <v/>
      </c>
    </row>
    <row r="524">
      <c r="A524" s="47" t="n"/>
      <c r="B524" s="48" t="n"/>
      <c r="C524" s="48" t="n"/>
      <c r="D524" s="48" t="n"/>
      <c r="E524" s="48" t="n"/>
      <c r="F524" s="48" t="n"/>
      <c r="G524" s="48" t="n"/>
      <c r="H524" s="48" t="n"/>
      <c r="I524" s="49" t="n"/>
      <c r="J524" s="50" t="n"/>
      <c r="K524" s="48" t="n"/>
      <c r="L524" s="51">
        <f>IF(A524="","",DATE(YEAR(A524),MONTH(A524),1))</f>
        <v/>
      </c>
      <c r="M524" s="52">
        <f>IF(OR(A524="",NOT(ISNUMBER(I524))),"",IF(G524=Lists!$B$5,I524/2,IF(G524=Lists!$B$6,I524,0)))</f>
        <v/>
      </c>
      <c r="N524" s="52">
        <f>IF(OR(A524="",NOT(ISNUMBER(I524))),"",IF(G524=Lists!$B$5,I524/2,IF(G524=Lists!$B$7,I524,0)))</f>
        <v/>
      </c>
      <c r="O524" s="53">
        <f>IF(COUNTA(A524:K524)=0,"",IF(OR(A524="",B524="",C524="",D524="",E524="",F524="",G524="",NOT(ISNUMBER(I524))),"Incomplete",IF(COUNTIF(Lists!$H$4:$AA$4,C524)=0,"Check category",IF(COUNTIF(INDEX(Lists!$H$6:$AA$45,0,MATCH(C524,Lists!$H$4:$AA$4,0)),D524)=0,"Check sub-category","OK"))))</f>
        <v/>
      </c>
      <c r="P524">
        <f>IF(ISNUMBER(I524),I524+ROW()/10000000,"")</f>
        <v/>
      </c>
      <c r="Q524">
        <f>IF(AND(ISNUMBER(P524),ISNUMBER(A524)),IF(AND(A524&gt;=Dashboard!$Q$3,A524&lt;=Dashboard!$Q$4,OR(J524&lt;&gt;"Yes",Dashboard!$Q$15="Yes")),P524,""),"")</f>
        <v/>
      </c>
    </row>
    <row r="525">
      <c r="A525" s="47" t="n"/>
      <c r="B525" s="48" t="n"/>
      <c r="C525" s="48" t="n"/>
      <c r="D525" s="48" t="n"/>
      <c r="E525" s="48" t="n"/>
      <c r="F525" s="48" t="n"/>
      <c r="G525" s="48" t="n"/>
      <c r="H525" s="48" t="n"/>
      <c r="I525" s="49" t="n"/>
      <c r="J525" s="50" t="n"/>
      <c r="K525" s="48" t="n"/>
      <c r="L525" s="51">
        <f>IF(A525="","",DATE(YEAR(A525),MONTH(A525),1))</f>
        <v/>
      </c>
      <c r="M525" s="52">
        <f>IF(OR(A525="",NOT(ISNUMBER(I525))),"",IF(G525=Lists!$B$5,I525/2,IF(G525=Lists!$B$6,I525,0)))</f>
        <v/>
      </c>
      <c r="N525" s="52">
        <f>IF(OR(A525="",NOT(ISNUMBER(I525))),"",IF(G525=Lists!$B$5,I525/2,IF(G525=Lists!$B$7,I525,0)))</f>
        <v/>
      </c>
      <c r="O525" s="53">
        <f>IF(COUNTA(A525:K525)=0,"",IF(OR(A525="",B525="",C525="",D525="",E525="",F525="",G525="",NOT(ISNUMBER(I525))),"Incomplete",IF(COUNTIF(Lists!$H$4:$AA$4,C525)=0,"Check category",IF(COUNTIF(INDEX(Lists!$H$6:$AA$45,0,MATCH(C525,Lists!$H$4:$AA$4,0)),D525)=0,"Check sub-category","OK"))))</f>
        <v/>
      </c>
      <c r="P525">
        <f>IF(ISNUMBER(I525),I525+ROW()/10000000,"")</f>
        <v/>
      </c>
      <c r="Q525">
        <f>IF(AND(ISNUMBER(P525),ISNUMBER(A525)),IF(AND(A525&gt;=Dashboard!$Q$3,A525&lt;=Dashboard!$Q$4,OR(J525&lt;&gt;"Yes",Dashboard!$Q$15="Yes")),P525,""),"")</f>
        <v/>
      </c>
    </row>
    <row r="526">
      <c r="A526" s="47" t="n"/>
      <c r="B526" s="48" t="n"/>
      <c r="C526" s="48" t="n"/>
      <c r="D526" s="48" t="n"/>
      <c r="E526" s="48" t="n"/>
      <c r="F526" s="48" t="n"/>
      <c r="G526" s="48" t="n"/>
      <c r="H526" s="48" t="n"/>
      <c r="I526" s="49" t="n"/>
      <c r="J526" s="50" t="n"/>
      <c r="K526" s="48" t="n"/>
      <c r="L526" s="51">
        <f>IF(A526="","",DATE(YEAR(A526),MONTH(A526),1))</f>
        <v/>
      </c>
      <c r="M526" s="52">
        <f>IF(OR(A526="",NOT(ISNUMBER(I526))),"",IF(G526=Lists!$B$5,I526/2,IF(G526=Lists!$B$6,I526,0)))</f>
        <v/>
      </c>
      <c r="N526" s="52">
        <f>IF(OR(A526="",NOT(ISNUMBER(I526))),"",IF(G526=Lists!$B$5,I526/2,IF(G526=Lists!$B$7,I526,0)))</f>
        <v/>
      </c>
      <c r="O526" s="53">
        <f>IF(COUNTA(A526:K526)=0,"",IF(OR(A526="",B526="",C526="",D526="",E526="",F526="",G526="",NOT(ISNUMBER(I526))),"Incomplete",IF(COUNTIF(Lists!$H$4:$AA$4,C526)=0,"Check category",IF(COUNTIF(INDEX(Lists!$H$6:$AA$45,0,MATCH(C526,Lists!$H$4:$AA$4,0)),D526)=0,"Check sub-category","OK"))))</f>
        <v/>
      </c>
      <c r="P526">
        <f>IF(ISNUMBER(I526),I526+ROW()/10000000,"")</f>
        <v/>
      </c>
      <c r="Q526">
        <f>IF(AND(ISNUMBER(P526),ISNUMBER(A526)),IF(AND(A526&gt;=Dashboard!$Q$3,A526&lt;=Dashboard!$Q$4,OR(J526&lt;&gt;"Yes",Dashboard!$Q$15="Yes")),P526,""),"")</f>
        <v/>
      </c>
    </row>
    <row r="527">
      <c r="A527" s="47" t="n"/>
      <c r="B527" s="48" t="n"/>
      <c r="C527" s="48" t="n"/>
      <c r="D527" s="48" t="n"/>
      <c r="E527" s="48" t="n"/>
      <c r="F527" s="48" t="n"/>
      <c r="G527" s="48" t="n"/>
      <c r="H527" s="48" t="n"/>
      <c r="I527" s="49" t="n"/>
      <c r="J527" s="50" t="n"/>
      <c r="K527" s="48" t="n"/>
      <c r="L527" s="51">
        <f>IF(A527="","",DATE(YEAR(A527),MONTH(A527),1))</f>
        <v/>
      </c>
      <c r="M527" s="52">
        <f>IF(OR(A527="",NOT(ISNUMBER(I527))),"",IF(G527=Lists!$B$5,I527/2,IF(G527=Lists!$B$6,I527,0)))</f>
        <v/>
      </c>
      <c r="N527" s="52">
        <f>IF(OR(A527="",NOT(ISNUMBER(I527))),"",IF(G527=Lists!$B$5,I527/2,IF(G527=Lists!$B$7,I527,0)))</f>
        <v/>
      </c>
      <c r="O527" s="53">
        <f>IF(COUNTA(A527:K527)=0,"",IF(OR(A527="",B527="",C527="",D527="",E527="",F527="",G527="",NOT(ISNUMBER(I527))),"Incomplete",IF(COUNTIF(Lists!$H$4:$AA$4,C527)=0,"Check category",IF(COUNTIF(INDEX(Lists!$H$6:$AA$45,0,MATCH(C527,Lists!$H$4:$AA$4,0)),D527)=0,"Check sub-category","OK"))))</f>
        <v/>
      </c>
      <c r="P527">
        <f>IF(ISNUMBER(I527),I527+ROW()/10000000,"")</f>
        <v/>
      </c>
      <c r="Q527">
        <f>IF(AND(ISNUMBER(P527),ISNUMBER(A527)),IF(AND(A527&gt;=Dashboard!$Q$3,A527&lt;=Dashboard!$Q$4,OR(J527&lt;&gt;"Yes",Dashboard!$Q$15="Yes")),P527,""),"")</f>
        <v/>
      </c>
    </row>
    <row r="528">
      <c r="A528" s="47" t="n"/>
      <c r="B528" s="48" t="n"/>
      <c r="C528" s="48" t="n"/>
      <c r="D528" s="48" t="n"/>
      <c r="E528" s="48" t="n"/>
      <c r="F528" s="48" t="n"/>
      <c r="G528" s="48" t="n"/>
      <c r="H528" s="48" t="n"/>
      <c r="I528" s="49" t="n"/>
      <c r="J528" s="50" t="n"/>
      <c r="K528" s="48" t="n"/>
      <c r="L528" s="51">
        <f>IF(A528="","",DATE(YEAR(A528),MONTH(A528),1))</f>
        <v/>
      </c>
      <c r="M528" s="52">
        <f>IF(OR(A528="",NOT(ISNUMBER(I528))),"",IF(G528=Lists!$B$5,I528/2,IF(G528=Lists!$B$6,I528,0)))</f>
        <v/>
      </c>
      <c r="N528" s="52">
        <f>IF(OR(A528="",NOT(ISNUMBER(I528))),"",IF(G528=Lists!$B$5,I528/2,IF(G528=Lists!$B$7,I528,0)))</f>
        <v/>
      </c>
      <c r="O528" s="53">
        <f>IF(COUNTA(A528:K528)=0,"",IF(OR(A528="",B528="",C528="",D528="",E528="",F528="",G528="",NOT(ISNUMBER(I528))),"Incomplete",IF(COUNTIF(Lists!$H$4:$AA$4,C528)=0,"Check category",IF(COUNTIF(INDEX(Lists!$H$6:$AA$45,0,MATCH(C528,Lists!$H$4:$AA$4,0)),D528)=0,"Check sub-category","OK"))))</f>
        <v/>
      </c>
      <c r="P528">
        <f>IF(ISNUMBER(I528),I528+ROW()/10000000,"")</f>
        <v/>
      </c>
      <c r="Q528">
        <f>IF(AND(ISNUMBER(P528),ISNUMBER(A528)),IF(AND(A528&gt;=Dashboard!$Q$3,A528&lt;=Dashboard!$Q$4,OR(J528&lt;&gt;"Yes",Dashboard!$Q$15="Yes")),P528,""),"")</f>
        <v/>
      </c>
    </row>
    <row r="529">
      <c r="A529" s="47" t="n"/>
      <c r="B529" s="48" t="n"/>
      <c r="C529" s="48" t="n"/>
      <c r="D529" s="48" t="n"/>
      <c r="E529" s="48" t="n"/>
      <c r="F529" s="48" t="n"/>
      <c r="G529" s="48" t="n"/>
      <c r="H529" s="48" t="n"/>
      <c r="I529" s="49" t="n"/>
      <c r="J529" s="50" t="n"/>
      <c r="K529" s="48" t="n"/>
      <c r="L529" s="51">
        <f>IF(A529="","",DATE(YEAR(A529),MONTH(A529),1))</f>
        <v/>
      </c>
      <c r="M529" s="52">
        <f>IF(OR(A529="",NOT(ISNUMBER(I529))),"",IF(G529=Lists!$B$5,I529/2,IF(G529=Lists!$B$6,I529,0)))</f>
        <v/>
      </c>
      <c r="N529" s="52">
        <f>IF(OR(A529="",NOT(ISNUMBER(I529))),"",IF(G529=Lists!$B$5,I529/2,IF(G529=Lists!$B$7,I529,0)))</f>
        <v/>
      </c>
      <c r="O529" s="53">
        <f>IF(COUNTA(A529:K529)=0,"",IF(OR(A529="",B529="",C529="",D529="",E529="",F529="",G529="",NOT(ISNUMBER(I529))),"Incomplete",IF(COUNTIF(Lists!$H$4:$AA$4,C529)=0,"Check category",IF(COUNTIF(INDEX(Lists!$H$6:$AA$45,0,MATCH(C529,Lists!$H$4:$AA$4,0)),D529)=0,"Check sub-category","OK"))))</f>
        <v/>
      </c>
      <c r="P529">
        <f>IF(ISNUMBER(I529),I529+ROW()/10000000,"")</f>
        <v/>
      </c>
      <c r="Q529">
        <f>IF(AND(ISNUMBER(P529),ISNUMBER(A529)),IF(AND(A529&gt;=Dashboard!$Q$3,A529&lt;=Dashboard!$Q$4,OR(J529&lt;&gt;"Yes",Dashboard!$Q$15="Yes")),P529,""),"")</f>
        <v/>
      </c>
    </row>
    <row r="530">
      <c r="A530" s="47" t="n"/>
      <c r="B530" s="48" t="n"/>
      <c r="C530" s="48" t="n"/>
      <c r="D530" s="48" t="n"/>
      <c r="E530" s="48" t="n"/>
      <c r="F530" s="48" t="n"/>
      <c r="G530" s="48" t="n"/>
      <c r="H530" s="48" t="n"/>
      <c r="I530" s="49" t="n"/>
      <c r="J530" s="50" t="n"/>
      <c r="K530" s="48" t="n"/>
      <c r="L530" s="51">
        <f>IF(A530="","",DATE(YEAR(A530),MONTH(A530),1))</f>
        <v/>
      </c>
      <c r="M530" s="52">
        <f>IF(OR(A530="",NOT(ISNUMBER(I530))),"",IF(G530=Lists!$B$5,I530/2,IF(G530=Lists!$B$6,I530,0)))</f>
        <v/>
      </c>
      <c r="N530" s="52">
        <f>IF(OR(A530="",NOT(ISNUMBER(I530))),"",IF(G530=Lists!$B$5,I530/2,IF(G530=Lists!$B$7,I530,0)))</f>
        <v/>
      </c>
      <c r="O530" s="53">
        <f>IF(COUNTA(A530:K530)=0,"",IF(OR(A530="",B530="",C530="",D530="",E530="",F530="",G530="",NOT(ISNUMBER(I530))),"Incomplete",IF(COUNTIF(Lists!$H$4:$AA$4,C530)=0,"Check category",IF(COUNTIF(INDEX(Lists!$H$6:$AA$45,0,MATCH(C530,Lists!$H$4:$AA$4,0)),D530)=0,"Check sub-category","OK"))))</f>
        <v/>
      </c>
      <c r="P530">
        <f>IF(ISNUMBER(I530),I530+ROW()/10000000,"")</f>
        <v/>
      </c>
      <c r="Q530">
        <f>IF(AND(ISNUMBER(P530),ISNUMBER(A530)),IF(AND(A530&gt;=Dashboard!$Q$3,A530&lt;=Dashboard!$Q$4,OR(J530&lt;&gt;"Yes",Dashboard!$Q$15="Yes")),P530,""),"")</f>
        <v/>
      </c>
    </row>
    <row r="531">
      <c r="A531" s="47" t="n"/>
      <c r="B531" s="48" t="n"/>
      <c r="C531" s="48" t="n"/>
      <c r="D531" s="48" t="n"/>
      <c r="E531" s="48" t="n"/>
      <c r="F531" s="48" t="n"/>
      <c r="G531" s="48" t="n"/>
      <c r="H531" s="48" t="n"/>
      <c r="I531" s="49" t="n"/>
      <c r="J531" s="50" t="n"/>
      <c r="K531" s="48" t="n"/>
      <c r="L531" s="51">
        <f>IF(A531="","",DATE(YEAR(A531),MONTH(A531),1))</f>
        <v/>
      </c>
      <c r="M531" s="52">
        <f>IF(OR(A531="",NOT(ISNUMBER(I531))),"",IF(G531=Lists!$B$5,I531/2,IF(G531=Lists!$B$6,I531,0)))</f>
        <v/>
      </c>
      <c r="N531" s="52">
        <f>IF(OR(A531="",NOT(ISNUMBER(I531))),"",IF(G531=Lists!$B$5,I531/2,IF(G531=Lists!$B$7,I531,0)))</f>
        <v/>
      </c>
      <c r="O531" s="53">
        <f>IF(COUNTA(A531:K531)=0,"",IF(OR(A531="",B531="",C531="",D531="",E531="",F531="",G531="",NOT(ISNUMBER(I531))),"Incomplete",IF(COUNTIF(Lists!$H$4:$AA$4,C531)=0,"Check category",IF(COUNTIF(INDEX(Lists!$H$6:$AA$45,0,MATCH(C531,Lists!$H$4:$AA$4,0)),D531)=0,"Check sub-category","OK"))))</f>
        <v/>
      </c>
      <c r="P531">
        <f>IF(ISNUMBER(I531),I531+ROW()/10000000,"")</f>
        <v/>
      </c>
      <c r="Q531">
        <f>IF(AND(ISNUMBER(P531),ISNUMBER(A531)),IF(AND(A531&gt;=Dashboard!$Q$3,A531&lt;=Dashboard!$Q$4,OR(J531&lt;&gt;"Yes",Dashboard!$Q$15="Yes")),P531,""),"")</f>
        <v/>
      </c>
    </row>
    <row r="532">
      <c r="A532" s="47" t="n"/>
      <c r="B532" s="48" t="n"/>
      <c r="C532" s="48" t="n"/>
      <c r="D532" s="48" t="n"/>
      <c r="E532" s="48" t="n"/>
      <c r="F532" s="48" t="n"/>
      <c r="G532" s="48" t="n"/>
      <c r="H532" s="48" t="n"/>
      <c r="I532" s="49" t="n"/>
      <c r="J532" s="50" t="n"/>
      <c r="K532" s="48" t="n"/>
      <c r="L532" s="51">
        <f>IF(A532="","",DATE(YEAR(A532),MONTH(A532),1))</f>
        <v/>
      </c>
      <c r="M532" s="52">
        <f>IF(OR(A532="",NOT(ISNUMBER(I532))),"",IF(G532=Lists!$B$5,I532/2,IF(G532=Lists!$B$6,I532,0)))</f>
        <v/>
      </c>
      <c r="N532" s="52">
        <f>IF(OR(A532="",NOT(ISNUMBER(I532))),"",IF(G532=Lists!$B$5,I532/2,IF(G532=Lists!$B$7,I532,0)))</f>
        <v/>
      </c>
      <c r="O532" s="53">
        <f>IF(COUNTA(A532:K532)=0,"",IF(OR(A532="",B532="",C532="",D532="",E532="",F532="",G532="",NOT(ISNUMBER(I532))),"Incomplete",IF(COUNTIF(Lists!$H$4:$AA$4,C532)=0,"Check category",IF(COUNTIF(INDEX(Lists!$H$6:$AA$45,0,MATCH(C532,Lists!$H$4:$AA$4,0)),D532)=0,"Check sub-category","OK"))))</f>
        <v/>
      </c>
      <c r="P532">
        <f>IF(ISNUMBER(I532),I532+ROW()/10000000,"")</f>
        <v/>
      </c>
      <c r="Q532">
        <f>IF(AND(ISNUMBER(P532),ISNUMBER(A532)),IF(AND(A532&gt;=Dashboard!$Q$3,A532&lt;=Dashboard!$Q$4,OR(J532&lt;&gt;"Yes",Dashboard!$Q$15="Yes")),P532,""),"")</f>
        <v/>
      </c>
    </row>
    <row r="533">
      <c r="A533" s="47" t="n"/>
      <c r="B533" s="48" t="n"/>
      <c r="C533" s="48" t="n"/>
      <c r="D533" s="48" t="n"/>
      <c r="E533" s="48" t="n"/>
      <c r="F533" s="48" t="n"/>
      <c r="G533" s="48" t="n"/>
      <c r="H533" s="48" t="n"/>
      <c r="I533" s="49" t="n"/>
      <c r="J533" s="50" t="n"/>
      <c r="K533" s="48" t="n"/>
      <c r="L533" s="51">
        <f>IF(A533="","",DATE(YEAR(A533),MONTH(A533),1))</f>
        <v/>
      </c>
      <c r="M533" s="52">
        <f>IF(OR(A533="",NOT(ISNUMBER(I533))),"",IF(G533=Lists!$B$5,I533/2,IF(G533=Lists!$B$6,I533,0)))</f>
        <v/>
      </c>
      <c r="N533" s="52">
        <f>IF(OR(A533="",NOT(ISNUMBER(I533))),"",IF(G533=Lists!$B$5,I533/2,IF(G533=Lists!$B$7,I533,0)))</f>
        <v/>
      </c>
      <c r="O533" s="53">
        <f>IF(COUNTA(A533:K533)=0,"",IF(OR(A533="",B533="",C533="",D533="",E533="",F533="",G533="",NOT(ISNUMBER(I533))),"Incomplete",IF(COUNTIF(Lists!$H$4:$AA$4,C533)=0,"Check category",IF(COUNTIF(INDEX(Lists!$H$6:$AA$45,0,MATCH(C533,Lists!$H$4:$AA$4,0)),D533)=0,"Check sub-category","OK"))))</f>
        <v/>
      </c>
      <c r="P533">
        <f>IF(ISNUMBER(I533),I533+ROW()/10000000,"")</f>
        <v/>
      </c>
      <c r="Q533">
        <f>IF(AND(ISNUMBER(P533),ISNUMBER(A533)),IF(AND(A533&gt;=Dashboard!$Q$3,A533&lt;=Dashboard!$Q$4,OR(J533&lt;&gt;"Yes",Dashboard!$Q$15="Yes")),P533,""),"")</f>
        <v/>
      </c>
    </row>
    <row r="534">
      <c r="A534" s="47" t="n"/>
      <c r="B534" s="48" t="n"/>
      <c r="C534" s="48" t="n"/>
      <c r="D534" s="48" t="n"/>
      <c r="E534" s="48" t="n"/>
      <c r="F534" s="48" t="n"/>
      <c r="G534" s="48" t="n"/>
      <c r="H534" s="48" t="n"/>
      <c r="I534" s="49" t="n"/>
      <c r="J534" s="50" t="n"/>
      <c r="K534" s="48" t="n"/>
      <c r="L534" s="51">
        <f>IF(A534="","",DATE(YEAR(A534),MONTH(A534),1))</f>
        <v/>
      </c>
      <c r="M534" s="52">
        <f>IF(OR(A534="",NOT(ISNUMBER(I534))),"",IF(G534=Lists!$B$5,I534/2,IF(G534=Lists!$B$6,I534,0)))</f>
        <v/>
      </c>
      <c r="N534" s="52">
        <f>IF(OR(A534="",NOT(ISNUMBER(I534))),"",IF(G534=Lists!$B$5,I534/2,IF(G534=Lists!$B$7,I534,0)))</f>
        <v/>
      </c>
      <c r="O534" s="53">
        <f>IF(COUNTA(A534:K534)=0,"",IF(OR(A534="",B534="",C534="",D534="",E534="",F534="",G534="",NOT(ISNUMBER(I534))),"Incomplete",IF(COUNTIF(Lists!$H$4:$AA$4,C534)=0,"Check category",IF(COUNTIF(INDEX(Lists!$H$6:$AA$45,0,MATCH(C534,Lists!$H$4:$AA$4,0)),D534)=0,"Check sub-category","OK"))))</f>
        <v/>
      </c>
      <c r="P534">
        <f>IF(ISNUMBER(I534),I534+ROW()/10000000,"")</f>
        <v/>
      </c>
      <c r="Q534">
        <f>IF(AND(ISNUMBER(P534),ISNUMBER(A534)),IF(AND(A534&gt;=Dashboard!$Q$3,A534&lt;=Dashboard!$Q$4,OR(J534&lt;&gt;"Yes",Dashboard!$Q$15="Yes")),P534,""),"")</f>
        <v/>
      </c>
    </row>
    <row r="535">
      <c r="A535" s="47" t="n"/>
      <c r="B535" s="48" t="n"/>
      <c r="C535" s="48" t="n"/>
      <c r="D535" s="48" t="n"/>
      <c r="E535" s="48" t="n"/>
      <c r="F535" s="48" t="n"/>
      <c r="G535" s="48" t="n"/>
      <c r="H535" s="48" t="n"/>
      <c r="I535" s="49" t="n"/>
      <c r="J535" s="50" t="n"/>
      <c r="K535" s="48" t="n"/>
      <c r="L535" s="51">
        <f>IF(A535="","",DATE(YEAR(A535),MONTH(A535),1))</f>
        <v/>
      </c>
      <c r="M535" s="52">
        <f>IF(OR(A535="",NOT(ISNUMBER(I535))),"",IF(G535=Lists!$B$5,I535/2,IF(G535=Lists!$B$6,I535,0)))</f>
        <v/>
      </c>
      <c r="N535" s="52">
        <f>IF(OR(A535="",NOT(ISNUMBER(I535))),"",IF(G535=Lists!$B$5,I535/2,IF(G535=Lists!$B$7,I535,0)))</f>
        <v/>
      </c>
      <c r="O535" s="53">
        <f>IF(COUNTA(A535:K535)=0,"",IF(OR(A535="",B535="",C535="",D535="",E535="",F535="",G535="",NOT(ISNUMBER(I535))),"Incomplete",IF(COUNTIF(Lists!$H$4:$AA$4,C535)=0,"Check category",IF(COUNTIF(INDEX(Lists!$H$6:$AA$45,0,MATCH(C535,Lists!$H$4:$AA$4,0)),D535)=0,"Check sub-category","OK"))))</f>
        <v/>
      </c>
      <c r="P535">
        <f>IF(ISNUMBER(I535),I535+ROW()/10000000,"")</f>
        <v/>
      </c>
      <c r="Q535">
        <f>IF(AND(ISNUMBER(P535),ISNUMBER(A535)),IF(AND(A535&gt;=Dashboard!$Q$3,A535&lt;=Dashboard!$Q$4,OR(J535&lt;&gt;"Yes",Dashboard!$Q$15="Yes")),P535,""),"")</f>
        <v/>
      </c>
    </row>
    <row r="536">
      <c r="A536" s="47" t="n"/>
      <c r="B536" s="48" t="n"/>
      <c r="C536" s="48" t="n"/>
      <c r="D536" s="48" t="n"/>
      <c r="E536" s="48" t="n"/>
      <c r="F536" s="48" t="n"/>
      <c r="G536" s="48" t="n"/>
      <c r="H536" s="48" t="n"/>
      <c r="I536" s="49" t="n"/>
      <c r="J536" s="50" t="n"/>
      <c r="K536" s="48" t="n"/>
      <c r="L536" s="51">
        <f>IF(A536="","",DATE(YEAR(A536),MONTH(A536),1))</f>
        <v/>
      </c>
      <c r="M536" s="52">
        <f>IF(OR(A536="",NOT(ISNUMBER(I536))),"",IF(G536=Lists!$B$5,I536/2,IF(G536=Lists!$B$6,I536,0)))</f>
        <v/>
      </c>
      <c r="N536" s="52">
        <f>IF(OR(A536="",NOT(ISNUMBER(I536))),"",IF(G536=Lists!$B$5,I536/2,IF(G536=Lists!$B$7,I536,0)))</f>
        <v/>
      </c>
      <c r="O536" s="53">
        <f>IF(COUNTA(A536:K536)=0,"",IF(OR(A536="",B536="",C536="",D536="",E536="",F536="",G536="",NOT(ISNUMBER(I536))),"Incomplete",IF(COUNTIF(Lists!$H$4:$AA$4,C536)=0,"Check category",IF(COUNTIF(INDEX(Lists!$H$6:$AA$45,0,MATCH(C536,Lists!$H$4:$AA$4,0)),D536)=0,"Check sub-category","OK"))))</f>
        <v/>
      </c>
      <c r="P536">
        <f>IF(ISNUMBER(I536),I536+ROW()/10000000,"")</f>
        <v/>
      </c>
      <c r="Q536">
        <f>IF(AND(ISNUMBER(P536),ISNUMBER(A536)),IF(AND(A536&gt;=Dashboard!$Q$3,A536&lt;=Dashboard!$Q$4,OR(J536&lt;&gt;"Yes",Dashboard!$Q$15="Yes")),P536,""),"")</f>
        <v/>
      </c>
    </row>
    <row r="537">
      <c r="A537" s="47" t="n"/>
      <c r="B537" s="48" t="n"/>
      <c r="C537" s="48" t="n"/>
      <c r="D537" s="48" t="n"/>
      <c r="E537" s="48" t="n"/>
      <c r="F537" s="48" t="n"/>
      <c r="G537" s="48" t="n"/>
      <c r="H537" s="48" t="n"/>
      <c r="I537" s="49" t="n"/>
      <c r="J537" s="50" t="n"/>
      <c r="K537" s="48" t="n"/>
      <c r="L537" s="51">
        <f>IF(A537="","",DATE(YEAR(A537),MONTH(A537),1))</f>
        <v/>
      </c>
      <c r="M537" s="52">
        <f>IF(OR(A537="",NOT(ISNUMBER(I537))),"",IF(G537=Lists!$B$5,I537/2,IF(G537=Lists!$B$6,I537,0)))</f>
        <v/>
      </c>
      <c r="N537" s="52">
        <f>IF(OR(A537="",NOT(ISNUMBER(I537))),"",IF(G537=Lists!$B$5,I537/2,IF(G537=Lists!$B$7,I537,0)))</f>
        <v/>
      </c>
      <c r="O537" s="53">
        <f>IF(COUNTA(A537:K537)=0,"",IF(OR(A537="",B537="",C537="",D537="",E537="",F537="",G537="",NOT(ISNUMBER(I537))),"Incomplete",IF(COUNTIF(Lists!$H$4:$AA$4,C537)=0,"Check category",IF(COUNTIF(INDEX(Lists!$H$6:$AA$45,0,MATCH(C537,Lists!$H$4:$AA$4,0)),D537)=0,"Check sub-category","OK"))))</f>
        <v/>
      </c>
      <c r="P537">
        <f>IF(ISNUMBER(I537),I537+ROW()/10000000,"")</f>
        <v/>
      </c>
      <c r="Q537">
        <f>IF(AND(ISNUMBER(P537),ISNUMBER(A537)),IF(AND(A537&gt;=Dashboard!$Q$3,A537&lt;=Dashboard!$Q$4,OR(J537&lt;&gt;"Yes",Dashboard!$Q$15="Yes")),P537,""),"")</f>
        <v/>
      </c>
    </row>
    <row r="538">
      <c r="A538" s="47" t="n"/>
      <c r="B538" s="48" t="n"/>
      <c r="C538" s="48" t="n"/>
      <c r="D538" s="48" t="n"/>
      <c r="E538" s="48" t="n"/>
      <c r="F538" s="48" t="n"/>
      <c r="G538" s="48" t="n"/>
      <c r="H538" s="48" t="n"/>
      <c r="I538" s="49" t="n"/>
      <c r="J538" s="50" t="n"/>
      <c r="K538" s="48" t="n"/>
      <c r="L538" s="51">
        <f>IF(A538="","",DATE(YEAR(A538),MONTH(A538),1))</f>
        <v/>
      </c>
      <c r="M538" s="52">
        <f>IF(OR(A538="",NOT(ISNUMBER(I538))),"",IF(G538=Lists!$B$5,I538/2,IF(G538=Lists!$B$6,I538,0)))</f>
        <v/>
      </c>
      <c r="N538" s="52">
        <f>IF(OR(A538="",NOT(ISNUMBER(I538))),"",IF(G538=Lists!$B$5,I538/2,IF(G538=Lists!$B$7,I538,0)))</f>
        <v/>
      </c>
      <c r="O538" s="53">
        <f>IF(COUNTA(A538:K538)=0,"",IF(OR(A538="",B538="",C538="",D538="",E538="",F538="",G538="",NOT(ISNUMBER(I538))),"Incomplete",IF(COUNTIF(Lists!$H$4:$AA$4,C538)=0,"Check category",IF(COUNTIF(INDEX(Lists!$H$6:$AA$45,0,MATCH(C538,Lists!$H$4:$AA$4,0)),D538)=0,"Check sub-category","OK"))))</f>
        <v/>
      </c>
      <c r="P538">
        <f>IF(ISNUMBER(I538),I538+ROW()/10000000,"")</f>
        <v/>
      </c>
      <c r="Q538">
        <f>IF(AND(ISNUMBER(P538),ISNUMBER(A538)),IF(AND(A538&gt;=Dashboard!$Q$3,A538&lt;=Dashboard!$Q$4,OR(J538&lt;&gt;"Yes",Dashboard!$Q$15="Yes")),P538,""),"")</f>
        <v/>
      </c>
    </row>
    <row r="539">
      <c r="A539" s="47" t="n"/>
      <c r="B539" s="48" t="n"/>
      <c r="C539" s="48" t="n"/>
      <c r="D539" s="48" t="n"/>
      <c r="E539" s="48" t="n"/>
      <c r="F539" s="48" t="n"/>
      <c r="G539" s="48" t="n"/>
      <c r="H539" s="48" t="n"/>
      <c r="I539" s="49" t="n"/>
      <c r="J539" s="50" t="n"/>
      <c r="K539" s="48" t="n"/>
      <c r="L539" s="51">
        <f>IF(A539="","",DATE(YEAR(A539),MONTH(A539),1))</f>
        <v/>
      </c>
      <c r="M539" s="52">
        <f>IF(OR(A539="",NOT(ISNUMBER(I539))),"",IF(G539=Lists!$B$5,I539/2,IF(G539=Lists!$B$6,I539,0)))</f>
        <v/>
      </c>
      <c r="N539" s="52">
        <f>IF(OR(A539="",NOT(ISNUMBER(I539))),"",IF(G539=Lists!$B$5,I539/2,IF(G539=Lists!$B$7,I539,0)))</f>
        <v/>
      </c>
      <c r="O539" s="53">
        <f>IF(COUNTA(A539:K539)=0,"",IF(OR(A539="",B539="",C539="",D539="",E539="",F539="",G539="",NOT(ISNUMBER(I539))),"Incomplete",IF(COUNTIF(Lists!$H$4:$AA$4,C539)=0,"Check category",IF(COUNTIF(INDEX(Lists!$H$6:$AA$45,0,MATCH(C539,Lists!$H$4:$AA$4,0)),D539)=0,"Check sub-category","OK"))))</f>
        <v/>
      </c>
      <c r="P539">
        <f>IF(ISNUMBER(I539),I539+ROW()/10000000,"")</f>
        <v/>
      </c>
      <c r="Q539">
        <f>IF(AND(ISNUMBER(P539),ISNUMBER(A539)),IF(AND(A539&gt;=Dashboard!$Q$3,A539&lt;=Dashboard!$Q$4,OR(J539&lt;&gt;"Yes",Dashboard!$Q$15="Yes")),P539,""),"")</f>
        <v/>
      </c>
    </row>
    <row r="540">
      <c r="A540" s="47" t="n"/>
      <c r="B540" s="48" t="n"/>
      <c r="C540" s="48" t="n"/>
      <c r="D540" s="48" t="n"/>
      <c r="E540" s="48" t="n"/>
      <c r="F540" s="48" t="n"/>
      <c r="G540" s="48" t="n"/>
      <c r="H540" s="48" t="n"/>
      <c r="I540" s="49" t="n"/>
      <c r="J540" s="50" t="n"/>
      <c r="K540" s="48" t="n"/>
      <c r="L540" s="51">
        <f>IF(A540="","",DATE(YEAR(A540),MONTH(A540),1))</f>
        <v/>
      </c>
      <c r="M540" s="52">
        <f>IF(OR(A540="",NOT(ISNUMBER(I540))),"",IF(G540=Lists!$B$5,I540/2,IF(G540=Lists!$B$6,I540,0)))</f>
        <v/>
      </c>
      <c r="N540" s="52">
        <f>IF(OR(A540="",NOT(ISNUMBER(I540))),"",IF(G540=Lists!$B$5,I540/2,IF(G540=Lists!$B$7,I540,0)))</f>
        <v/>
      </c>
      <c r="O540" s="53">
        <f>IF(COUNTA(A540:K540)=0,"",IF(OR(A540="",B540="",C540="",D540="",E540="",F540="",G540="",NOT(ISNUMBER(I540))),"Incomplete",IF(COUNTIF(Lists!$H$4:$AA$4,C540)=0,"Check category",IF(COUNTIF(INDEX(Lists!$H$6:$AA$45,0,MATCH(C540,Lists!$H$4:$AA$4,0)),D540)=0,"Check sub-category","OK"))))</f>
        <v/>
      </c>
      <c r="P540">
        <f>IF(ISNUMBER(I540),I540+ROW()/10000000,"")</f>
        <v/>
      </c>
      <c r="Q540">
        <f>IF(AND(ISNUMBER(P540),ISNUMBER(A540)),IF(AND(A540&gt;=Dashboard!$Q$3,A540&lt;=Dashboard!$Q$4,OR(J540&lt;&gt;"Yes",Dashboard!$Q$15="Yes")),P540,""),"")</f>
        <v/>
      </c>
    </row>
    <row r="541">
      <c r="A541" s="47" t="n"/>
      <c r="B541" s="48" t="n"/>
      <c r="C541" s="48" t="n"/>
      <c r="D541" s="48" t="n"/>
      <c r="E541" s="48" t="n"/>
      <c r="F541" s="48" t="n"/>
      <c r="G541" s="48" t="n"/>
      <c r="H541" s="48" t="n"/>
      <c r="I541" s="49" t="n"/>
      <c r="J541" s="50" t="n"/>
      <c r="K541" s="48" t="n"/>
      <c r="L541" s="51">
        <f>IF(A541="","",DATE(YEAR(A541),MONTH(A541),1))</f>
        <v/>
      </c>
      <c r="M541" s="52">
        <f>IF(OR(A541="",NOT(ISNUMBER(I541))),"",IF(G541=Lists!$B$5,I541/2,IF(G541=Lists!$B$6,I541,0)))</f>
        <v/>
      </c>
      <c r="N541" s="52">
        <f>IF(OR(A541="",NOT(ISNUMBER(I541))),"",IF(G541=Lists!$B$5,I541/2,IF(G541=Lists!$B$7,I541,0)))</f>
        <v/>
      </c>
      <c r="O541" s="53">
        <f>IF(COUNTA(A541:K541)=0,"",IF(OR(A541="",B541="",C541="",D541="",E541="",F541="",G541="",NOT(ISNUMBER(I541))),"Incomplete",IF(COUNTIF(Lists!$H$4:$AA$4,C541)=0,"Check category",IF(COUNTIF(INDEX(Lists!$H$6:$AA$45,0,MATCH(C541,Lists!$H$4:$AA$4,0)),D541)=0,"Check sub-category","OK"))))</f>
        <v/>
      </c>
      <c r="P541">
        <f>IF(ISNUMBER(I541),I541+ROW()/10000000,"")</f>
        <v/>
      </c>
      <c r="Q541">
        <f>IF(AND(ISNUMBER(P541),ISNUMBER(A541)),IF(AND(A541&gt;=Dashboard!$Q$3,A541&lt;=Dashboard!$Q$4,OR(J541&lt;&gt;"Yes",Dashboard!$Q$15="Yes")),P541,""),"")</f>
        <v/>
      </c>
    </row>
    <row r="542">
      <c r="A542" s="47" t="n"/>
      <c r="B542" s="48" t="n"/>
      <c r="C542" s="48" t="n"/>
      <c r="D542" s="48" t="n"/>
      <c r="E542" s="48" t="n"/>
      <c r="F542" s="48" t="n"/>
      <c r="G542" s="48" t="n"/>
      <c r="H542" s="48" t="n"/>
      <c r="I542" s="49" t="n"/>
      <c r="J542" s="50" t="n"/>
      <c r="K542" s="48" t="n"/>
      <c r="L542" s="51">
        <f>IF(A542="","",DATE(YEAR(A542),MONTH(A542),1))</f>
        <v/>
      </c>
      <c r="M542" s="52">
        <f>IF(OR(A542="",NOT(ISNUMBER(I542))),"",IF(G542=Lists!$B$5,I542/2,IF(G542=Lists!$B$6,I542,0)))</f>
        <v/>
      </c>
      <c r="N542" s="52">
        <f>IF(OR(A542="",NOT(ISNUMBER(I542))),"",IF(G542=Lists!$B$5,I542/2,IF(G542=Lists!$B$7,I542,0)))</f>
        <v/>
      </c>
      <c r="O542" s="53">
        <f>IF(COUNTA(A542:K542)=0,"",IF(OR(A542="",B542="",C542="",D542="",E542="",F542="",G542="",NOT(ISNUMBER(I542))),"Incomplete",IF(COUNTIF(Lists!$H$4:$AA$4,C542)=0,"Check category",IF(COUNTIF(INDEX(Lists!$H$6:$AA$45,0,MATCH(C542,Lists!$H$4:$AA$4,0)),D542)=0,"Check sub-category","OK"))))</f>
        <v/>
      </c>
      <c r="P542">
        <f>IF(ISNUMBER(I542),I542+ROW()/10000000,"")</f>
        <v/>
      </c>
      <c r="Q542">
        <f>IF(AND(ISNUMBER(P542),ISNUMBER(A542)),IF(AND(A542&gt;=Dashboard!$Q$3,A542&lt;=Dashboard!$Q$4,OR(J542&lt;&gt;"Yes",Dashboard!$Q$15="Yes")),P542,""),"")</f>
        <v/>
      </c>
    </row>
    <row r="543">
      <c r="A543" s="47" t="n"/>
      <c r="B543" s="48" t="n"/>
      <c r="C543" s="48" t="n"/>
      <c r="D543" s="48" t="n"/>
      <c r="E543" s="48" t="n"/>
      <c r="F543" s="48" t="n"/>
      <c r="G543" s="48" t="n"/>
      <c r="H543" s="48" t="n"/>
      <c r="I543" s="49" t="n"/>
      <c r="J543" s="50" t="n"/>
      <c r="K543" s="48" t="n"/>
      <c r="L543" s="51">
        <f>IF(A543="","",DATE(YEAR(A543),MONTH(A543),1))</f>
        <v/>
      </c>
      <c r="M543" s="52">
        <f>IF(OR(A543="",NOT(ISNUMBER(I543))),"",IF(G543=Lists!$B$5,I543/2,IF(G543=Lists!$B$6,I543,0)))</f>
        <v/>
      </c>
      <c r="N543" s="52">
        <f>IF(OR(A543="",NOT(ISNUMBER(I543))),"",IF(G543=Lists!$B$5,I543/2,IF(G543=Lists!$B$7,I543,0)))</f>
        <v/>
      </c>
      <c r="O543" s="53">
        <f>IF(COUNTA(A543:K543)=0,"",IF(OR(A543="",B543="",C543="",D543="",E543="",F543="",G543="",NOT(ISNUMBER(I543))),"Incomplete",IF(COUNTIF(Lists!$H$4:$AA$4,C543)=0,"Check category",IF(COUNTIF(INDEX(Lists!$H$6:$AA$45,0,MATCH(C543,Lists!$H$4:$AA$4,0)),D543)=0,"Check sub-category","OK"))))</f>
        <v/>
      </c>
      <c r="P543">
        <f>IF(ISNUMBER(I543),I543+ROW()/10000000,"")</f>
        <v/>
      </c>
      <c r="Q543">
        <f>IF(AND(ISNUMBER(P543),ISNUMBER(A543)),IF(AND(A543&gt;=Dashboard!$Q$3,A543&lt;=Dashboard!$Q$4,OR(J543&lt;&gt;"Yes",Dashboard!$Q$15="Yes")),P543,""),"")</f>
        <v/>
      </c>
    </row>
    <row r="544">
      <c r="A544" s="47" t="n"/>
      <c r="B544" s="48" t="n"/>
      <c r="C544" s="48" t="n"/>
      <c r="D544" s="48" t="n"/>
      <c r="E544" s="48" t="n"/>
      <c r="F544" s="48" t="n"/>
      <c r="G544" s="48" t="n"/>
      <c r="H544" s="48" t="n"/>
      <c r="I544" s="49" t="n"/>
      <c r="J544" s="50" t="n"/>
      <c r="K544" s="48" t="n"/>
      <c r="L544" s="51">
        <f>IF(A544="","",DATE(YEAR(A544),MONTH(A544),1))</f>
        <v/>
      </c>
      <c r="M544" s="52">
        <f>IF(OR(A544="",NOT(ISNUMBER(I544))),"",IF(G544=Lists!$B$5,I544/2,IF(G544=Lists!$B$6,I544,0)))</f>
        <v/>
      </c>
      <c r="N544" s="52">
        <f>IF(OR(A544="",NOT(ISNUMBER(I544))),"",IF(G544=Lists!$B$5,I544/2,IF(G544=Lists!$B$7,I544,0)))</f>
        <v/>
      </c>
      <c r="O544" s="53">
        <f>IF(COUNTA(A544:K544)=0,"",IF(OR(A544="",B544="",C544="",D544="",E544="",F544="",G544="",NOT(ISNUMBER(I544))),"Incomplete",IF(COUNTIF(Lists!$H$4:$AA$4,C544)=0,"Check category",IF(COUNTIF(INDEX(Lists!$H$6:$AA$45,0,MATCH(C544,Lists!$H$4:$AA$4,0)),D544)=0,"Check sub-category","OK"))))</f>
        <v/>
      </c>
      <c r="P544">
        <f>IF(ISNUMBER(I544),I544+ROW()/10000000,"")</f>
        <v/>
      </c>
      <c r="Q544">
        <f>IF(AND(ISNUMBER(P544),ISNUMBER(A544)),IF(AND(A544&gt;=Dashboard!$Q$3,A544&lt;=Dashboard!$Q$4,OR(J544&lt;&gt;"Yes",Dashboard!$Q$15="Yes")),P544,""),"")</f>
        <v/>
      </c>
    </row>
    <row r="545">
      <c r="A545" s="47" t="n"/>
      <c r="B545" s="48" t="n"/>
      <c r="C545" s="48" t="n"/>
      <c r="D545" s="48" t="n"/>
      <c r="E545" s="48" t="n"/>
      <c r="F545" s="48" t="n"/>
      <c r="G545" s="48" t="n"/>
      <c r="H545" s="48" t="n"/>
      <c r="I545" s="49" t="n"/>
      <c r="J545" s="50" t="n"/>
      <c r="K545" s="48" t="n"/>
      <c r="L545" s="51">
        <f>IF(A545="","",DATE(YEAR(A545),MONTH(A545),1))</f>
        <v/>
      </c>
      <c r="M545" s="52">
        <f>IF(OR(A545="",NOT(ISNUMBER(I545))),"",IF(G545=Lists!$B$5,I545/2,IF(G545=Lists!$B$6,I545,0)))</f>
        <v/>
      </c>
      <c r="N545" s="52">
        <f>IF(OR(A545="",NOT(ISNUMBER(I545))),"",IF(G545=Lists!$B$5,I545/2,IF(G545=Lists!$B$7,I545,0)))</f>
        <v/>
      </c>
      <c r="O545" s="53">
        <f>IF(COUNTA(A545:K545)=0,"",IF(OR(A545="",B545="",C545="",D545="",E545="",F545="",G545="",NOT(ISNUMBER(I545))),"Incomplete",IF(COUNTIF(Lists!$H$4:$AA$4,C545)=0,"Check category",IF(COUNTIF(INDEX(Lists!$H$6:$AA$45,0,MATCH(C545,Lists!$H$4:$AA$4,0)),D545)=0,"Check sub-category","OK"))))</f>
        <v/>
      </c>
      <c r="P545">
        <f>IF(ISNUMBER(I545),I545+ROW()/10000000,"")</f>
        <v/>
      </c>
      <c r="Q545">
        <f>IF(AND(ISNUMBER(P545),ISNUMBER(A545)),IF(AND(A545&gt;=Dashboard!$Q$3,A545&lt;=Dashboard!$Q$4,OR(J545&lt;&gt;"Yes",Dashboard!$Q$15="Yes")),P545,""),"")</f>
        <v/>
      </c>
    </row>
    <row r="546">
      <c r="A546" s="47" t="n"/>
      <c r="B546" s="48" t="n"/>
      <c r="C546" s="48" t="n"/>
      <c r="D546" s="48" t="n"/>
      <c r="E546" s="48" t="n"/>
      <c r="F546" s="48" t="n"/>
      <c r="G546" s="48" t="n"/>
      <c r="H546" s="48" t="n"/>
      <c r="I546" s="49" t="n"/>
      <c r="J546" s="50" t="n"/>
      <c r="K546" s="48" t="n"/>
      <c r="L546" s="51">
        <f>IF(A546="","",DATE(YEAR(A546),MONTH(A546),1))</f>
        <v/>
      </c>
      <c r="M546" s="52">
        <f>IF(OR(A546="",NOT(ISNUMBER(I546))),"",IF(G546=Lists!$B$5,I546/2,IF(G546=Lists!$B$6,I546,0)))</f>
        <v/>
      </c>
      <c r="N546" s="52">
        <f>IF(OR(A546="",NOT(ISNUMBER(I546))),"",IF(G546=Lists!$B$5,I546/2,IF(G546=Lists!$B$7,I546,0)))</f>
        <v/>
      </c>
      <c r="O546" s="53">
        <f>IF(COUNTA(A546:K546)=0,"",IF(OR(A546="",B546="",C546="",D546="",E546="",F546="",G546="",NOT(ISNUMBER(I546))),"Incomplete",IF(COUNTIF(Lists!$H$4:$AA$4,C546)=0,"Check category",IF(COUNTIF(INDEX(Lists!$H$6:$AA$45,0,MATCH(C546,Lists!$H$4:$AA$4,0)),D546)=0,"Check sub-category","OK"))))</f>
        <v/>
      </c>
      <c r="P546">
        <f>IF(ISNUMBER(I546),I546+ROW()/10000000,"")</f>
        <v/>
      </c>
      <c r="Q546">
        <f>IF(AND(ISNUMBER(P546),ISNUMBER(A546)),IF(AND(A546&gt;=Dashboard!$Q$3,A546&lt;=Dashboard!$Q$4,OR(J546&lt;&gt;"Yes",Dashboard!$Q$15="Yes")),P546,""),"")</f>
        <v/>
      </c>
    </row>
    <row r="547">
      <c r="A547" s="47" t="n"/>
      <c r="B547" s="48" t="n"/>
      <c r="C547" s="48" t="n"/>
      <c r="D547" s="48" t="n"/>
      <c r="E547" s="48" t="n"/>
      <c r="F547" s="48" t="n"/>
      <c r="G547" s="48" t="n"/>
      <c r="H547" s="48" t="n"/>
      <c r="I547" s="49" t="n"/>
      <c r="J547" s="50" t="n"/>
      <c r="K547" s="48" t="n"/>
      <c r="L547" s="51">
        <f>IF(A547="","",DATE(YEAR(A547),MONTH(A547),1))</f>
        <v/>
      </c>
      <c r="M547" s="52">
        <f>IF(OR(A547="",NOT(ISNUMBER(I547))),"",IF(G547=Lists!$B$5,I547/2,IF(G547=Lists!$B$6,I547,0)))</f>
        <v/>
      </c>
      <c r="N547" s="52">
        <f>IF(OR(A547="",NOT(ISNUMBER(I547))),"",IF(G547=Lists!$B$5,I547/2,IF(G547=Lists!$B$7,I547,0)))</f>
        <v/>
      </c>
      <c r="O547" s="53">
        <f>IF(COUNTA(A547:K547)=0,"",IF(OR(A547="",B547="",C547="",D547="",E547="",F547="",G547="",NOT(ISNUMBER(I547))),"Incomplete",IF(COUNTIF(Lists!$H$4:$AA$4,C547)=0,"Check category",IF(COUNTIF(INDEX(Lists!$H$6:$AA$45,0,MATCH(C547,Lists!$H$4:$AA$4,0)),D547)=0,"Check sub-category","OK"))))</f>
        <v/>
      </c>
      <c r="P547">
        <f>IF(ISNUMBER(I547),I547+ROW()/10000000,"")</f>
        <v/>
      </c>
      <c r="Q547">
        <f>IF(AND(ISNUMBER(P547),ISNUMBER(A547)),IF(AND(A547&gt;=Dashboard!$Q$3,A547&lt;=Dashboard!$Q$4,OR(J547&lt;&gt;"Yes",Dashboard!$Q$15="Yes")),P547,""),"")</f>
        <v/>
      </c>
    </row>
    <row r="548">
      <c r="A548" s="47" t="n"/>
      <c r="B548" s="48" t="n"/>
      <c r="C548" s="48" t="n"/>
      <c r="D548" s="48" t="n"/>
      <c r="E548" s="48" t="n"/>
      <c r="F548" s="48" t="n"/>
      <c r="G548" s="48" t="n"/>
      <c r="H548" s="48" t="n"/>
      <c r="I548" s="49" t="n"/>
      <c r="J548" s="50" t="n"/>
      <c r="K548" s="48" t="n"/>
      <c r="L548" s="51">
        <f>IF(A548="","",DATE(YEAR(A548),MONTH(A548),1))</f>
        <v/>
      </c>
      <c r="M548" s="52">
        <f>IF(OR(A548="",NOT(ISNUMBER(I548))),"",IF(G548=Lists!$B$5,I548/2,IF(G548=Lists!$B$6,I548,0)))</f>
        <v/>
      </c>
      <c r="N548" s="52">
        <f>IF(OR(A548="",NOT(ISNUMBER(I548))),"",IF(G548=Lists!$B$5,I548/2,IF(G548=Lists!$B$7,I548,0)))</f>
        <v/>
      </c>
      <c r="O548" s="53">
        <f>IF(COUNTA(A548:K548)=0,"",IF(OR(A548="",B548="",C548="",D548="",E548="",F548="",G548="",NOT(ISNUMBER(I548))),"Incomplete",IF(COUNTIF(Lists!$H$4:$AA$4,C548)=0,"Check category",IF(COUNTIF(INDEX(Lists!$H$6:$AA$45,0,MATCH(C548,Lists!$H$4:$AA$4,0)),D548)=0,"Check sub-category","OK"))))</f>
        <v/>
      </c>
      <c r="P548">
        <f>IF(ISNUMBER(I548),I548+ROW()/10000000,"")</f>
        <v/>
      </c>
      <c r="Q548">
        <f>IF(AND(ISNUMBER(P548),ISNUMBER(A548)),IF(AND(A548&gt;=Dashboard!$Q$3,A548&lt;=Dashboard!$Q$4,OR(J548&lt;&gt;"Yes",Dashboard!$Q$15="Yes")),P548,""),"")</f>
        <v/>
      </c>
    </row>
    <row r="549">
      <c r="A549" s="47" t="n"/>
      <c r="B549" s="48" t="n"/>
      <c r="C549" s="48" t="n"/>
      <c r="D549" s="48" t="n"/>
      <c r="E549" s="48" t="n"/>
      <c r="F549" s="48" t="n"/>
      <c r="G549" s="48" t="n"/>
      <c r="H549" s="48" t="n"/>
      <c r="I549" s="49" t="n"/>
      <c r="J549" s="50" t="n"/>
      <c r="K549" s="48" t="n"/>
      <c r="L549" s="51">
        <f>IF(A549="","",DATE(YEAR(A549),MONTH(A549),1))</f>
        <v/>
      </c>
      <c r="M549" s="52">
        <f>IF(OR(A549="",NOT(ISNUMBER(I549))),"",IF(G549=Lists!$B$5,I549/2,IF(G549=Lists!$B$6,I549,0)))</f>
        <v/>
      </c>
      <c r="N549" s="52">
        <f>IF(OR(A549="",NOT(ISNUMBER(I549))),"",IF(G549=Lists!$B$5,I549/2,IF(G549=Lists!$B$7,I549,0)))</f>
        <v/>
      </c>
      <c r="O549" s="53">
        <f>IF(COUNTA(A549:K549)=0,"",IF(OR(A549="",B549="",C549="",D549="",E549="",F549="",G549="",NOT(ISNUMBER(I549))),"Incomplete",IF(COUNTIF(Lists!$H$4:$AA$4,C549)=0,"Check category",IF(COUNTIF(INDEX(Lists!$H$6:$AA$45,0,MATCH(C549,Lists!$H$4:$AA$4,0)),D549)=0,"Check sub-category","OK"))))</f>
        <v/>
      </c>
      <c r="P549">
        <f>IF(ISNUMBER(I549),I549+ROW()/10000000,"")</f>
        <v/>
      </c>
      <c r="Q549">
        <f>IF(AND(ISNUMBER(P549),ISNUMBER(A549)),IF(AND(A549&gt;=Dashboard!$Q$3,A549&lt;=Dashboard!$Q$4,OR(J549&lt;&gt;"Yes",Dashboard!$Q$15="Yes")),P549,""),"")</f>
        <v/>
      </c>
    </row>
    <row r="550">
      <c r="A550" s="47" t="n"/>
      <c r="B550" s="48" t="n"/>
      <c r="C550" s="48" t="n"/>
      <c r="D550" s="48" t="n"/>
      <c r="E550" s="48" t="n"/>
      <c r="F550" s="48" t="n"/>
      <c r="G550" s="48" t="n"/>
      <c r="H550" s="48" t="n"/>
      <c r="I550" s="49" t="n"/>
      <c r="J550" s="50" t="n"/>
      <c r="K550" s="48" t="n"/>
      <c r="L550" s="51">
        <f>IF(A550="","",DATE(YEAR(A550),MONTH(A550),1))</f>
        <v/>
      </c>
      <c r="M550" s="52">
        <f>IF(OR(A550="",NOT(ISNUMBER(I550))),"",IF(G550=Lists!$B$5,I550/2,IF(G550=Lists!$B$6,I550,0)))</f>
        <v/>
      </c>
      <c r="N550" s="52">
        <f>IF(OR(A550="",NOT(ISNUMBER(I550))),"",IF(G550=Lists!$B$5,I550/2,IF(G550=Lists!$B$7,I550,0)))</f>
        <v/>
      </c>
      <c r="O550" s="53">
        <f>IF(COUNTA(A550:K550)=0,"",IF(OR(A550="",B550="",C550="",D550="",E550="",F550="",G550="",NOT(ISNUMBER(I550))),"Incomplete",IF(COUNTIF(Lists!$H$4:$AA$4,C550)=0,"Check category",IF(COUNTIF(INDEX(Lists!$H$6:$AA$45,0,MATCH(C550,Lists!$H$4:$AA$4,0)),D550)=0,"Check sub-category","OK"))))</f>
        <v/>
      </c>
      <c r="P550">
        <f>IF(ISNUMBER(I550),I550+ROW()/10000000,"")</f>
        <v/>
      </c>
      <c r="Q550">
        <f>IF(AND(ISNUMBER(P550),ISNUMBER(A550)),IF(AND(A550&gt;=Dashboard!$Q$3,A550&lt;=Dashboard!$Q$4,OR(J550&lt;&gt;"Yes",Dashboard!$Q$15="Yes")),P550,""),"")</f>
        <v/>
      </c>
    </row>
    <row r="551">
      <c r="A551" s="47" t="n"/>
      <c r="B551" s="48" t="n"/>
      <c r="C551" s="48" t="n"/>
      <c r="D551" s="48" t="n"/>
      <c r="E551" s="48" t="n"/>
      <c r="F551" s="48" t="n"/>
      <c r="G551" s="48" t="n"/>
      <c r="H551" s="48" t="n"/>
      <c r="I551" s="49" t="n"/>
      <c r="J551" s="50" t="n"/>
      <c r="K551" s="48" t="n"/>
      <c r="L551" s="51">
        <f>IF(A551="","",DATE(YEAR(A551),MONTH(A551),1))</f>
        <v/>
      </c>
      <c r="M551" s="52">
        <f>IF(OR(A551="",NOT(ISNUMBER(I551))),"",IF(G551=Lists!$B$5,I551/2,IF(G551=Lists!$B$6,I551,0)))</f>
        <v/>
      </c>
      <c r="N551" s="52">
        <f>IF(OR(A551="",NOT(ISNUMBER(I551))),"",IF(G551=Lists!$B$5,I551/2,IF(G551=Lists!$B$7,I551,0)))</f>
        <v/>
      </c>
      <c r="O551" s="53">
        <f>IF(COUNTA(A551:K551)=0,"",IF(OR(A551="",B551="",C551="",D551="",E551="",F551="",G551="",NOT(ISNUMBER(I551))),"Incomplete",IF(COUNTIF(Lists!$H$4:$AA$4,C551)=0,"Check category",IF(COUNTIF(INDEX(Lists!$H$6:$AA$45,0,MATCH(C551,Lists!$H$4:$AA$4,0)),D551)=0,"Check sub-category","OK"))))</f>
        <v/>
      </c>
      <c r="P551">
        <f>IF(ISNUMBER(I551),I551+ROW()/10000000,"")</f>
        <v/>
      </c>
      <c r="Q551">
        <f>IF(AND(ISNUMBER(P551),ISNUMBER(A551)),IF(AND(A551&gt;=Dashboard!$Q$3,A551&lt;=Dashboard!$Q$4,OR(J551&lt;&gt;"Yes",Dashboard!$Q$15="Yes")),P551,""),"")</f>
        <v/>
      </c>
    </row>
    <row r="552">
      <c r="A552" s="47" t="n"/>
      <c r="B552" s="48" t="n"/>
      <c r="C552" s="48" t="n"/>
      <c r="D552" s="48" t="n"/>
      <c r="E552" s="48" t="n"/>
      <c r="F552" s="48" t="n"/>
      <c r="G552" s="48" t="n"/>
      <c r="H552" s="48" t="n"/>
      <c r="I552" s="49" t="n"/>
      <c r="J552" s="50" t="n"/>
      <c r="K552" s="48" t="n"/>
      <c r="L552" s="51">
        <f>IF(A552="","",DATE(YEAR(A552),MONTH(A552),1))</f>
        <v/>
      </c>
      <c r="M552" s="52">
        <f>IF(OR(A552="",NOT(ISNUMBER(I552))),"",IF(G552=Lists!$B$5,I552/2,IF(G552=Lists!$B$6,I552,0)))</f>
        <v/>
      </c>
      <c r="N552" s="52">
        <f>IF(OR(A552="",NOT(ISNUMBER(I552))),"",IF(G552=Lists!$B$5,I552/2,IF(G552=Lists!$B$7,I552,0)))</f>
        <v/>
      </c>
      <c r="O552" s="53">
        <f>IF(COUNTA(A552:K552)=0,"",IF(OR(A552="",B552="",C552="",D552="",E552="",F552="",G552="",NOT(ISNUMBER(I552))),"Incomplete",IF(COUNTIF(Lists!$H$4:$AA$4,C552)=0,"Check category",IF(COUNTIF(INDEX(Lists!$H$6:$AA$45,0,MATCH(C552,Lists!$H$4:$AA$4,0)),D552)=0,"Check sub-category","OK"))))</f>
        <v/>
      </c>
      <c r="P552">
        <f>IF(ISNUMBER(I552),I552+ROW()/10000000,"")</f>
        <v/>
      </c>
      <c r="Q552">
        <f>IF(AND(ISNUMBER(P552),ISNUMBER(A552)),IF(AND(A552&gt;=Dashboard!$Q$3,A552&lt;=Dashboard!$Q$4,OR(J552&lt;&gt;"Yes",Dashboard!$Q$15="Yes")),P552,""),"")</f>
        <v/>
      </c>
    </row>
    <row r="553">
      <c r="A553" s="47" t="n"/>
      <c r="B553" s="48" t="n"/>
      <c r="C553" s="48" t="n"/>
      <c r="D553" s="48" t="n"/>
      <c r="E553" s="48" t="n"/>
      <c r="F553" s="48" t="n"/>
      <c r="G553" s="48" t="n"/>
      <c r="H553" s="48" t="n"/>
      <c r="I553" s="49" t="n"/>
      <c r="J553" s="50" t="n"/>
      <c r="K553" s="48" t="n"/>
      <c r="L553" s="51">
        <f>IF(A553="","",DATE(YEAR(A553),MONTH(A553),1))</f>
        <v/>
      </c>
      <c r="M553" s="52">
        <f>IF(OR(A553="",NOT(ISNUMBER(I553))),"",IF(G553=Lists!$B$5,I553/2,IF(G553=Lists!$B$6,I553,0)))</f>
        <v/>
      </c>
      <c r="N553" s="52">
        <f>IF(OR(A553="",NOT(ISNUMBER(I553))),"",IF(G553=Lists!$B$5,I553/2,IF(G553=Lists!$B$7,I553,0)))</f>
        <v/>
      </c>
      <c r="O553" s="53">
        <f>IF(COUNTA(A553:K553)=0,"",IF(OR(A553="",B553="",C553="",D553="",E553="",F553="",G553="",NOT(ISNUMBER(I553))),"Incomplete",IF(COUNTIF(Lists!$H$4:$AA$4,C553)=0,"Check category",IF(COUNTIF(INDEX(Lists!$H$6:$AA$45,0,MATCH(C553,Lists!$H$4:$AA$4,0)),D553)=0,"Check sub-category","OK"))))</f>
        <v/>
      </c>
      <c r="P553">
        <f>IF(ISNUMBER(I553),I553+ROW()/10000000,"")</f>
        <v/>
      </c>
      <c r="Q553">
        <f>IF(AND(ISNUMBER(P553),ISNUMBER(A553)),IF(AND(A553&gt;=Dashboard!$Q$3,A553&lt;=Dashboard!$Q$4,OR(J553&lt;&gt;"Yes",Dashboard!$Q$15="Yes")),P553,""),"")</f>
        <v/>
      </c>
    </row>
    <row r="554">
      <c r="A554" s="47" t="n"/>
      <c r="B554" s="48" t="n"/>
      <c r="C554" s="48" t="n"/>
      <c r="D554" s="48" t="n"/>
      <c r="E554" s="48" t="n"/>
      <c r="F554" s="48" t="n"/>
      <c r="G554" s="48" t="n"/>
      <c r="H554" s="48" t="n"/>
      <c r="I554" s="49" t="n"/>
      <c r="J554" s="50" t="n"/>
      <c r="K554" s="48" t="n"/>
      <c r="L554" s="51">
        <f>IF(A554="","",DATE(YEAR(A554),MONTH(A554),1))</f>
        <v/>
      </c>
      <c r="M554" s="52">
        <f>IF(OR(A554="",NOT(ISNUMBER(I554))),"",IF(G554=Lists!$B$5,I554/2,IF(G554=Lists!$B$6,I554,0)))</f>
        <v/>
      </c>
      <c r="N554" s="52">
        <f>IF(OR(A554="",NOT(ISNUMBER(I554))),"",IF(G554=Lists!$B$5,I554/2,IF(G554=Lists!$B$7,I554,0)))</f>
        <v/>
      </c>
      <c r="O554" s="53">
        <f>IF(COUNTA(A554:K554)=0,"",IF(OR(A554="",B554="",C554="",D554="",E554="",F554="",G554="",NOT(ISNUMBER(I554))),"Incomplete",IF(COUNTIF(Lists!$H$4:$AA$4,C554)=0,"Check category",IF(COUNTIF(INDEX(Lists!$H$6:$AA$45,0,MATCH(C554,Lists!$H$4:$AA$4,0)),D554)=0,"Check sub-category","OK"))))</f>
        <v/>
      </c>
      <c r="P554">
        <f>IF(ISNUMBER(I554),I554+ROW()/10000000,"")</f>
        <v/>
      </c>
      <c r="Q554">
        <f>IF(AND(ISNUMBER(P554),ISNUMBER(A554)),IF(AND(A554&gt;=Dashboard!$Q$3,A554&lt;=Dashboard!$Q$4,OR(J554&lt;&gt;"Yes",Dashboard!$Q$15="Yes")),P554,""),"")</f>
        <v/>
      </c>
    </row>
    <row r="555">
      <c r="A555" s="47" t="n"/>
      <c r="B555" s="48" t="n"/>
      <c r="C555" s="48" t="n"/>
      <c r="D555" s="48" t="n"/>
      <c r="E555" s="48" t="n"/>
      <c r="F555" s="48" t="n"/>
      <c r="G555" s="48" t="n"/>
      <c r="H555" s="48" t="n"/>
      <c r="I555" s="49" t="n"/>
      <c r="J555" s="50" t="n"/>
      <c r="K555" s="48" t="n"/>
      <c r="L555" s="51">
        <f>IF(A555="","",DATE(YEAR(A555),MONTH(A555),1))</f>
        <v/>
      </c>
      <c r="M555" s="52">
        <f>IF(OR(A555="",NOT(ISNUMBER(I555))),"",IF(G555=Lists!$B$5,I555/2,IF(G555=Lists!$B$6,I555,0)))</f>
        <v/>
      </c>
      <c r="N555" s="52">
        <f>IF(OR(A555="",NOT(ISNUMBER(I555))),"",IF(G555=Lists!$B$5,I555/2,IF(G555=Lists!$B$7,I555,0)))</f>
        <v/>
      </c>
      <c r="O555" s="53">
        <f>IF(COUNTA(A555:K555)=0,"",IF(OR(A555="",B555="",C555="",D555="",E555="",F555="",G555="",NOT(ISNUMBER(I555))),"Incomplete",IF(COUNTIF(Lists!$H$4:$AA$4,C555)=0,"Check category",IF(COUNTIF(INDEX(Lists!$H$6:$AA$45,0,MATCH(C555,Lists!$H$4:$AA$4,0)),D555)=0,"Check sub-category","OK"))))</f>
        <v/>
      </c>
      <c r="P555">
        <f>IF(ISNUMBER(I555),I555+ROW()/10000000,"")</f>
        <v/>
      </c>
      <c r="Q555">
        <f>IF(AND(ISNUMBER(P555),ISNUMBER(A555)),IF(AND(A555&gt;=Dashboard!$Q$3,A555&lt;=Dashboard!$Q$4,OR(J555&lt;&gt;"Yes",Dashboard!$Q$15="Yes")),P555,""),"")</f>
        <v/>
      </c>
    </row>
    <row r="556">
      <c r="A556" s="47" t="n"/>
      <c r="B556" s="48" t="n"/>
      <c r="C556" s="48" t="n"/>
      <c r="D556" s="48" t="n"/>
      <c r="E556" s="48" t="n"/>
      <c r="F556" s="48" t="n"/>
      <c r="G556" s="48" t="n"/>
      <c r="H556" s="48" t="n"/>
      <c r="I556" s="49" t="n"/>
      <c r="J556" s="50" t="n"/>
      <c r="K556" s="48" t="n"/>
      <c r="L556" s="51">
        <f>IF(A556="","",DATE(YEAR(A556),MONTH(A556),1))</f>
        <v/>
      </c>
      <c r="M556" s="52">
        <f>IF(OR(A556="",NOT(ISNUMBER(I556))),"",IF(G556=Lists!$B$5,I556/2,IF(G556=Lists!$B$6,I556,0)))</f>
        <v/>
      </c>
      <c r="N556" s="52">
        <f>IF(OR(A556="",NOT(ISNUMBER(I556))),"",IF(G556=Lists!$B$5,I556/2,IF(G556=Lists!$B$7,I556,0)))</f>
        <v/>
      </c>
      <c r="O556" s="53">
        <f>IF(COUNTA(A556:K556)=0,"",IF(OR(A556="",B556="",C556="",D556="",E556="",F556="",G556="",NOT(ISNUMBER(I556))),"Incomplete",IF(COUNTIF(Lists!$H$4:$AA$4,C556)=0,"Check category",IF(COUNTIF(INDEX(Lists!$H$6:$AA$45,0,MATCH(C556,Lists!$H$4:$AA$4,0)),D556)=0,"Check sub-category","OK"))))</f>
        <v/>
      </c>
      <c r="P556">
        <f>IF(ISNUMBER(I556),I556+ROW()/10000000,"")</f>
        <v/>
      </c>
      <c r="Q556">
        <f>IF(AND(ISNUMBER(P556),ISNUMBER(A556)),IF(AND(A556&gt;=Dashboard!$Q$3,A556&lt;=Dashboard!$Q$4,OR(J556&lt;&gt;"Yes",Dashboard!$Q$15="Yes")),P556,""),"")</f>
        <v/>
      </c>
    </row>
    <row r="557">
      <c r="A557" s="47" t="n"/>
      <c r="B557" s="48" t="n"/>
      <c r="C557" s="48" t="n"/>
      <c r="D557" s="48" t="n"/>
      <c r="E557" s="48" t="n"/>
      <c r="F557" s="48" t="n"/>
      <c r="G557" s="48" t="n"/>
      <c r="H557" s="48" t="n"/>
      <c r="I557" s="49" t="n"/>
      <c r="J557" s="50" t="n"/>
      <c r="K557" s="48" t="n"/>
      <c r="L557" s="51">
        <f>IF(A557="","",DATE(YEAR(A557),MONTH(A557),1))</f>
        <v/>
      </c>
      <c r="M557" s="52">
        <f>IF(OR(A557="",NOT(ISNUMBER(I557))),"",IF(G557=Lists!$B$5,I557/2,IF(G557=Lists!$B$6,I557,0)))</f>
        <v/>
      </c>
      <c r="N557" s="52">
        <f>IF(OR(A557="",NOT(ISNUMBER(I557))),"",IF(G557=Lists!$B$5,I557/2,IF(G557=Lists!$B$7,I557,0)))</f>
        <v/>
      </c>
      <c r="O557" s="53">
        <f>IF(COUNTA(A557:K557)=0,"",IF(OR(A557="",B557="",C557="",D557="",E557="",F557="",G557="",NOT(ISNUMBER(I557))),"Incomplete",IF(COUNTIF(Lists!$H$4:$AA$4,C557)=0,"Check category",IF(COUNTIF(INDEX(Lists!$H$6:$AA$45,0,MATCH(C557,Lists!$H$4:$AA$4,0)),D557)=0,"Check sub-category","OK"))))</f>
        <v/>
      </c>
      <c r="P557">
        <f>IF(ISNUMBER(I557),I557+ROW()/10000000,"")</f>
        <v/>
      </c>
      <c r="Q557">
        <f>IF(AND(ISNUMBER(P557),ISNUMBER(A557)),IF(AND(A557&gt;=Dashboard!$Q$3,A557&lt;=Dashboard!$Q$4,OR(J557&lt;&gt;"Yes",Dashboard!$Q$15="Yes")),P557,""),"")</f>
        <v/>
      </c>
    </row>
    <row r="558">
      <c r="A558" s="47" t="n"/>
      <c r="B558" s="48" t="n"/>
      <c r="C558" s="48" t="n"/>
      <c r="D558" s="48" t="n"/>
      <c r="E558" s="48" t="n"/>
      <c r="F558" s="48" t="n"/>
      <c r="G558" s="48" t="n"/>
      <c r="H558" s="48" t="n"/>
      <c r="I558" s="49" t="n"/>
      <c r="J558" s="50" t="n"/>
      <c r="K558" s="48" t="n"/>
      <c r="L558" s="51">
        <f>IF(A558="","",DATE(YEAR(A558),MONTH(A558),1))</f>
        <v/>
      </c>
      <c r="M558" s="52">
        <f>IF(OR(A558="",NOT(ISNUMBER(I558))),"",IF(G558=Lists!$B$5,I558/2,IF(G558=Lists!$B$6,I558,0)))</f>
        <v/>
      </c>
      <c r="N558" s="52">
        <f>IF(OR(A558="",NOT(ISNUMBER(I558))),"",IF(G558=Lists!$B$5,I558/2,IF(G558=Lists!$B$7,I558,0)))</f>
        <v/>
      </c>
      <c r="O558" s="53">
        <f>IF(COUNTA(A558:K558)=0,"",IF(OR(A558="",B558="",C558="",D558="",E558="",F558="",G558="",NOT(ISNUMBER(I558))),"Incomplete",IF(COUNTIF(Lists!$H$4:$AA$4,C558)=0,"Check category",IF(COUNTIF(INDEX(Lists!$H$6:$AA$45,0,MATCH(C558,Lists!$H$4:$AA$4,0)),D558)=0,"Check sub-category","OK"))))</f>
        <v/>
      </c>
      <c r="P558">
        <f>IF(ISNUMBER(I558),I558+ROW()/10000000,"")</f>
        <v/>
      </c>
      <c r="Q558">
        <f>IF(AND(ISNUMBER(P558),ISNUMBER(A558)),IF(AND(A558&gt;=Dashboard!$Q$3,A558&lt;=Dashboard!$Q$4,OR(J558&lt;&gt;"Yes",Dashboard!$Q$15="Yes")),P558,""),"")</f>
        <v/>
      </c>
    </row>
    <row r="559">
      <c r="A559" s="47" t="n"/>
      <c r="B559" s="48" t="n"/>
      <c r="C559" s="48" t="n"/>
      <c r="D559" s="48" t="n"/>
      <c r="E559" s="48" t="n"/>
      <c r="F559" s="48" t="n"/>
      <c r="G559" s="48" t="n"/>
      <c r="H559" s="48" t="n"/>
      <c r="I559" s="49" t="n"/>
      <c r="J559" s="50" t="n"/>
      <c r="K559" s="48" t="n"/>
      <c r="L559" s="51">
        <f>IF(A559="","",DATE(YEAR(A559),MONTH(A559),1))</f>
        <v/>
      </c>
      <c r="M559" s="52">
        <f>IF(OR(A559="",NOT(ISNUMBER(I559))),"",IF(G559=Lists!$B$5,I559/2,IF(G559=Lists!$B$6,I559,0)))</f>
        <v/>
      </c>
      <c r="N559" s="52">
        <f>IF(OR(A559="",NOT(ISNUMBER(I559))),"",IF(G559=Lists!$B$5,I559/2,IF(G559=Lists!$B$7,I559,0)))</f>
        <v/>
      </c>
      <c r="O559" s="53">
        <f>IF(COUNTA(A559:K559)=0,"",IF(OR(A559="",B559="",C559="",D559="",E559="",F559="",G559="",NOT(ISNUMBER(I559))),"Incomplete",IF(COUNTIF(Lists!$H$4:$AA$4,C559)=0,"Check category",IF(COUNTIF(INDEX(Lists!$H$6:$AA$45,0,MATCH(C559,Lists!$H$4:$AA$4,0)),D559)=0,"Check sub-category","OK"))))</f>
        <v/>
      </c>
      <c r="P559">
        <f>IF(ISNUMBER(I559),I559+ROW()/10000000,"")</f>
        <v/>
      </c>
      <c r="Q559">
        <f>IF(AND(ISNUMBER(P559),ISNUMBER(A559)),IF(AND(A559&gt;=Dashboard!$Q$3,A559&lt;=Dashboard!$Q$4,OR(J559&lt;&gt;"Yes",Dashboard!$Q$15="Yes")),P559,""),"")</f>
        <v/>
      </c>
    </row>
    <row r="560">
      <c r="A560" s="47" t="n"/>
      <c r="B560" s="48" t="n"/>
      <c r="C560" s="48" t="n"/>
      <c r="D560" s="48" t="n"/>
      <c r="E560" s="48" t="n"/>
      <c r="F560" s="48" t="n"/>
      <c r="G560" s="48" t="n"/>
      <c r="H560" s="48" t="n"/>
      <c r="I560" s="49" t="n"/>
      <c r="J560" s="50" t="n"/>
      <c r="K560" s="48" t="n"/>
      <c r="L560" s="51">
        <f>IF(A560="","",DATE(YEAR(A560),MONTH(A560),1))</f>
        <v/>
      </c>
      <c r="M560" s="52">
        <f>IF(OR(A560="",NOT(ISNUMBER(I560))),"",IF(G560=Lists!$B$5,I560/2,IF(G560=Lists!$B$6,I560,0)))</f>
        <v/>
      </c>
      <c r="N560" s="52">
        <f>IF(OR(A560="",NOT(ISNUMBER(I560))),"",IF(G560=Lists!$B$5,I560/2,IF(G560=Lists!$B$7,I560,0)))</f>
        <v/>
      </c>
      <c r="O560" s="53">
        <f>IF(COUNTA(A560:K560)=0,"",IF(OR(A560="",B560="",C560="",D560="",E560="",F560="",G560="",NOT(ISNUMBER(I560))),"Incomplete",IF(COUNTIF(Lists!$H$4:$AA$4,C560)=0,"Check category",IF(COUNTIF(INDEX(Lists!$H$6:$AA$45,0,MATCH(C560,Lists!$H$4:$AA$4,0)),D560)=0,"Check sub-category","OK"))))</f>
        <v/>
      </c>
      <c r="P560">
        <f>IF(ISNUMBER(I560),I560+ROW()/10000000,"")</f>
        <v/>
      </c>
      <c r="Q560">
        <f>IF(AND(ISNUMBER(P560),ISNUMBER(A560)),IF(AND(A560&gt;=Dashboard!$Q$3,A560&lt;=Dashboard!$Q$4,OR(J560&lt;&gt;"Yes",Dashboard!$Q$15="Yes")),P560,""),"")</f>
        <v/>
      </c>
    </row>
    <row r="561">
      <c r="A561" s="47" t="n"/>
      <c r="B561" s="48" t="n"/>
      <c r="C561" s="48" t="n"/>
      <c r="D561" s="48" t="n"/>
      <c r="E561" s="48" t="n"/>
      <c r="F561" s="48" t="n"/>
      <c r="G561" s="48" t="n"/>
      <c r="H561" s="48" t="n"/>
      <c r="I561" s="49" t="n"/>
      <c r="J561" s="50" t="n"/>
      <c r="K561" s="48" t="n"/>
      <c r="L561" s="51">
        <f>IF(A561="","",DATE(YEAR(A561),MONTH(A561),1))</f>
        <v/>
      </c>
      <c r="M561" s="52">
        <f>IF(OR(A561="",NOT(ISNUMBER(I561))),"",IF(G561=Lists!$B$5,I561/2,IF(G561=Lists!$B$6,I561,0)))</f>
        <v/>
      </c>
      <c r="N561" s="52">
        <f>IF(OR(A561="",NOT(ISNUMBER(I561))),"",IF(G561=Lists!$B$5,I561/2,IF(G561=Lists!$B$7,I561,0)))</f>
        <v/>
      </c>
      <c r="O561" s="53">
        <f>IF(COUNTA(A561:K561)=0,"",IF(OR(A561="",B561="",C561="",D561="",E561="",F561="",G561="",NOT(ISNUMBER(I561))),"Incomplete",IF(COUNTIF(Lists!$H$4:$AA$4,C561)=0,"Check category",IF(COUNTIF(INDEX(Lists!$H$6:$AA$45,0,MATCH(C561,Lists!$H$4:$AA$4,0)),D561)=0,"Check sub-category","OK"))))</f>
        <v/>
      </c>
      <c r="P561">
        <f>IF(ISNUMBER(I561),I561+ROW()/10000000,"")</f>
        <v/>
      </c>
      <c r="Q561">
        <f>IF(AND(ISNUMBER(P561),ISNUMBER(A561)),IF(AND(A561&gt;=Dashboard!$Q$3,A561&lt;=Dashboard!$Q$4,OR(J561&lt;&gt;"Yes",Dashboard!$Q$15="Yes")),P561,""),"")</f>
        <v/>
      </c>
    </row>
    <row r="562">
      <c r="A562" s="47" t="n"/>
      <c r="B562" s="48" t="n"/>
      <c r="C562" s="48" t="n"/>
      <c r="D562" s="48" t="n"/>
      <c r="E562" s="48" t="n"/>
      <c r="F562" s="48" t="n"/>
      <c r="G562" s="48" t="n"/>
      <c r="H562" s="48" t="n"/>
      <c r="I562" s="49" t="n"/>
      <c r="J562" s="50" t="n"/>
      <c r="K562" s="48" t="n"/>
      <c r="L562" s="51">
        <f>IF(A562="","",DATE(YEAR(A562),MONTH(A562),1))</f>
        <v/>
      </c>
      <c r="M562" s="52">
        <f>IF(OR(A562="",NOT(ISNUMBER(I562))),"",IF(G562=Lists!$B$5,I562/2,IF(G562=Lists!$B$6,I562,0)))</f>
        <v/>
      </c>
      <c r="N562" s="52">
        <f>IF(OR(A562="",NOT(ISNUMBER(I562))),"",IF(G562=Lists!$B$5,I562/2,IF(G562=Lists!$B$7,I562,0)))</f>
        <v/>
      </c>
      <c r="O562" s="53">
        <f>IF(COUNTA(A562:K562)=0,"",IF(OR(A562="",B562="",C562="",D562="",E562="",F562="",G562="",NOT(ISNUMBER(I562))),"Incomplete",IF(COUNTIF(Lists!$H$4:$AA$4,C562)=0,"Check category",IF(COUNTIF(INDEX(Lists!$H$6:$AA$45,0,MATCH(C562,Lists!$H$4:$AA$4,0)),D562)=0,"Check sub-category","OK"))))</f>
        <v/>
      </c>
      <c r="P562">
        <f>IF(ISNUMBER(I562),I562+ROW()/10000000,"")</f>
        <v/>
      </c>
      <c r="Q562">
        <f>IF(AND(ISNUMBER(P562),ISNUMBER(A562)),IF(AND(A562&gt;=Dashboard!$Q$3,A562&lt;=Dashboard!$Q$4,OR(J562&lt;&gt;"Yes",Dashboard!$Q$15="Yes")),P562,""),"")</f>
        <v/>
      </c>
    </row>
    <row r="563">
      <c r="A563" s="47" t="n"/>
      <c r="B563" s="48" t="n"/>
      <c r="C563" s="48" t="n"/>
      <c r="D563" s="48" t="n"/>
      <c r="E563" s="48" t="n"/>
      <c r="F563" s="48" t="n"/>
      <c r="G563" s="48" t="n"/>
      <c r="H563" s="48" t="n"/>
      <c r="I563" s="49" t="n"/>
      <c r="J563" s="50" t="n"/>
      <c r="K563" s="48" t="n"/>
      <c r="L563" s="51">
        <f>IF(A563="","",DATE(YEAR(A563),MONTH(A563),1))</f>
        <v/>
      </c>
      <c r="M563" s="52">
        <f>IF(OR(A563="",NOT(ISNUMBER(I563))),"",IF(G563=Lists!$B$5,I563/2,IF(G563=Lists!$B$6,I563,0)))</f>
        <v/>
      </c>
      <c r="N563" s="52">
        <f>IF(OR(A563="",NOT(ISNUMBER(I563))),"",IF(G563=Lists!$B$5,I563/2,IF(G563=Lists!$B$7,I563,0)))</f>
        <v/>
      </c>
      <c r="O563" s="53">
        <f>IF(COUNTA(A563:K563)=0,"",IF(OR(A563="",B563="",C563="",D563="",E563="",F563="",G563="",NOT(ISNUMBER(I563))),"Incomplete",IF(COUNTIF(Lists!$H$4:$AA$4,C563)=0,"Check category",IF(COUNTIF(INDEX(Lists!$H$6:$AA$45,0,MATCH(C563,Lists!$H$4:$AA$4,0)),D563)=0,"Check sub-category","OK"))))</f>
        <v/>
      </c>
      <c r="P563">
        <f>IF(ISNUMBER(I563),I563+ROW()/10000000,"")</f>
        <v/>
      </c>
      <c r="Q563">
        <f>IF(AND(ISNUMBER(P563),ISNUMBER(A563)),IF(AND(A563&gt;=Dashboard!$Q$3,A563&lt;=Dashboard!$Q$4,OR(J563&lt;&gt;"Yes",Dashboard!$Q$15="Yes")),P563,""),"")</f>
        <v/>
      </c>
    </row>
    <row r="564">
      <c r="A564" s="47" t="n"/>
      <c r="B564" s="48" t="n"/>
      <c r="C564" s="48" t="n"/>
      <c r="D564" s="48" t="n"/>
      <c r="E564" s="48" t="n"/>
      <c r="F564" s="48" t="n"/>
      <c r="G564" s="48" t="n"/>
      <c r="H564" s="48" t="n"/>
      <c r="I564" s="49" t="n"/>
      <c r="J564" s="50" t="n"/>
      <c r="K564" s="48" t="n"/>
      <c r="L564" s="51">
        <f>IF(A564="","",DATE(YEAR(A564),MONTH(A564),1))</f>
        <v/>
      </c>
      <c r="M564" s="52">
        <f>IF(OR(A564="",NOT(ISNUMBER(I564))),"",IF(G564=Lists!$B$5,I564/2,IF(G564=Lists!$B$6,I564,0)))</f>
        <v/>
      </c>
      <c r="N564" s="52">
        <f>IF(OR(A564="",NOT(ISNUMBER(I564))),"",IF(G564=Lists!$B$5,I564/2,IF(G564=Lists!$B$7,I564,0)))</f>
        <v/>
      </c>
      <c r="O564" s="53">
        <f>IF(COUNTA(A564:K564)=0,"",IF(OR(A564="",B564="",C564="",D564="",E564="",F564="",G564="",NOT(ISNUMBER(I564))),"Incomplete",IF(COUNTIF(Lists!$H$4:$AA$4,C564)=0,"Check category",IF(COUNTIF(INDEX(Lists!$H$6:$AA$45,0,MATCH(C564,Lists!$H$4:$AA$4,0)),D564)=0,"Check sub-category","OK"))))</f>
        <v/>
      </c>
      <c r="P564">
        <f>IF(ISNUMBER(I564),I564+ROW()/10000000,"")</f>
        <v/>
      </c>
      <c r="Q564">
        <f>IF(AND(ISNUMBER(P564),ISNUMBER(A564)),IF(AND(A564&gt;=Dashboard!$Q$3,A564&lt;=Dashboard!$Q$4,OR(J564&lt;&gt;"Yes",Dashboard!$Q$15="Yes")),P564,""),"")</f>
        <v/>
      </c>
    </row>
    <row r="565">
      <c r="A565" s="47" t="n"/>
      <c r="B565" s="48" t="n"/>
      <c r="C565" s="48" t="n"/>
      <c r="D565" s="48" t="n"/>
      <c r="E565" s="48" t="n"/>
      <c r="F565" s="48" t="n"/>
      <c r="G565" s="48" t="n"/>
      <c r="H565" s="48" t="n"/>
      <c r="I565" s="49" t="n"/>
      <c r="J565" s="50" t="n"/>
      <c r="K565" s="48" t="n"/>
      <c r="L565" s="51">
        <f>IF(A565="","",DATE(YEAR(A565),MONTH(A565),1))</f>
        <v/>
      </c>
      <c r="M565" s="52">
        <f>IF(OR(A565="",NOT(ISNUMBER(I565))),"",IF(G565=Lists!$B$5,I565/2,IF(G565=Lists!$B$6,I565,0)))</f>
        <v/>
      </c>
      <c r="N565" s="52">
        <f>IF(OR(A565="",NOT(ISNUMBER(I565))),"",IF(G565=Lists!$B$5,I565/2,IF(G565=Lists!$B$7,I565,0)))</f>
        <v/>
      </c>
      <c r="O565" s="53">
        <f>IF(COUNTA(A565:K565)=0,"",IF(OR(A565="",B565="",C565="",D565="",E565="",F565="",G565="",NOT(ISNUMBER(I565))),"Incomplete",IF(COUNTIF(Lists!$H$4:$AA$4,C565)=0,"Check category",IF(COUNTIF(INDEX(Lists!$H$6:$AA$45,0,MATCH(C565,Lists!$H$4:$AA$4,0)),D565)=0,"Check sub-category","OK"))))</f>
        <v/>
      </c>
      <c r="P565">
        <f>IF(ISNUMBER(I565),I565+ROW()/10000000,"")</f>
        <v/>
      </c>
      <c r="Q565">
        <f>IF(AND(ISNUMBER(P565),ISNUMBER(A565)),IF(AND(A565&gt;=Dashboard!$Q$3,A565&lt;=Dashboard!$Q$4,OR(J565&lt;&gt;"Yes",Dashboard!$Q$15="Yes")),P565,""),"")</f>
        <v/>
      </c>
    </row>
    <row r="566">
      <c r="A566" s="47" t="n"/>
      <c r="B566" s="48" t="n"/>
      <c r="C566" s="48" t="n"/>
      <c r="D566" s="48" t="n"/>
      <c r="E566" s="48" t="n"/>
      <c r="F566" s="48" t="n"/>
      <c r="G566" s="48" t="n"/>
      <c r="H566" s="48" t="n"/>
      <c r="I566" s="49" t="n"/>
      <c r="J566" s="50" t="n"/>
      <c r="K566" s="48" t="n"/>
      <c r="L566" s="51">
        <f>IF(A566="","",DATE(YEAR(A566),MONTH(A566),1))</f>
        <v/>
      </c>
      <c r="M566" s="52">
        <f>IF(OR(A566="",NOT(ISNUMBER(I566))),"",IF(G566=Lists!$B$5,I566/2,IF(G566=Lists!$B$6,I566,0)))</f>
        <v/>
      </c>
      <c r="N566" s="52">
        <f>IF(OR(A566="",NOT(ISNUMBER(I566))),"",IF(G566=Lists!$B$5,I566/2,IF(G566=Lists!$B$7,I566,0)))</f>
        <v/>
      </c>
      <c r="O566" s="53">
        <f>IF(COUNTA(A566:K566)=0,"",IF(OR(A566="",B566="",C566="",D566="",E566="",F566="",G566="",NOT(ISNUMBER(I566))),"Incomplete",IF(COUNTIF(Lists!$H$4:$AA$4,C566)=0,"Check category",IF(COUNTIF(INDEX(Lists!$H$6:$AA$45,0,MATCH(C566,Lists!$H$4:$AA$4,0)),D566)=0,"Check sub-category","OK"))))</f>
        <v/>
      </c>
      <c r="P566">
        <f>IF(ISNUMBER(I566),I566+ROW()/10000000,"")</f>
        <v/>
      </c>
      <c r="Q566">
        <f>IF(AND(ISNUMBER(P566),ISNUMBER(A566)),IF(AND(A566&gt;=Dashboard!$Q$3,A566&lt;=Dashboard!$Q$4,OR(J566&lt;&gt;"Yes",Dashboard!$Q$15="Yes")),P566,""),"")</f>
        <v/>
      </c>
    </row>
    <row r="567">
      <c r="A567" s="47" t="n"/>
      <c r="B567" s="48" t="n"/>
      <c r="C567" s="48" t="n"/>
      <c r="D567" s="48" t="n"/>
      <c r="E567" s="48" t="n"/>
      <c r="F567" s="48" t="n"/>
      <c r="G567" s="48" t="n"/>
      <c r="H567" s="48" t="n"/>
      <c r="I567" s="49" t="n"/>
      <c r="J567" s="50" t="n"/>
      <c r="K567" s="48" t="n"/>
      <c r="L567" s="51">
        <f>IF(A567="","",DATE(YEAR(A567),MONTH(A567),1))</f>
        <v/>
      </c>
      <c r="M567" s="52">
        <f>IF(OR(A567="",NOT(ISNUMBER(I567))),"",IF(G567=Lists!$B$5,I567/2,IF(G567=Lists!$B$6,I567,0)))</f>
        <v/>
      </c>
      <c r="N567" s="52">
        <f>IF(OR(A567="",NOT(ISNUMBER(I567))),"",IF(G567=Lists!$B$5,I567/2,IF(G567=Lists!$B$7,I567,0)))</f>
        <v/>
      </c>
      <c r="O567" s="53">
        <f>IF(COUNTA(A567:K567)=0,"",IF(OR(A567="",B567="",C567="",D567="",E567="",F567="",G567="",NOT(ISNUMBER(I567))),"Incomplete",IF(COUNTIF(Lists!$H$4:$AA$4,C567)=0,"Check category",IF(COUNTIF(INDEX(Lists!$H$6:$AA$45,0,MATCH(C567,Lists!$H$4:$AA$4,0)),D567)=0,"Check sub-category","OK"))))</f>
        <v/>
      </c>
      <c r="P567">
        <f>IF(ISNUMBER(I567),I567+ROW()/10000000,"")</f>
        <v/>
      </c>
      <c r="Q567">
        <f>IF(AND(ISNUMBER(P567),ISNUMBER(A567)),IF(AND(A567&gt;=Dashboard!$Q$3,A567&lt;=Dashboard!$Q$4,OR(J567&lt;&gt;"Yes",Dashboard!$Q$15="Yes")),P567,""),"")</f>
        <v/>
      </c>
    </row>
    <row r="568">
      <c r="A568" s="47" t="n"/>
      <c r="B568" s="48" t="n"/>
      <c r="C568" s="48" t="n"/>
      <c r="D568" s="48" t="n"/>
      <c r="E568" s="48" t="n"/>
      <c r="F568" s="48" t="n"/>
      <c r="G568" s="48" t="n"/>
      <c r="H568" s="48" t="n"/>
      <c r="I568" s="49" t="n"/>
      <c r="J568" s="50" t="n"/>
      <c r="K568" s="48" t="n"/>
      <c r="L568" s="51">
        <f>IF(A568="","",DATE(YEAR(A568),MONTH(A568),1))</f>
        <v/>
      </c>
      <c r="M568" s="52">
        <f>IF(OR(A568="",NOT(ISNUMBER(I568))),"",IF(G568=Lists!$B$5,I568/2,IF(G568=Lists!$B$6,I568,0)))</f>
        <v/>
      </c>
      <c r="N568" s="52">
        <f>IF(OR(A568="",NOT(ISNUMBER(I568))),"",IF(G568=Lists!$B$5,I568/2,IF(G568=Lists!$B$7,I568,0)))</f>
        <v/>
      </c>
      <c r="O568" s="53">
        <f>IF(COUNTA(A568:K568)=0,"",IF(OR(A568="",B568="",C568="",D568="",E568="",F568="",G568="",NOT(ISNUMBER(I568))),"Incomplete",IF(COUNTIF(Lists!$H$4:$AA$4,C568)=0,"Check category",IF(COUNTIF(INDEX(Lists!$H$6:$AA$45,0,MATCH(C568,Lists!$H$4:$AA$4,0)),D568)=0,"Check sub-category","OK"))))</f>
        <v/>
      </c>
      <c r="P568">
        <f>IF(ISNUMBER(I568),I568+ROW()/10000000,"")</f>
        <v/>
      </c>
      <c r="Q568">
        <f>IF(AND(ISNUMBER(P568),ISNUMBER(A568)),IF(AND(A568&gt;=Dashboard!$Q$3,A568&lt;=Dashboard!$Q$4,OR(J568&lt;&gt;"Yes",Dashboard!$Q$15="Yes")),P568,""),"")</f>
        <v/>
      </c>
    </row>
    <row r="569">
      <c r="A569" s="47" t="n"/>
      <c r="B569" s="48" t="n"/>
      <c r="C569" s="48" t="n"/>
      <c r="D569" s="48" t="n"/>
      <c r="E569" s="48" t="n"/>
      <c r="F569" s="48" t="n"/>
      <c r="G569" s="48" t="n"/>
      <c r="H569" s="48" t="n"/>
      <c r="I569" s="49" t="n"/>
      <c r="J569" s="50" t="n"/>
      <c r="K569" s="48" t="n"/>
      <c r="L569" s="51">
        <f>IF(A569="","",DATE(YEAR(A569),MONTH(A569),1))</f>
        <v/>
      </c>
      <c r="M569" s="52">
        <f>IF(OR(A569="",NOT(ISNUMBER(I569))),"",IF(G569=Lists!$B$5,I569/2,IF(G569=Lists!$B$6,I569,0)))</f>
        <v/>
      </c>
      <c r="N569" s="52">
        <f>IF(OR(A569="",NOT(ISNUMBER(I569))),"",IF(G569=Lists!$B$5,I569/2,IF(G569=Lists!$B$7,I569,0)))</f>
        <v/>
      </c>
      <c r="O569" s="53">
        <f>IF(COUNTA(A569:K569)=0,"",IF(OR(A569="",B569="",C569="",D569="",E569="",F569="",G569="",NOT(ISNUMBER(I569))),"Incomplete",IF(COUNTIF(Lists!$H$4:$AA$4,C569)=0,"Check category",IF(COUNTIF(INDEX(Lists!$H$6:$AA$45,0,MATCH(C569,Lists!$H$4:$AA$4,0)),D569)=0,"Check sub-category","OK"))))</f>
        <v/>
      </c>
      <c r="P569">
        <f>IF(ISNUMBER(I569),I569+ROW()/10000000,"")</f>
        <v/>
      </c>
      <c r="Q569">
        <f>IF(AND(ISNUMBER(P569),ISNUMBER(A569)),IF(AND(A569&gt;=Dashboard!$Q$3,A569&lt;=Dashboard!$Q$4,OR(J569&lt;&gt;"Yes",Dashboard!$Q$15="Yes")),P569,""),"")</f>
        <v/>
      </c>
    </row>
    <row r="570">
      <c r="A570" s="47" t="n"/>
      <c r="B570" s="48" t="n"/>
      <c r="C570" s="48" t="n"/>
      <c r="D570" s="48" t="n"/>
      <c r="E570" s="48" t="n"/>
      <c r="F570" s="48" t="n"/>
      <c r="G570" s="48" t="n"/>
      <c r="H570" s="48" t="n"/>
      <c r="I570" s="49" t="n"/>
      <c r="J570" s="50" t="n"/>
      <c r="K570" s="48" t="n"/>
      <c r="L570" s="51">
        <f>IF(A570="","",DATE(YEAR(A570),MONTH(A570),1))</f>
        <v/>
      </c>
      <c r="M570" s="52">
        <f>IF(OR(A570="",NOT(ISNUMBER(I570))),"",IF(G570=Lists!$B$5,I570/2,IF(G570=Lists!$B$6,I570,0)))</f>
        <v/>
      </c>
      <c r="N570" s="52">
        <f>IF(OR(A570="",NOT(ISNUMBER(I570))),"",IF(G570=Lists!$B$5,I570/2,IF(G570=Lists!$B$7,I570,0)))</f>
        <v/>
      </c>
      <c r="O570" s="53">
        <f>IF(COUNTA(A570:K570)=0,"",IF(OR(A570="",B570="",C570="",D570="",E570="",F570="",G570="",NOT(ISNUMBER(I570))),"Incomplete",IF(COUNTIF(Lists!$H$4:$AA$4,C570)=0,"Check category",IF(COUNTIF(INDEX(Lists!$H$6:$AA$45,0,MATCH(C570,Lists!$H$4:$AA$4,0)),D570)=0,"Check sub-category","OK"))))</f>
        <v/>
      </c>
      <c r="P570">
        <f>IF(ISNUMBER(I570),I570+ROW()/10000000,"")</f>
        <v/>
      </c>
      <c r="Q570">
        <f>IF(AND(ISNUMBER(P570),ISNUMBER(A570)),IF(AND(A570&gt;=Dashboard!$Q$3,A570&lt;=Dashboard!$Q$4,OR(J570&lt;&gt;"Yes",Dashboard!$Q$15="Yes")),P570,""),"")</f>
        <v/>
      </c>
    </row>
    <row r="571">
      <c r="A571" s="47" t="n"/>
      <c r="B571" s="48" t="n"/>
      <c r="C571" s="48" t="n"/>
      <c r="D571" s="48" t="n"/>
      <c r="E571" s="48" t="n"/>
      <c r="F571" s="48" t="n"/>
      <c r="G571" s="48" t="n"/>
      <c r="H571" s="48" t="n"/>
      <c r="I571" s="49" t="n"/>
      <c r="J571" s="50" t="n"/>
      <c r="K571" s="48" t="n"/>
      <c r="L571" s="51">
        <f>IF(A571="","",DATE(YEAR(A571),MONTH(A571),1))</f>
        <v/>
      </c>
      <c r="M571" s="52">
        <f>IF(OR(A571="",NOT(ISNUMBER(I571))),"",IF(G571=Lists!$B$5,I571/2,IF(G571=Lists!$B$6,I571,0)))</f>
        <v/>
      </c>
      <c r="N571" s="52">
        <f>IF(OR(A571="",NOT(ISNUMBER(I571))),"",IF(G571=Lists!$B$5,I571/2,IF(G571=Lists!$B$7,I571,0)))</f>
        <v/>
      </c>
      <c r="O571" s="53">
        <f>IF(COUNTA(A571:K571)=0,"",IF(OR(A571="",B571="",C571="",D571="",E571="",F571="",G571="",NOT(ISNUMBER(I571))),"Incomplete",IF(COUNTIF(Lists!$H$4:$AA$4,C571)=0,"Check category",IF(COUNTIF(INDEX(Lists!$H$6:$AA$45,0,MATCH(C571,Lists!$H$4:$AA$4,0)),D571)=0,"Check sub-category","OK"))))</f>
        <v/>
      </c>
      <c r="P571">
        <f>IF(ISNUMBER(I571),I571+ROW()/10000000,"")</f>
        <v/>
      </c>
      <c r="Q571">
        <f>IF(AND(ISNUMBER(P571),ISNUMBER(A571)),IF(AND(A571&gt;=Dashboard!$Q$3,A571&lt;=Dashboard!$Q$4,OR(J571&lt;&gt;"Yes",Dashboard!$Q$15="Yes")),P571,""),"")</f>
        <v/>
      </c>
    </row>
    <row r="572">
      <c r="A572" s="47" t="n"/>
      <c r="B572" s="48" t="n"/>
      <c r="C572" s="48" t="n"/>
      <c r="D572" s="48" t="n"/>
      <c r="E572" s="48" t="n"/>
      <c r="F572" s="48" t="n"/>
      <c r="G572" s="48" t="n"/>
      <c r="H572" s="48" t="n"/>
      <c r="I572" s="49" t="n"/>
      <c r="J572" s="50" t="n"/>
      <c r="K572" s="48" t="n"/>
      <c r="L572" s="51">
        <f>IF(A572="","",DATE(YEAR(A572),MONTH(A572),1))</f>
        <v/>
      </c>
      <c r="M572" s="52">
        <f>IF(OR(A572="",NOT(ISNUMBER(I572))),"",IF(G572=Lists!$B$5,I572/2,IF(G572=Lists!$B$6,I572,0)))</f>
        <v/>
      </c>
      <c r="N572" s="52">
        <f>IF(OR(A572="",NOT(ISNUMBER(I572))),"",IF(G572=Lists!$B$5,I572/2,IF(G572=Lists!$B$7,I572,0)))</f>
        <v/>
      </c>
      <c r="O572" s="53">
        <f>IF(COUNTA(A572:K572)=0,"",IF(OR(A572="",B572="",C572="",D572="",E572="",F572="",G572="",NOT(ISNUMBER(I572))),"Incomplete",IF(COUNTIF(Lists!$H$4:$AA$4,C572)=0,"Check category",IF(COUNTIF(INDEX(Lists!$H$6:$AA$45,0,MATCH(C572,Lists!$H$4:$AA$4,0)),D572)=0,"Check sub-category","OK"))))</f>
        <v/>
      </c>
      <c r="P572">
        <f>IF(ISNUMBER(I572),I572+ROW()/10000000,"")</f>
        <v/>
      </c>
      <c r="Q572">
        <f>IF(AND(ISNUMBER(P572),ISNUMBER(A572)),IF(AND(A572&gt;=Dashboard!$Q$3,A572&lt;=Dashboard!$Q$4,OR(J572&lt;&gt;"Yes",Dashboard!$Q$15="Yes")),P572,""),"")</f>
        <v/>
      </c>
    </row>
    <row r="573">
      <c r="A573" s="47" t="n"/>
      <c r="B573" s="48" t="n"/>
      <c r="C573" s="48" t="n"/>
      <c r="D573" s="48" t="n"/>
      <c r="E573" s="48" t="n"/>
      <c r="F573" s="48" t="n"/>
      <c r="G573" s="48" t="n"/>
      <c r="H573" s="48" t="n"/>
      <c r="I573" s="49" t="n"/>
      <c r="J573" s="50" t="n"/>
      <c r="K573" s="48" t="n"/>
      <c r="L573" s="51">
        <f>IF(A573="","",DATE(YEAR(A573),MONTH(A573),1))</f>
        <v/>
      </c>
      <c r="M573" s="52">
        <f>IF(OR(A573="",NOT(ISNUMBER(I573))),"",IF(G573=Lists!$B$5,I573/2,IF(G573=Lists!$B$6,I573,0)))</f>
        <v/>
      </c>
      <c r="N573" s="52">
        <f>IF(OR(A573="",NOT(ISNUMBER(I573))),"",IF(G573=Lists!$B$5,I573/2,IF(G573=Lists!$B$7,I573,0)))</f>
        <v/>
      </c>
      <c r="O573" s="53">
        <f>IF(COUNTA(A573:K573)=0,"",IF(OR(A573="",B573="",C573="",D573="",E573="",F573="",G573="",NOT(ISNUMBER(I573))),"Incomplete",IF(COUNTIF(Lists!$H$4:$AA$4,C573)=0,"Check category",IF(COUNTIF(INDEX(Lists!$H$6:$AA$45,0,MATCH(C573,Lists!$H$4:$AA$4,0)),D573)=0,"Check sub-category","OK"))))</f>
        <v/>
      </c>
      <c r="P573">
        <f>IF(ISNUMBER(I573),I573+ROW()/10000000,"")</f>
        <v/>
      </c>
      <c r="Q573">
        <f>IF(AND(ISNUMBER(P573),ISNUMBER(A573)),IF(AND(A573&gt;=Dashboard!$Q$3,A573&lt;=Dashboard!$Q$4,OR(J573&lt;&gt;"Yes",Dashboard!$Q$15="Yes")),P573,""),"")</f>
        <v/>
      </c>
    </row>
    <row r="574">
      <c r="A574" s="47" t="n"/>
      <c r="B574" s="48" t="n"/>
      <c r="C574" s="48" t="n"/>
      <c r="D574" s="48" t="n"/>
      <c r="E574" s="48" t="n"/>
      <c r="F574" s="48" t="n"/>
      <c r="G574" s="48" t="n"/>
      <c r="H574" s="48" t="n"/>
      <c r="I574" s="49" t="n"/>
      <c r="J574" s="50" t="n"/>
      <c r="K574" s="48" t="n"/>
      <c r="L574" s="51">
        <f>IF(A574="","",DATE(YEAR(A574),MONTH(A574),1))</f>
        <v/>
      </c>
      <c r="M574" s="52">
        <f>IF(OR(A574="",NOT(ISNUMBER(I574))),"",IF(G574=Lists!$B$5,I574/2,IF(G574=Lists!$B$6,I574,0)))</f>
        <v/>
      </c>
      <c r="N574" s="52">
        <f>IF(OR(A574="",NOT(ISNUMBER(I574))),"",IF(G574=Lists!$B$5,I574/2,IF(G574=Lists!$B$7,I574,0)))</f>
        <v/>
      </c>
      <c r="O574" s="53">
        <f>IF(COUNTA(A574:K574)=0,"",IF(OR(A574="",B574="",C574="",D574="",E574="",F574="",G574="",NOT(ISNUMBER(I574))),"Incomplete",IF(COUNTIF(Lists!$H$4:$AA$4,C574)=0,"Check category",IF(COUNTIF(INDEX(Lists!$H$6:$AA$45,0,MATCH(C574,Lists!$H$4:$AA$4,0)),D574)=0,"Check sub-category","OK"))))</f>
        <v/>
      </c>
      <c r="P574">
        <f>IF(ISNUMBER(I574),I574+ROW()/10000000,"")</f>
        <v/>
      </c>
      <c r="Q574">
        <f>IF(AND(ISNUMBER(P574),ISNUMBER(A574)),IF(AND(A574&gt;=Dashboard!$Q$3,A574&lt;=Dashboard!$Q$4,OR(J574&lt;&gt;"Yes",Dashboard!$Q$15="Yes")),P574,""),"")</f>
        <v/>
      </c>
    </row>
    <row r="575">
      <c r="A575" s="47" t="n"/>
      <c r="B575" s="48" t="n"/>
      <c r="C575" s="48" t="n"/>
      <c r="D575" s="48" t="n"/>
      <c r="E575" s="48" t="n"/>
      <c r="F575" s="48" t="n"/>
      <c r="G575" s="48" t="n"/>
      <c r="H575" s="48" t="n"/>
      <c r="I575" s="49" t="n"/>
      <c r="J575" s="50" t="n"/>
      <c r="K575" s="48" t="n"/>
      <c r="L575" s="51">
        <f>IF(A575="","",DATE(YEAR(A575),MONTH(A575),1))</f>
        <v/>
      </c>
      <c r="M575" s="52">
        <f>IF(OR(A575="",NOT(ISNUMBER(I575))),"",IF(G575=Lists!$B$5,I575/2,IF(G575=Lists!$B$6,I575,0)))</f>
        <v/>
      </c>
      <c r="N575" s="52">
        <f>IF(OR(A575="",NOT(ISNUMBER(I575))),"",IF(G575=Lists!$B$5,I575/2,IF(G575=Lists!$B$7,I575,0)))</f>
        <v/>
      </c>
      <c r="O575" s="53">
        <f>IF(COUNTA(A575:K575)=0,"",IF(OR(A575="",B575="",C575="",D575="",E575="",F575="",G575="",NOT(ISNUMBER(I575))),"Incomplete",IF(COUNTIF(Lists!$H$4:$AA$4,C575)=0,"Check category",IF(COUNTIF(INDEX(Lists!$H$6:$AA$45,0,MATCH(C575,Lists!$H$4:$AA$4,0)),D575)=0,"Check sub-category","OK"))))</f>
        <v/>
      </c>
      <c r="P575">
        <f>IF(ISNUMBER(I575),I575+ROW()/10000000,"")</f>
        <v/>
      </c>
      <c r="Q575">
        <f>IF(AND(ISNUMBER(P575),ISNUMBER(A575)),IF(AND(A575&gt;=Dashboard!$Q$3,A575&lt;=Dashboard!$Q$4,OR(J575&lt;&gt;"Yes",Dashboard!$Q$15="Yes")),P575,""),"")</f>
        <v/>
      </c>
    </row>
    <row r="576">
      <c r="A576" s="47" t="n"/>
      <c r="B576" s="48" t="n"/>
      <c r="C576" s="48" t="n"/>
      <c r="D576" s="48" t="n"/>
      <c r="E576" s="48" t="n"/>
      <c r="F576" s="48" t="n"/>
      <c r="G576" s="48" t="n"/>
      <c r="H576" s="48" t="n"/>
      <c r="I576" s="49" t="n"/>
      <c r="J576" s="50" t="n"/>
      <c r="K576" s="48" t="n"/>
      <c r="L576" s="51">
        <f>IF(A576="","",DATE(YEAR(A576),MONTH(A576),1))</f>
        <v/>
      </c>
      <c r="M576" s="52">
        <f>IF(OR(A576="",NOT(ISNUMBER(I576))),"",IF(G576=Lists!$B$5,I576/2,IF(G576=Lists!$B$6,I576,0)))</f>
        <v/>
      </c>
      <c r="N576" s="52">
        <f>IF(OR(A576="",NOT(ISNUMBER(I576))),"",IF(G576=Lists!$B$5,I576/2,IF(G576=Lists!$B$7,I576,0)))</f>
        <v/>
      </c>
      <c r="O576" s="53">
        <f>IF(COUNTA(A576:K576)=0,"",IF(OR(A576="",B576="",C576="",D576="",E576="",F576="",G576="",NOT(ISNUMBER(I576))),"Incomplete",IF(COUNTIF(Lists!$H$4:$AA$4,C576)=0,"Check category",IF(COUNTIF(INDEX(Lists!$H$6:$AA$45,0,MATCH(C576,Lists!$H$4:$AA$4,0)),D576)=0,"Check sub-category","OK"))))</f>
        <v/>
      </c>
      <c r="P576">
        <f>IF(ISNUMBER(I576),I576+ROW()/10000000,"")</f>
        <v/>
      </c>
      <c r="Q576">
        <f>IF(AND(ISNUMBER(P576),ISNUMBER(A576)),IF(AND(A576&gt;=Dashboard!$Q$3,A576&lt;=Dashboard!$Q$4,OR(J576&lt;&gt;"Yes",Dashboard!$Q$15="Yes")),P576,""),"")</f>
        <v/>
      </c>
    </row>
    <row r="577">
      <c r="A577" s="47" t="n"/>
      <c r="B577" s="48" t="n"/>
      <c r="C577" s="48" t="n"/>
      <c r="D577" s="48" t="n"/>
      <c r="E577" s="48" t="n"/>
      <c r="F577" s="48" t="n"/>
      <c r="G577" s="48" t="n"/>
      <c r="H577" s="48" t="n"/>
      <c r="I577" s="49" t="n"/>
      <c r="J577" s="50" t="n"/>
      <c r="K577" s="48" t="n"/>
      <c r="L577" s="51">
        <f>IF(A577="","",DATE(YEAR(A577),MONTH(A577),1))</f>
        <v/>
      </c>
      <c r="M577" s="52">
        <f>IF(OR(A577="",NOT(ISNUMBER(I577))),"",IF(G577=Lists!$B$5,I577/2,IF(G577=Lists!$B$6,I577,0)))</f>
        <v/>
      </c>
      <c r="N577" s="52">
        <f>IF(OR(A577="",NOT(ISNUMBER(I577))),"",IF(G577=Lists!$B$5,I577/2,IF(G577=Lists!$B$7,I577,0)))</f>
        <v/>
      </c>
      <c r="O577" s="53">
        <f>IF(COUNTA(A577:K577)=0,"",IF(OR(A577="",B577="",C577="",D577="",E577="",F577="",G577="",NOT(ISNUMBER(I577))),"Incomplete",IF(COUNTIF(Lists!$H$4:$AA$4,C577)=0,"Check category",IF(COUNTIF(INDEX(Lists!$H$6:$AA$45,0,MATCH(C577,Lists!$H$4:$AA$4,0)),D577)=0,"Check sub-category","OK"))))</f>
        <v/>
      </c>
      <c r="P577">
        <f>IF(ISNUMBER(I577),I577+ROW()/10000000,"")</f>
        <v/>
      </c>
      <c r="Q577">
        <f>IF(AND(ISNUMBER(P577),ISNUMBER(A577)),IF(AND(A577&gt;=Dashboard!$Q$3,A577&lt;=Dashboard!$Q$4,OR(J577&lt;&gt;"Yes",Dashboard!$Q$15="Yes")),P577,""),"")</f>
        <v/>
      </c>
    </row>
    <row r="578">
      <c r="A578" s="47" t="n"/>
      <c r="B578" s="48" t="n"/>
      <c r="C578" s="48" t="n"/>
      <c r="D578" s="48" t="n"/>
      <c r="E578" s="48" t="n"/>
      <c r="F578" s="48" t="n"/>
      <c r="G578" s="48" t="n"/>
      <c r="H578" s="48" t="n"/>
      <c r="I578" s="49" t="n"/>
      <c r="J578" s="50" t="n"/>
      <c r="K578" s="48" t="n"/>
      <c r="L578" s="51">
        <f>IF(A578="","",DATE(YEAR(A578),MONTH(A578),1))</f>
        <v/>
      </c>
      <c r="M578" s="52">
        <f>IF(OR(A578="",NOT(ISNUMBER(I578))),"",IF(G578=Lists!$B$5,I578/2,IF(G578=Lists!$B$6,I578,0)))</f>
        <v/>
      </c>
      <c r="N578" s="52">
        <f>IF(OR(A578="",NOT(ISNUMBER(I578))),"",IF(G578=Lists!$B$5,I578/2,IF(G578=Lists!$B$7,I578,0)))</f>
        <v/>
      </c>
      <c r="O578" s="53">
        <f>IF(COUNTA(A578:K578)=0,"",IF(OR(A578="",B578="",C578="",D578="",E578="",F578="",G578="",NOT(ISNUMBER(I578))),"Incomplete",IF(COUNTIF(Lists!$H$4:$AA$4,C578)=0,"Check category",IF(COUNTIF(INDEX(Lists!$H$6:$AA$45,0,MATCH(C578,Lists!$H$4:$AA$4,0)),D578)=0,"Check sub-category","OK"))))</f>
        <v/>
      </c>
      <c r="P578">
        <f>IF(ISNUMBER(I578),I578+ROW()/10000000,"")</f>
        <v/>
      </c>
      <c r="Q578">
        <f>IF(AND(ISNUMBER(P578),ISNUMBER(A578)),IF(AND(A578&gt;=Dashboard!$Q$3,A578&lt;=Dashboard!$Q$4,OR(J578&lt;&gt;"Yes",Dashboard!$Q$15="Yes")),P578,""),"")</f>
        <v/>
      </c>
    </row>
    <row r="579">
      <c r="A579" s="47" t="n"/>
      <c r="B579" s="48" t="n"/>
      <c r="C579" s="48" t="n"/>
      <c r="D579" s="48" t="n"/>
      <c r="E579" s="48" t="n"/>
      <c r="F579" s="48" t="n"/>
      <c r="G579" s="48" t="n"/>
      <c r="H579" s="48" t="n"/>
      <c r="I579" s="49" t="n"/>
      <c r="J579" s="50" t="n"/>
      <c r="K579" s="48" t="n"/>
      <c r="L579" s="51">
        <f>IF(A579="","",DATE(YEAR(A579),MONTH(A579),1))</f>
        <v/>
      </c>
      <c r="M579" s="52">
        <f>IF(OR(A579="",NOT(ISNUMBER(I579))),"",IF(G579=Lists!$B$5,I579/2,IF(G579=Lists!$B$6,I579,0)))</f>
        <v/>
      </c>
      <c r="N579" s="52">
        <f>IF(OR(A579="",NOT(ISNUMBER(I579))),"",IF(G579=Lists!$B$5,I579/2,IF(G579=Lists!$B$7,I579,0)))</f>
        <v/>
      </c>
      <c r="O579" s="53">
        <f>IF(COUNTA(A579:K579)=0,"",IF(OR(A579="",B579="",C579="",D579="",E579="",F579="",G579="",NOT(ISNUMBER(I579))),"Incomplete",IF(COUNTIF(Lists!$H$4:$AA$4,C579)=0,"Check category",IF(COUNTIF(INDEX(Lists!$H$6:$AA$45,0,MATCH(C579,Lists!$H$4:$AA$4,0)),D579)=0,"Check sub-category","OK"))))</f>
        <v/>
      </c>
      <c r="P579">
        <f>IF(ISNUMBER(I579),I579+ROW()/10000000,"")</f>
        <v/>
      </c>
      <c r="Q579">
        <f>IF(AND(ISNUMBER(P579),ISNUMBER(A579)),IF(AND(A579&gt;=Dashboard!$Q$3,A579&lt;=Dashboard!$Q$4,OR(J579&lt;&gt;"Yes",Dashboard!$Q$15="Yes")),P579,""),"")</f>
        <v/>
      </c>
    </row>
    <row r="580">
      <c r="A580" s="47" t="n"/>
      <c r="B580" s="48" t="n"/>
      <c r="C580" s="48" t="n"/>
      <c r="D580" s="48" t="n"/>
      <c r="E580" s="48" t="n"/>
      <c r="F580" s="48" t="n"/>
      <c r="G580" s="48" t="n"/>
      <c r="H580" s="48" t="n"/>
      <c r="I580" s="49" t="n"/>
      <c r="J580" s="50" t="n"/>
      <c r="K580" s="48" t="n"/>
      <c r="L580" s="51">
        <f>IF(A580="","",DATE(YEAR(A580),MONTH(A580),1))</f>
        <v/>
      </c>
      <c r="M580" s="52">
        <f>IF(OR(A580="",NOT(ISNUMBER(I580))),"",IF(G580=Lists!$B$5,I580/2,IF(G580=Lists!$B$6,I580,0)))</f>
        <v/>
      </c>
      <c r="N580" s="52">
        <f>IF(OR(A580="",NOT(ISNUMBER(I580))),"",IF(G580=Lists!$B$5,I580/2,IF(G580=Lists!$B$7,I580,0)))</f>
        <v/>
      </c>
      <c r="O580" s="53">
        <f>IF(COUNTA(A580:K580)=0,"",IF(OR(A580="",B580="",C580="",D580="",E580="",F580="",G580="",NOT(ISNUMBER(I580))),"Incomplete",IF(COUNTIF(Lists!$H$4:$AA$4,C580)=0,"Check category",IF(COUNTIF(INDEX(Lists!$H$6:$AA$45,0,MATCH(C580,Lists!$H$4:$AA$4,0)),D580)=0,"Check sub-category","OK"))))</f>
        <v/>
      </c>
      <c r="P580">
        <f>IF(ISNUMBER(I580),I580+ROW()/10000000,"")</f>
        <v/>
      </c>
      <c r="Q580">
        <f>IF(AND(ISNUMBER(P580),ISNUMBER(A580)),IF(AND(A580&gt;=Dashboard!$Q$3,A580&lt;=Dashboard!$Q$4,OR(J580&lt;&gt;"Yes",Dashboard!$Q$15="Yes")),P580,""),"")</f>
        <v/>
      </c>
    </row>
    <row r="581">
      <c r="A581" s="47" t="n"/>
      <c r="B581" s="48" t="n"/>
      <c r="C581" s="48" t="n"/>
      <c r="D581" s="48" t="n"/>
      <c r="E581" s="48" t="n"/>
      <c r="F581" s="48" t="n"/>
      <c r="G581" s="48" t="n"/>
      <c r="H581" s="48" t="n"/>
      <c r="I581" s="49" t="n"/>
      <c r="J581" s="50" t="n"/>
      <c r="K581" s="48" t="n"/>
      <c r="L581" s="51">
        <f>IF(A581="","",DATE(YEAR(A581),MONTH(A581),1))</f>
        <v/>
      </c>
      <c r="M581" s="52">
        <f>IF(OR(A581="",NOT(ISNUMBER(I581))),"",IF(G581=Lists!$B$5,I581/2,IF(G581=Lists!$B$6,I581,0)))</f>
        <v/>
      </c>
      <c r="N581" s="52">
        <f>IF(OR(A581="",NOT(ISNUMBER(I581))),"",IF(G581=Lists!$B$5,I581/2,IF(G581=Lists!$B$7,I581,0)))</f>
        <v/>
      </c>
      <c r="O581" s="53">
        <f>IF(COUNTA(A581:K581)=0,"",IF(OR(A581="",B581="",C581="",D581="",E581="",F581="",G581="",NOT(ISNUMBER(I581))),"Incomplete",IF(COUNTIF(Lists!$H$4:$AA$4,C581)=0,"Check category",IF(COUNTIF(INDEX(Lists!$H$6:$AA$45,0,MATCH(C581,Lists!$H$4:$AA$4,0)),D581)=0,"Check sub-category","OK"))))</f>
        <v/>
      </c>
      <c r="P581">
        <f>IF(ISNUMBER(I581),I581+ROW()/10000000,"")</f>
        <v/>
      </c>
      <c r="Q581">
        <f>IF(AND(ISNUMBER(P581),ISNUMBER(A581)),IF(AND(A581&gt;=Dashboard!$Q$3,A581&lt;=Dashboard!$Q$4,OR(J581&lt;&gt;"Yes",Dashboard!$Q$15="Yes")),P581,""),"")</f>
        <v/>
      </c>
    </row>
    <row r="582">
      <c r="A582" s="47" t="n"/>
      <c r="B582" s="48" t="n"/>
      <c r="C582" s="48" t="n"/>
      <c r="D582" s="48" t="n"/>
      <c r="E582" s="48" t="n"/>
      <c r="F582" s="48" t="n"/>
      <c r="G582" s="48" t="n"/>
      <c r="H582" s="48" t="n"/>
      <c r="I582" s="49" t="n"/>
      <c r="J582" s="50" t="n"/>
      <c r="K582" s="48" t="n"/>
      <c r="L582" s="51">
        <f>IF(A582="","",DATE(YEAR(A582),MONTH(A582),1))</f>
        <v/>
      </c>
      <c r="M582" s="52">
        <f>IF(OR(A582="",NOT(ISNUMBER(I582))),"",IF(G582=Lists!$B$5,I582/2,IF(G582=Lists!$B$6,I582,0)))</f>
        <v/>
      </c>
      <c r="N582" s="52">
        <f>IF(OR(A582="",NOT(ISNUMBER(I582))),"",IF(G582=Lists!$B$5,I582/2,IF(G582=Lists!$B$7,I582,0)))</f>
        <v/>
      </c>
      <c r="O582" s="53">
        <f>IF(COUNTA(A582:K582)=0,"",IF(OR(A582="",B582="",C582="",D582="",E582="",F582="",G582="",NOT(ISNUMBER(I582))),"Incomplete",IF(COUNTIF(Lists!$H$4:$AA$4,C582)=0,"Check category",IF(COUNTIF(INDEX(Lists!$H$6:$AA$45,0,MATCH(C582,Lists!$H$4:$AA$4,0)),D582)=0,"Check sub-category","OK"))))</f>
        <v/>
      </c>
      <c r="P582">
        <f>IF(ISNUMBER(I582),I582+ROW()/10000000,"")</f>
        <v/>
      </c>
      <c r="Q582">
        <f>IF(AND(ISNUMBER(P582),ISNUMBER(A582)),IF(AND(A582&gt;=Dashboard!$Q$3,A582&lt;=Dashboard!$Q$4,OR(J582&lt;&gt;"Yes",Dashboard!$Q$15="Yes")),P582,""),"")</f>
        <v/>
      </c>
    </row>
    <row r="583">
      <c r="A583" s="47" t="n"/>
      <c r="B583" s="48" t="n"/>
      <c r="C583" s="48" t="n"/>
      <c r="D583" s="48" t="n"/>
      <c r="E583" s="48" t="n"/>
      <c r="F583" s="48" t="n"/>
      <c r="G583" s="48" t="n"/>
      <c r="H583" s="48" t="n"/>
      <c r="I583" s="49" t="n"/>
      <c r="J583" s="50" t="n"/>
      <c r="K583" s="48" t="n"/>
      <c r="L583" s="51">
        <f>IF(A583="","",DATE(YEAR(A583),MONTH(A583),1))</f>
        <v/>
      </c>
      <c r="M583" s="52">
        <f>IF(OR(A583="",NOT(ISNUMBER(I583))),"",IF(G583=Lists!$B$5,I583/2,IF(G583=Lists!$B$6,I583,0)))</f>
        <v/>
      </c>
      <c r="N583" s="52">
        <f>IF(OR(A583="",NOT(ISNUMBER(I583))),"",IF(G583=Lists!$B$5,I583/2,IF(G583=Lists!$B$7,I583,0)))</f>
        <v/>
      </c>
      <c r="O583" s="53">
        <f>IF(COUNTA(A583:K583)=0,"",IF(OR(A583="",B583="",C583="",D583="",E583="",F583="",G583="",NOT(ISNUMBER(I583))),"Incomplete",IF(COUNTIF(Lists!$H$4:$AA$4,C583)=0,"Check category",IF(COUNTIF(INDEX(Lists!$H$6:$AA$45,0,MATCH(C583,Lists!$H$4:$AA$4,0)),D583)=0,"Check sub-category","OK"))))</f>
        <v/>
      </c>
      <c r="P583">
        <f>IF(ISNUMBER(I583),I583+ROW()/10000000,"")</f>
        <v/>
      </c>
      <c r="Q583">
        <f>IF(AND(ISNUMBER(P583),ISNUMBER(A583)),IF(AND(A583&gt;=Dashboard!$Q$3,A583&lt;=Dashboard!$Q$4,OR(J583&lt;&gt;"Yes",Dashboard!$Q$15="Yes")),P583,""),"")</f>
        <v/>
      </c>
    </row>
    <row r="584">
      <c r="A584" s="47" t="n"/>
      <c r="B584" s="48" t="n"/>
      <c r="C584" s="48" t="n"/>
      <c r="D584" s="48" t="n"/>
      <c r="E584" s="48" t="n"/>
      <c r="F584" s="48" t="n"/>
      <c r="G584" s="48" t="n"/>
      <c r="H584" s="48" t="n"/>
      <c r="I584" s="49" t="n"/>
      <c r="J584" s="50" t="n"/>
      <c r="K584" s="48" t="n"/>
      <c r="L584" s="51">
        <f>IF(A584="","",DATE(YEAR(A584),MONTH(A584),1))</f>
        <v/>
      </c>
      <c r="M584" s="52">
        <f>IF(OR(A584="",NOT(ISNUMBER(I584))),"",IF(G584=Lists!$B$5,I584/2,IF(G584=Lists!$B$6,I584,0)))</f>
        <v/>
      </c>
      <c r="N584" s="52">
        <f>IF(OR(A584="",NOT(ISNUMBER(I584))),"",IF(G584=Lists!$B$5,I584/2,IF(G584=Lists!$B$7,I584,0)))</f>
        <v/>
      </c>
      <c r="O584" s="53">
        <f>IF(COUNTA(A584:K584)=0,"",IF(OR(A584="",B584="",C584="",D584="",E584="",F584="",G584="",NOT(ISNUMBER(I584))),"Incomplete",IF(COUNTIF(Lists!$H$4:$AA$4,C584)=0,"Check category",IF(COUNTIF(INDEX(Lists!$H$6:$AA$45,0,MATCH(C584,Lists!$H$4:$AA$4,0)),D584)=0,"Check sub-category","OK"))))</f>
        <v/>
      </c>
      <c r="P584">
        <f>IF(ISNUMBER(I584),I584+ROW()/10000000,"")</f>
        <v/>
      </c>
      <c r="Q584">
        <f>IF(AND(ISNUMBER(P584),ISNUMBER(A584)),IF(AND(A584&gt;=Dashboard!$Q$3,A584&lt;=Dashboard!$Q$4,OR(J584&lt;&gt;"Yes",Dashboard!$Q$15="Yes")),P584,""),"")</f>
        <v/>
      </c>
    </row>
    <row r="585">
      <c r="A585" s="47" t="n"/>
      <c r="B585" s="48" t="n"/>
      <c r="C585" s="48" t="n"/>
      <c r="D585" s="48" t="n"/>
      <c r="E585" s="48" t="n"/>
      <c r="F585" s="48" t="n"/>
      <c r="G585" s="48" t="n"/>
      <c r="H585" s="48" t="n"/>
      <c r="I585" s="49" t="n"/>
      <c r="J585" s="50" t="n"/>
      <c r="K585" s="48" t="n"/>
      <c r="L585" s="51">
        <f>IF(A585="","",DATE(YEAR(A585),MONTH(A585),1))</f>
        <v/>
      </c>
      <c r="M585" s="52">
        <f>IF(OR(A585="",NOT(ISNUMBER(I585))),"",IF(G585=Lists!$B$5,I585/2,IF(G585=Lists!$B$6,I585,0)))</f>
        <v/>
      </c>
      <c r="N585" s="52">
        <f>IF(OR(A585="",NOT(ISNUMBER(I585))),"",IF(G585=Lists!$B$5,I585/2,IF(G585=Lists!$B$7,I585,0)))</f>
        <v/>
      </c>
      <c r="O585" s="53">
        <f>IF(COUNTA(A585:K585)=0,"",IF(OR(A585="",B585="",C585="",D585="",E585="",F585="",G585="",NOT(ISNUMBER(I585))),"Incomplete",IF(COUNTIF(Lists!$H$4:$AA$4,C585)=0,"Check category",IF(COUNTIF(INDEX(Lists!$H$6:$AA$45,0,MATCH(C585,Lists!$H$4:$AA$4,0)),D585)=0,"Check sub-category","OK"))))</f>
        <v/>
      </c>
      <c r="P585">
        <f>IF(ISNUMBER(I585),I585+ROW()/10000000,"")</f>
        <v/>
      </c>
      <c r="Q585">
        <f>IF(AND(ISNUMBER(P585),ISNUMBER(A585)),IF(AND(A585&gt;=Dashboard!$Q$3,A585&lt;=Dashboard!$Q$4,OR(J585&lt;&gt;"Yes",Dashboard!$Q$15="Yes")),P585,""),"")</f>
        <v/>
      </c>
    </row>
    <row r="586">
      <c r="A586" s="47" t="n"/>
      <c r="B586" s="48" t="n"/>
      <c r="C586" s="48" t="n"/>
      <c r="D586" s="48" t="n"/>
      <c r="E586" s="48" t="n"/>
      <c r="F586" s="48" t="n"/>
      <c r="G586" s="48" t="n"/>
      <c r="H586" s="48" t="n"/>
      <c r="I586" s="49" t="n"/>
      <c r="J586" s="50" t="n"/>
      <c r="K586" s="48" t="n"/>
      <c r="L586" s="51">
        <f>IF(A586="","",DATE(YEAR(A586),MONTH(A586),1))</f>
        <v/>
      </c>
      <c r="M586" s="52">
        <f>IF(OR(A586="",NOT(ISNUMBER(I586))),"",IF(G586=Lists!$B$5,I586/2,IF(G586=Lists!$B$6,I586,0)))</f>
        <v/>
      </c>
      <c r="N586" s="52">
        <f>IF(OR(A586="",NOT(ISNUMBER(I586))),"",IF(G586=Lists!$B$5,I586/2,IF(G586=Lists!$B$7,I586,0)))</f>
        <v/>
      </c>
      <c r="O586" s="53">
        <f>IF(COUNTA(A586:K586)=0,"",IF(OR(A586="",B586="",C586="",D586="",E586="",F586="",G586="",NOT(ISNUMBER(I586))),"Incomplete",IF(COUNTIF(Lists!$H$4:$AA$4,C586)=0,"Check category",IF(COUNTIF(INDEX(Lists!$H$6:$AA$45,0,MATCH(C586,Lists!$H$4:$AA$4,0)),D586)=0,"Check sub-category","OK"))))</f>
        <v/>
      </c>
      <c r="P586">
        <f>IF(ISNUMBER(I586),I586+ROW()/10000000,"")</f>
        <v/>
      </c>
      <c r="Q586">
        <f>IF(AND(ISNUMBER(P586),ISNUMBER(A586)),IF(AND(A586&gt;=Dashboard!$Q$3,A586&lt;=Dashboard!$Q$4,OR(J586&lt;&gt;"Yes",Dashboard!$Q$15="Yes")),P586,""),"")</f>
        <v/>
      </c>
    </row>
    <row r="587">
      <c r="A587" s="47" t="n"/>
      <c r="B587" s="48" t="n"/>
      <c r="C587" s="48" t="n"/>
      <c r="D587" s="48" t="n"/>
      <c r="E587" s="48" t="n"/>
      <c r="F587" s="48" t="n"/>
      <c r="G587" s="48" t="n"/>
      <c r="H587" s="48" t="n"/>
      <c r="I587" s="49" t="n"/>
      <c r="J587" s="50" t="n"/>
      <c r="K587" s="48" t="n"/>
      <c r="L587" s="51">
        <f>IF(A587="","",DATE(YEAR(A587),MONTH(A587),1))</f>
        <v/>
      </c>
      <c r="M587" s="52">
        <f>IF(OR(A587="",NOT(ISNUMBER(I587))),"",IF(G587=Lists!$B$5,I587/2,IF(G587=Lists!$B$6,I587,0)))</f>
        <v/>
      </c>
      <c r="N587" s="52">
        <f>IF(OR(A587="",NOT(ISNUMBER(I587))),"",IF(G587=Lists!$B$5,I587/2,IF(G587=Lists!$B$7,I587,0)))</f>
        <v/>
      </c>
      <c r="O587" s="53">
        <f>IF(COUNTA(A587:K587)=0,"",IF(OR(A587="",B587="",C587="",D587="",E587="",F587="",G587="",NOT(ISNUMBER(I587))),"Incomplete",IF(COUNTIF(Lists!$H$4:$AA$4,C587)=0,"Check category",IF(COUNTIF(INDEX(Lists!$H$6:$AA$45,0,MATCH(C587,Lists!$H$4:$AA$4,0)),D587)=0,"Check sub-category","OK"))))</f>
        <v/>
      </c>
      <c r="P587">
        <f>IF(ISNUMBER(I587),I587+ROW()/10000000,"")</f>
        <v/>
      </c>
      <c r="Q587">
        <f>IF(AND(ISNUMBER(P587),ISNUMBER(A587)),IF(AND(A587&gt;=Dashboard!$Q$3,A587&lt;=Dashboard!$Q$4,OR(J587&lt;&gt;"Yes",Dashboard!$Q$15="Yes")),P587,""),"")</f>
        <v/>
      </c>
    </row>
    <row r="588">
      <c r="A588" s="47" t="n"/>
      <c r="B588" s="48" t="n"/>
      <c r="C588" s="48" t="n"/>
      <c r="D588" s="48" t="n"/>
      <c r="E588" s="48" t="n"/>
      <c r="F588" s="48" t="n"/>
      <c r="G588" s="48" t="n"/>
      <c r="H588" s="48" t="n"/>
      <c r="I588" s="49" t="n"/>
      <c r="J588" s="50" t="n"/>
      <c r="K588" s="48" t="n"/>
      <c r="L588" s="51">
        <f>IF(A588="","",DATE(YEAR(A588),MONTH(A588),1))</f>
        <v/>
      </c>
      <c r="M588" s="52">
        <f>IF(OR(A588="",NOT(ISNUMBER(I588))),"",IF(G588=Lists!$B$5,I588/2,IF(G588=Lists!$B$6,I588,0)))</f>
        <v/>
      </c>
      <c r="N588" s="52">
        <f>IF(OR(A588="",NOT(ISNUMBER(I588))),"",IF(G588=Lists!$B$5,I588/2,IF(G588=Lists!$B$7,I588,0)))</f>
        <v/>
      </c>
      <c r="O588" s="53">
        <f>IF(COUNTA(A588:K588)=0,"",IF(OR(A588="",B588="",C588="",D588="",E588="",F588="",G588="",NOT(ISNUMBER(I588))),"Incomplete",IF(COUNTIF(Lists!$H$4:$AA$4,C588)=0,"Check category",IF(COUNTIF(INDEX(Lists!$H$6:$AA$45,0,MATCH(C588,Lists!$H$4:$AA$4,0)),D588)=0,"Check sub-category","OK"))))</f>
        <v/>
      </c>
      <c r="P588">
        <f>IF(ISNUMBER(I588),I588+ROW()/10000000,"")</f>
        <v/>
      </c>
      <c r="Q588">
        <f>IF(AND(ISNUMBER(P588),ISNUMBER(A588)),IF(AND(A588&gt;=Dashboard!$Q$3,A588&lt;=Dashboard!$Q$4,OR(J588&lt;&gt;"Yes",Dashboard!$Q$15="Yes")),P588,""),"")</f>
        <v/>
      </c>
    </row>
    <row r="589">
      <c r="A589" s="47" t="n"/>
      <c r="B589" s="48" t="n"/>
      <c r="C589" s="48" t="n"/>
      <c r="D589" s="48" t="n"/>
      <c r="E589" s="48" t="n"/>
      <c r="F589" s="48" t="n"/>
      <c r="G589" s="48" t="n"/>
      <c r="H589" s="48" t="n"/>
      <c r="I589" s="49" t="n"/>
      <c r="J589" s="50" t="n"/>
      <c r="K589" s="48" t="n"/>
      <c r="L589" s="51">
        <f>IF(A589="","",DATE(YEAR(A589),MONTH(A589),1))</f>
        <v/>
      </c>
      <c r="M589" s="52">
        <f>IF(OR(A589="",NOT(ISNUMBER(I589))),"",IF(G589=Lists!$B$5,I589/2,IF(G589=Lists!$B$6,I589,0)))</f>
        <v/>
      </c>
      <c r="N589" s="52">
        <f>IF(OR(A589="",NOT(ISNUMBER(I589))),"",IF(G589=Lists!$B$5,I589/2,IF(G589=Lists!$B$7,I589,0)))</f>
        <v/>
      </c>
      <c r="O589" s="53">
        <f>IF(COUNTA(A589:K589)=0,"",IF(OR(A589="",B589="",C589="",D589="",E589="",F589="",G589="",NOT(ISNUMBER(I589))),"Incomplete",IF(COUNTIF(Lists!$H$4:$AA$4,C589)=0,"Check category",IF(COUNTIF(INDEX(Lists!$H$6:$AA$45,0,MATCH(C589,Lists!$H$4:$AA$4,0)),D589)=0,"Check sub-category","OK"))))</f>
        <v/>
      </c>
      <c r="P589">
        <f>IF(ISNUMBER(I589),I589+ROW()/10000000,"")</f>
        <v/>
      </c>
      <c r="Q589">
        <f>IF(AND(ISNUMBER(P589),ISNUMBER(A589)),IF(AND(A589&gt;=Dashboard!$Q$3,A589&lt;=Dashboard!$Q$4,OR(J589&lt;&gt;"Yes",Dashboard!$Q$15="Yes")),P589,""),"")</f>
        <v/>
      </c>
    </row>
    <row r="590">
      <c r="A590" s="47" t="n"/>
      <c r="B590" s="48" t="n"/>
      <c r="C590" s="48" t="n"/>
      <c r="D590" s="48" t="n"/>
      <c r="E590" s="48" t="n"/>
      <c r="F590" s="48" t="n"/>
      <c r="G590" s="48" t="n"/>
      <c r="H590" s="48" t="n"/>
      <c r="I590" s="49" t="n"/>
      <c r="J590" s="50" t="n"/>
      <c r="K590" s="48" t="n"/>
      <c r="L590" s="51">
        <f>IF(A590="","",DATE(YEAR(A590),MONTH(A590),1))</f>
        <v/>
      </c>
      <c r="M590" s="52">
        <f>IF(OR(A590="",NOT(ISNUMBER(I590))),"",IF(G590=Lists!$B$5,I590/2,IF(G590=Lists!$B$6,I590,0)))</f>
        <v/>
      </c>
      <c r="N590" s="52">
        <f>IF(OR(A590="",NOT(ISNUMBER(I590))),"",IF(G590=Lists!$B$5,I590/2,IF(G590=Lists!$B$7,I590,0)))</f>
        <v/>
      </c>
      <c r="O590" s="53">
        <f>IF(COUNTA(A590:K590)=0,"",IF(OR(A590="",B590="",C590="",D590="",E590="",F590="",G590="",NOT(ISNUMBER(I590))),"Incomplete",IF(COUNTIF(Lists!$H$4:$AA$4,C590)=0,"Check category",IF(COUNTIF(INDEX(Lists!$H$6:$AA$45,0,MATCH(C590,Lists!$H$4:$AA$4,0)),D590)=0,"Check sub-category","OK"))))</f>
        <v/>
      </c>
      <c r="P590">
        <f>IF(ISNUMBER(I590),I590+ROW()/10000000,"")</f>
        <v/>
      </c>
      <c r="Q590">
        <f>IF(AND(ISNUMBER(P590),ISNUMBER(A590)),IF(AND(A590&gt;=Dashboard!$Q$3,A590&lt;=Dashboard!$Q$4,OR(J590&lt;&gt;"Yes",Dashboard!$Q$15="Yes")),P590,""),"")</f>
        <v/>
      </c>
    </row>
    <row r="591">
      <c r="A591" s="47" t="n"/>
      <c r="B591" s="48" t="n"/>
      <c r="C591" s="48" t="n"/>
      <c r="D591" s="48" t="n"/>
      <c r="E591" s="48" t="n"/>
      <c r="F591" s="48" t="n"/>
      <c r="G591" s="48" t="n"/>
      <c r="H591" s="48" t="n"/>
      <c r="I591" s="49" t="n"/>
      <c r="J591" s="50" t="n"/>
      <c r="K591" s="48" t="n"/>
      <c r="L591" s="51">
        <f>IF(A591="","",DATE(YEAR(A591),MONTH(A591),1))</f>
        <v/>
      </c>
      <c r="M591" s="52">
        <f>IF(OR(A591="",NOT(ISNUMBER(I591))),"",IF(G591=Lists!$B$5,I591/2,IF(G591=Lists!$B$6,I591,0)))</f>
        <v/>
      </c>
      <c r="N591" s="52">
        <f>IF(OR(A591="",NOT(ISNUMBER(I591))),"",IF(G591=Lists!$B$5,I591/2,IF(G591=Lists!$B$7,I591,0)))</f>
        <v/>
      </c>
      <c r="O591" s="53">
        <f>IF(COUNTA(A591:K591)=0,"",IF(OR(A591="",B591="",C591="",D591="",E591="",F591="",G591="",NOT(ISNUMBER(I591))),"Incomplete",IF(COUNTIF(Lists!$H$4:$AA$4,C591)=0,"Check category",IF(COUNTIF(INDEX(Lists!$H$6:$AA$45,0,MATCH(C591,Lists!$H$4:$AA$4,0)),D591)=0,"Check sub-category","OK"))))</f>
        <v/>
      </c>
      <c r="P591">
        <f>IF(ISNUMBER(I591),I591+ROW()/10000000,"")</f>
        <v/>
      </c>
      <c r="Q591">
        <f>IF(AND(ISNUMBER(P591),ISNUMBER(A591)),IF(AND(A591&gt;=Dashboard!$Q$3,A591&lt;=Dashboard!$Q$4,OR(J591&lt;&gt;"Yes",Dashboard!$Q$15="Yes")),P591,""),"")</f>
        <v/>
      </c>
    </row>
    <row r="592">
      <c r="A592" s="47" t="n"/>
      <c r="B592" s="48" t="n"/>
      <c r="C592" s="48" t="n"/>
      <c r="D592" s="48" t="n"/>
      <c r="E592" s="48" t="n"/>
      <c r="F592" s="48" t="n"/>
      <c r="G592" s="48" t="n"/>
      <c r="H592" s="48" t="n"/>
      <c r="I592" s="49" t="n"/>
      <c r="J592" s="50" t="n"/>
      <c r="K592" s="48" t="n"/>
      <c r="L592" s="51">
        <f>IF(A592="","",DATE(YEAR(A592),MONTH(A592),1))</f>
        <v/>
      </c>
      <c r="M592" s="52">
        <f>IF(OR(A592="",NOT(ISNUMBER(I592))),"",IF(G592=Lists!$B$5,I592/2,IF(G592=Lists!$B$6,I592,0)))</f>
        <v/>
      </c>
      <c r="N592" s="52">
        <f>IF(OR(A592="",NOT(ISNUMBER(I592))),"",IF(G592=Lists!$B$5,I592/2,IF(G592=Lists!$B$7,I592,0)))</f>
        <v/>
      </c>
      <c r="O592" s="53">
        <f>IF(COUNTA(A592:K592)=0,"",IF(OR(A592="",B592="",C592="",D592="",E592="",F592="",G592="",NOT(ISNUMBER(I592))),"Incomplete",IF(COUNTIF(Lists!$H$4:$AA$4,C592)=0,"Check category",IF(COUNTIF(INDEX(Lists!$H$6:$AA$45,0,MATCH(C592,Lists!$H$4:$AA$4,0)),D592)=0,"Check sub-category","OK"))))</f>
        <v/>
      </c>
      <c r="P592">
        <f>IF(ISNUMBER(I592),I592+ROW()/10000000,"")</f>
        <v/>
      </c>
      <c r="Q592">
        <f>IF(AND(ISNUMBER(P592),ISNUMBER(A592)),IF(AND(A592&gt;=Dashboard!$Q$3,A592&lt;=Dashboard!$Q$4,OR(J592&lt;&gt;"Yes",Dashboard!$Q$15="Yes")),P592,""),"")</f>
        <v/>
      </c>
    </row>
    <row r="593">
      <c r="A593" s="47" t="n"/>
      <c r="B593" s="48" t="n"/>
      <c r="C593" s="48" t="n"/>
      <c r="D593" s="48" t="n"/>
      <c r="E593" s="48" t="n"/>
      <c r="F593" s="48" t="n"/>
      <c r="G593" s="48" t="n"/>
      <c r="H593" s="48" t="n"/>
      <c r="I593" s="49" t="n"/>
      <c r="J593" s="50" t="n"/>
      <c r="K593" s="48" t="n"/>
      <c r="L593" s="51">
        <f>IF(A593="","",DATE(YEAR(A593),MONTH(A593),1))</f>
        <v/>
      </c>
      <c r="M593" s="52">
        <f>IF(OR(A593="",NOT(ISNUMBER(I593))),"",IF(G593=Lists!$B$5,I593/2,IF(G593=Lists!$B$6,I593,0)))</f>
        <v/>
      </c>
      <c r="N593" s="52">
        <f>IF(OR(A593="",NOT(ISNUMBER(I593))),"",IF(G593=Lists!$B$5,I593/2,IF(G593=Lists!$B$7,I593,0)))</f>
        <v/>
      </c>
      <c r="O593" s="53">
        <f>IF(COUNTA(A593:K593)=0,"",IF(OR(A593="",B593="",C593="",D593="",E593="",F593="",G593="",NOT(ISNUMBER(I593))),"Incomplete",IF(COUNTIF(Lists!$H$4:$AA$4,C593)=0,"Check category",IF(COUNTIF(INDEX(Lists!$H$6:$AA$45,0,MATCH(C593,Lists!$H$4:$AA$4,0)),D593)=0,"Check sub-category","OK"))))</f>
        <v/>
      </c>
      <c r="P593">
        <f>IF(ISNUMBER(I593),I593+ROW()/10000000,"")</f>
        <v/>
      </c>
      <c r="Q593">
        <f>IF(AND(ISNUMBER(P593),ISNUMBER(A593)),IF(AND(A593&gt;=Dashboard!$Q$3,A593&lt;=Dashboard!$Q$4,OR(J593&lt;&gt;"Yes",Dashboard!$Q$15="Yes")),P593,""),"")</f>
        <v/>
      </c>
    </row>
    <row r="594">
      <c r="A594" s="47" t="n"/>
      <c r="B594" s="48" t="n"/>
      <c r="C594" s="48" t="n"/>
      <c r="D594" s="48" t="n"/>
      <c r="E594" s="48" t="n"/>
      <c r="F594" s="48" t="n"/>
      <c r="G594" s="48" t="n"/>
      <c r="H594" s="48" t="n"/>
      <c r="I594" s="49" t="n"/>
      <c r="J594" s="50" t="n"/>
      <c r="K594" s="48" t="n"/>
      <c r="L594" s="51">
        <f>IF(A594="","",DATE(YEAR(A594),MONTH(A594),1))</f>
        <v/>
      </c>
      <c r="M594" s="52">
        <f>IF(OR(A594="",NOT(ISNUMBER(I594))),"",IF(G594=Lists!$B$5,I594/2,IF(G594=Lists!$B$6,I594,0)))</f>
        <v/>
      </c>
      <c r="N594" s="52">
        <f>IF(OR(A594="",NOT(ISNUMBER(I594))),"",IF(G594=Lists!$B$5,I594/2,IF(G594=Lists!$B$7,I594,0)))</f>
        <v/>
      </c>
      <c r="O594" s="53">
        <f>IF(COUNTA(A594:K594)=0,"",IF(OR(A594="",B594="",C594="",D594="",E594="",F594="",G594="",NOT(ISNUMBER(I594))),"Incomplete",IF(COUNTIF(Lists!$H$4:$AA$4,C594)=0,"Check category",IF(COUNTIF(INDEX(Lists!$H$6:$AA$45,0,MATCH(C594,Lists!$H$4:$AA$4,0)),D594)=0,"Check sub-category","OK"))))</f>
        <v/>
      </c>
      <c r="P594">
        <f>IF(ISNUMBER(I594),I594+ROW()/10000000,"")</f>
        <v/>
      </c>
      <c r="Q594">
        <f>IF(AND(ISNUMBER(P594),ISNUMBER(A594)),IF(AND(A594&gt;=Dashboard!$Q$3,A594&lt;=Dashboard!$Q$4,OR(J594&lt;&gt;"Yes",Dashboard!$Q$15="Yes")),P594,""),"")</f>
        <v/>
      </c>
    </row>
    <row r="595">
      <c r="A595" s="47" t="n"/>
      <c r="B595" s="48" t="n"/>
      <c r="C595" s="48" t="n"/>
      <c r="D595" s="48" t="n"/>
      <c r="E595" s="48" t="n"/>
      <c r="F595" s="48" t="n"/>
      <c r="G595" s="48" t="n"/>
      <c r="H595" s="48" t="n"/>
      <c r="I595" s="49" t="n"/>
      <c r="J595" s="50" t="n"/>
      <c r="K595" s="48" t="n"/>
      <c r="L595" s="51">
        <f>IF(A595="","",DATE(YEAR(A595),MONTH(A595),1))</f>
        <v/>
      </c>
      <c r="M595" s="52">
        <f>IF(OR(A595="",NOT(ISNUMBER(I595))),"",IF(G595=Lists!$B$5,I595/2,IF(G595=Lists!$B$6,I595,0)))</f>
        <v/>
      </c>
      <c r="N595" s="52">
        <f>IF(OR(A595="",NOT(ISNUMBER(I595))),"",IF(G595=Lists!$B$5,I595/2,IF(G595=Lists!$B$7,I595,0)))</f>
        <v/>
      </c>
      <c r="O595" s="53">
        <f>IF(COUNTA(A595:K595)=0,"",IF(OR(A595="",B595="",C595="",D595="",E595="",F595="",G595="",NOT(ISNUMBER(I595))),"Incomplete",IF(COUNTIF(Lists!$H$4:$AA$4,C595)=0,"Check category",IF(COUNTIF(INDEX(Lists!$H$6:$AA$45,0,MATCH(C595,Lists!$H$4:$AA$4,0)),D595)=0,"Check sub-category","OK"))))</f>
        <v/>
      </c>
      <c r="P595">
        <f>IF(ISNUMBER(I595),I595+ROW()/10000000,"")</f>
        <v/>
      </c>
      <c r="Q595">
        <f>IF(AND(ISNUMBER(P595),ISNUMBER(A595)),IF(AND(A595&gt;=Dashboard!$Q$3,A595&lt;=Dashboard!$Q$4,OR(J595&lt;&gt;"Yes",Dashboard!$Q$15="Yes")),P595,""),"")</f>
        <v/>
      </c>
    </row>
    <row r="596">
      <c r="A596" s="47" t="n"/>
      <c r="B596" s="48" t="n"/>
      <c r="C596" s="48" t="n"/>
      <c r="D596" s="48" t="n"/>
      <c r="E596" s="48" t="n"/>
      <c r="F596" s="48" t="n"/>
      <c r="G596" s="48" t="n"/>
      <c r="H596" s="48" t="n"/>
      <c r="I596" s="49" t="n"/>
      <c r="J596" s="50" t="n"/>
      <c r="K596" s="48" t="n"/>
      <c r="L596" s="51">
        <f>IF(A596="","",DATE(YEAR(A596),MONTH(A596),1))</f>
        <v/>
      </c>
      <c r="M596" s="52">
        <f>IF(OR(A596="",NOT(ISNUMBER(I596))),"",IF(G596=Lists!$B$5,I596/2,IF(G596=Lists!$B$6,I596,0)))</f>
        <v/>
      </c>
      <c r="N596" s="52">
        <f>IF(OR(A596="",NOT(ISNUMBER(I596))),"",IF(G596=Lists!$B$5,I596/2,IF(G596=Lists!$B$7,I596,0)))</f>
        <v/>
      </c>
      <c r="O596" s="53">
        <f>IF(COUNTA(A596:K596)=0,"",IF(OR(A596="",B596="",C596="",D596="",E596="",F596="",G596="",NOT(ISNUMBER(I596))),"Incomplete",IF(COUNTIF(Lists!$H$4:$AA$4,C596)=0,"Check category",IF(COUNTIF(INDEX(Lists!$H$6:$AA$45,0,MATCH(C596,Lists!$H$4:$AA$4,0)),D596)=0,"Check sub-category","OK"))))</f>
        <v/>
      </c>
      <c r="P596">
        <f>IF(ISNUMBER(I596),I596+ROW()/10000000,"")</f>
        <v/>
      </c>
      <c r="Q596">
        <f>IF(AND(ISNUMBER(P596),ISNUMBER(A596)),IF(AND(A596&gt;=Dashboard!$Q$3,A596&lt;=Dashboard!$Q$4,OR(J596&lt;&gt;"Yes",Dashboard!$Q$15="Yes")),P596,""),"")</f>
        <v/>
      </c>
    </row>
    <row r="597">
      <c r="A597" s="47" t="n"/>
      <c r="B597" s="48" t="n"/>
      <c r="C597" s="48" t="n"/>
      <c r="D597" s="48" t="n"/>
      <c r="E597" s="48" t="n"/>
      <c r="F597" s="48" t="n"/>
      <c r="G597" s="48" t="n"/>
      <c r="H597" s="48" t="n"/>
      <c r="I597" s="49" t="n"/>
      <c r="J597" s="50" t="n"/>
      <c r="K597" s="48" t="n"/>
      <c r="L597" s="51">
        <f>IF(A597="","",DATE(YEAR(A597),MONTH(A597),1))</f>
        <v/>
      </c>
      <c r="M597" s="52">
        <f>IF(OR(A597="",NOT(ISNUMBER(I597))),"",IF(G597=Lists!$B$5,I597/2,IF(G597=Lists!$B$6,I597,0)))</f>
        <v/>
      </c>
      <c r="N597" s="52">
        <f>IF(OR(A597="",NOT(ISNUMBER(I597))),"",IF(G597=Lists!$B$5,I597/2,IF(G597=Lists!$B$7,I597,0)))</f>
        <v/>
      </c>
      <c r="O597" s="53">
        <f>IF(COUNTA(A597:K597)=0,"",IF(OR(A597="",B597="",C597="",D597="",E597="",F597="",G597="",NOT(ISNUMBER(I597))),"Incomplete",IF(COUNTIF(Lists!$H$4:$AA$4,C597)=0,"Check category",IF(COUNTIF(INDEX(Lists!$H$6:$AA$45,0,MATCH(C597,Lists!$H$4:$AA$4,0)),D597)=0,"Check sub-category","OK"))))</f>
        <v/>
      </c>
      <c r="P597">
        <f>IF(ISNUMBER(I597),I597+ROW()/10000000,"")</f>
        <v/>
      </c>
      <c r="Q597">
        <f>IF(AND(ISNUMBER(P597),ISNUMBER(A597)),IF(AND(A597&gt;=Dashboard!$Q$3,A597&lt;=Dashboard!$Q$4,OR(J597&lt;&gt;"Yes",Dashboard!$Q$15="Yes")),P597,""),"")</f>
        <v/>
      </c>
    </row>
    <row r="598">
      <c r="A598" s="47" t="n"/>
      <c r="B598" s="48" t="n"/>
      <c r="C598" s="48" t="n"/>
      <c r="D598" s="48" t="n"/>
      <c r="E598" s="48" t="n"/>
      <c r="F598" s="48" t="n"/>
      <c r="G598" s="48" t="n"/>
      <c r="H598" s="48" t="n"/>
      <c r="I598" s="49" t="n"/>
      <c r="J598" s="50" t="n"/>
      <c r="K598" s="48" t="n"/>
      <c r="L598" s="51">
        <f>IF(A598="","",DATE(YEAR(A598),MONTH(A598),1))</f>
        <v/>
      </c>
      <c r="M598" s="52">
        <f>IF(OR(A598="",NOT(ISNUMBER(I598))),"",IF(G598=Lists!$B$5,I598/2,IF(G598=Lists!$B$6,I598,0)))</f>
        <v/>
      </c>
      <c r="N598" s="52">
        <f>IF(OR(A598="",NOT(ISNUMBER(I598))),"",IF(G598=Lists!$B$5,I598/2,IF(G598=Lists!$B$7,I598,0)))</f>
        <v/>
      </c>
      <c r="O598" s="53">
        <f>IF(COUNTA(A598:K598)=0,"",IF(OR(A598="",B598="",C598="",D598="",E598="",F598="",G598="",NOT(ISNUMBER(I598))),"Incomplete",IF(COUNTIF(Lists!$H$4:$AA$4,C598)=0,"Check category",IF(COUNTIF(INDEX(Lists!$H$6:$AA$45,0,MATCH(C598,Lists!$H$4:$AA$4,0)),D598)=0,"Check sub-category","OK"))))</f>
        <v/>
      </c>
      <c r="P598">
        <f>IF(ISNUMBER(I598),I598+ROW()/10000000,"")</f>
        <v/>
      </c>
      <c r="Q598">
        <f>IF(AND(ISNUMBER(P598),ISNUMBER(A598)),IF(AND(A598&gt;=Dashboard!$Q$3,A598&lt;=Dashboard!$Q$4,OR(J598&lt;&gt;"Yes",Dashboard!$Q$15="Yes")),P598,""),"")</f>
        <v/>
      </c>
    </row>
    <row r="599">
      <c r="A599" s="47" t="n"/>
      <c r="B599" s="48" t="n"/>
      <c r="C599" s="48" t="n"/>
      <c r="D599" s="48" t="n"/>
      <c r="E599" s="48" t="n"/>
      <c r="F599" s="48" t="n"/>
      <c r="G599" s="48" t="n"/>
      <c r="H599" s="48" t="n"/>
      <c r="I599" s="49" t="n"/>
      <c r="J599" s="50" t="n"/>
      <c r="K599" s="48" t="n"/>
      <c r="L599" s="51">
        <f>IF(A599="","",DATE(YEAR(A599),MONTH(A599),1))</f>
        <v/>
      </c>
      <c r="M599" s="52">
        <f>IF(OR(A599="",NOT(ISNUMBER(I599))),"",IF(G599=Lists!$B$5,I599/2,IF(G599=Lists!$B$6,I599,0)))</f>
        <v/>
      </c>
      <c r="N599" s="52">
        <f>IF(OR(A599="",NOT(ISNUMBER(I599))),"",IF(G599=Lists!$B$5,I599/2,IF(G599=Lists!$B$7,I599,0)))</f>
        <v/>
      </c>
      <c r="O599" s="53">
        <f>IF(COUNTA(A599:K599)=0,"",IF(OR(A599="",B599="",C599="",D599="",E599="",F599="",G599="",NOT(ISNUMBER(I599))),"Incomplete",IF(COUNTIF(Lists!$H$4:$AA$4,C599)=0,"Check category",IF(COUNTIF(INDEX(Lists!$H$6:$AA$45,0,MATCH(C599,Lists!$H$4:$AA$4,0)),D599)=0,"Check sub-category","OK"))))</f>
        <v/>
      </c>
      <c r="P599">
        <f>IF(ISNUMBER(I599),I599+ROW()/10000000,"")</f>
        <v/>
      </c>
      <c r="Q599">
        <f>IF(AND(ISNUMBER(P599),ISNUMBER(A599)),IF(AND(A599&gt;=Dashboard!$Q$3,A599&lt;=Dashboard!$Q$4,OR(J599&lt;&gt;"Yes",Dashboard!$Q$15="Yes")),P599,""),"")</f>
        <v/>
      </c>
    </row>
    <row r="600">
      <c r="A600" s="47" t="n"/>
      <c r="B600" s="48" t="n"/>
      <c r="C600" s="48" t="n"/>
      <c r="D600" s="48" t="n"/>
      <c r="E600" s="48" t="n"/>
      <c r="F600" s="48" t="n"/>
      <c r="G600" s="48" t="n"/>
      <c r="H600" s="48" t="n"/>
      <c r="I600" s="49" t="n"/>
      <c r="J600" s="50" t="n"/>
      <c r="K600" s="48" t="n"/>
      <c r="L600" s="51">
        <f>IF(A600="","",DATE(YEAR(A600),MONTH(A600),1))</f>
        <v/>
      </c>
      <c r="M600" s="52">
        <f>IF(OR(A600="",NOT(ISNUMBER(I600))),"",IF(G600=Lists!$B$5,I600/2,IF(G600=Lists!$B$6,I600,0)))</f>
        <v/>
      </c>
      <c r="N600" s="52">
        <f>IF(OR(A600="",NOT(ISNUMBER(I600))),"",IF(G600=Lists!$B$5,I600/2,IF(G600=Lists!$B$7,I600,0)))</f>
        <v/>
      </c>
      <c r="O600" s="53">
        <f>IF(COUNTA(A600:K600)=0,"",IF(OR(A600="",B600="",C600="",D600="",E600="",F600="",G600="",NOT(ISNUMBER(I600))),"Incomplete",IF(COUNTIF(Lists!$H$4:$AA$4,C600)=0,"Check category",IF(COUNTIF(INDEX(Lists!$H$6:$AA$45,0,MATCH(C600,Lists!$H$4:$AA$4,0)),D600)=0,"Check sub-category","OK"))))</f>
        <v/>
      </c>
      <c r="P600">
        <f>IF(ISNUMBER(I600),I600+ROW()/10000000,"")</f>
        <v/>
      </c>
      <c r="Q600">
        <f>IF(AND(ISNUMBER(P600),ISNUMBER(A600)),IF(AND(A600&gt;=Dashboard!$Q$3,A600&lt;=Dashboard!$Q$4,OR(J600&lt;&gt;"Yes",Dashboard!$Q$15="Yes")),P600,""),"")</f>
        <v/>
      </c>
    </row>
    <row r="601">
      <c r="A601" s="47" t="n"/>
      <c r="B601" s="48" t="n"/>
      <c r="C601" s="48" t="n"/>
      <c r="D601" s="48" t="n"/>
      <c r="E601" s="48" t="n"/>
      <c r="F601" s="48" t="n"/>
      <c r="G601" s="48" t="n"/>
      <c r="H601" s="48" t="n"/>
      <c r="I601" s="49" t="n"/>
      <c r="J601" s="50" t="n"/>
      <c r="K601" s="48" t="n"/>
      <c r="L601" s="51">
        <f>IF(A601="","",DATE(YEAR(A601),MONTH(A601),1))</f>
        <v/>
      </c>
      <c r="M601" s="52">
        <f>IF(OR(A601="",NOT(ISNUMBER(I601))),"",IF(G601=Lists!$B$5,I601/2,IF(G601=Lists!$B$6,I601,0)))</f>
        <v/>
      </c>
      <c r="N601" s="52">
        <f>IF(OR(A601="",NOT(ISNUMBER(I601))),"",IF(G601=Lists!$B$5,I601/2,IF(G601=Lists!$B$7,I601,0)))</f>
        <v/>
      </c>
      <c r="O601" s="53">
        <f>IF(COUNTA(A601:K601)=0,"",IF(OR(A601="",B601="",C601="",D601="",E601="",F601="",G601="",NOT(ISNUMBER(I601))),"Incomplete",IF(COUNTIF(Lists!$H$4:$AA$4,C601)=0,"Check category",IF(COUNTIF(INDEX(Lists!$H$6:$AA$45,0,MATCH(C601,Lists!$H$4:$AA$4,0)),D601)=0,"Check sub-category","OK"))))</f>
        <v/>
      </c>
      <c r="P601">
        <f>IF(ISNUMBER(I601),I601+ROW()/10000000,"")</f>
        <v/>
      </c>
      <c r="Q601">
        <f>IF(AND(ISNUMBER(P601),ISNUMBER(A601)),IF(AND(A601&gt;=Dashboard!$Q$3,A601&lt;=Dashboard!$Q$4,OR(J601&lt;&gt;"Yes",Dashboard!$Q$15="Yes")),P601,""),"")</f>
        <v/>
      </c>
    </row>
    <row r="602">
      <c r="A602" s="47" t="n"/>
      <c r="B602" s="48" t="n"/>
      <c r="C602" s="48" t="n"/>
      <c r="D602" s="48" t="n"/>
      <c r="E602" s="48" t="n"/>
      <c r="F602" s="48" t="n"/>
      <c r="G602" s="48" t="n"/>
      <c r="H602" s="48" t="n"/>
      <c r="I602" s="49" t="n"/>
      <c r="J602" s="50" t="n"/>
      <c r="K602" s="48" t="n"/>
      <c r="L602" s="51">
        <f>IF(A602="","",DATE(YEAR(A602),MONTH(A602),1))</f>
        <v/>
      </c>
      <c r="M602" s="52">
        <f>IF(OR(A602="",NOT(ISNUMBER(I602))),"",IF(G602=Lists!$B$5,I602/2,IF(G602=Lists!$B$6,I602,0)))</f>
        <v/>
      </c>
      <c r="N602" s="52">
        <f>IF(OR(A602="",NOT(ISNUMBER(I602))),"",IF(G602=Lists!$B$5,I602/2,IF(G602=Lists!$B$7,I602,0)))</f>
        <v/>
      </c>
      <c r="O602" s="53">
        <f>IF(COUNTA(A602:K602)=0,"",IF(OR(A602="",B602="",C602="",D602="",E602="",F602="",G602="",NOT(ISNUMBER(I602))),"Incomplete",IF(COUNTIF(Lists!$H$4:$AA$4,C602)=0,"Check category",IF(COUNTIF(INDEX(Lists!$H$6:$AA$45,0,MATCH(C602,Lists!$H$4:$AA$4,0)),D602)=0,"Check sub-category","OK"))))</f>
        <v/>
      </c>
      <c r="P602">
        <f>IF(ISNUMBER(I602),I602+ROW()/10000000,"")</f>
        <v/>
      </c>
      <c r="Q602">
        <f>IF(AND(ISNUMBER(P602),ISNUMBER(A602)),IF(AND(A602&gt;=Dashboard!$Q$3,A602&lt;=Dashboard!$Q$4,OR(J602&lt;&gt;"Yes",Dashboard!$Q$15="Yes")),P602,""),"")</f>
        <v/>
      </c>
    </row>
    <row r="603">
      <c r="A603" s="47" t="n"/>
      <c r="B603" s="48" t="n"/>
      <c r="C603" s="48" t="n"/>
      <c r="D603" s="48" t="n"/>
      <c r="E603" s="48" t="n"/>
      <c r="F603" s="48" t="n"/>
      <c r="G603" s="48" t="n"/>
      <c r="H603" s="48" t="n"/>
      <c r="I603" s="49" t="n"/>
      <c r="J603" s="50" t="n"/>
      <c r="K603" s="48" t="n"/>
      <c r="L603" s="51">
        <f>IF(A603="","",DATE(YEAR(A603),MONTH(A603),1))</f>
        <v/>
      </c>
      <c r="M603" s="52">
        <f>IF(OR(A603="",NOT(ISNUMBER(I603))),"",IF(G603=Lists!$B$5,I603/2,IF(G603=Lists!$B$6,I603,0)))</f>
        <v/>
      </c>
      <c r="N603" s="52">
        <f>IF(OR(A603="",NOT(ISNUMBER(I603))),"",IF(G603=Lists!$B$5,I603/2,IF(G603=Lists!$B$7,I603,0)))</f>
        <v/>
      </c>
      <c r="O603" s="53">
        <f>IF(COUNTA(A603:K603)=0,"",IF(OR(A603="",B603="",C603="",D603="",E603="",F603="",G603="",NOT(ISNUMBER(I603))),"Incomplete",IF(COUNTIF(Lists!$H$4:$AA$4,C603)=0,"Check category",IF(COUNTIF(INDEX(Lists!$H$6:$AA$45,0,MATCH(C603,Lists!$H$4:$AA$4,0)),D603)=0,"Check sub-category","OK"))))</f>
        <v/>
      </c>
      <c r="P603">
        <f>IF(ISNUMBER(I603),I603+ROW()/10000000,"")</f>
        <v/>
      </c>
      <c r="Q603">
        <f>IF(AND(ISNUMBER(P603),ISNUMBER(A603)),IF(AND(A603&gt;=Dashboard!$Q$3,A603&lt;=Dashboard!$Q$4,OR(J603&lt;&gt;"Yes",Dashboard!$Q$15="Yes")),P603,""),"")</f>
        <v/>
      </c>
    </row>
    <row r="604">
      <c r="A604" s="47" t="n"/>
      <c r="B604" s="48" t="n"/>
      <c r="C604" s="48" t="n"/>
      <c r="D604" s="48" t="n"/>
      <c r="E604" s="48" t="n"/>
      <c r="F604" s="48" t="n"/>
      <c r="G604" s="48" t="n"/>
      <c r="H604" s="48" t="n"/>
      <c r="I604" s="49" t="n"/>
      <c r="J604" s="50" t="n"/>
      <c r="K604" s="48" t="n"/>
      <c r="L604" s="51">
        <f>IF(A604="","",DATE(YEAR(A604),MONTH(A604),1))</f>
        <v/>
      </c>
      <c r="M604" s="52">
        <f>IF(OR(A604="",NOT(ISNUMBER(I604))),"",IF(G604=Lists!$B$5,I604/2,IF(G604=Lists!$B$6,I604,0)))</f>
        <v/>
      </c>
      <c r="N604" s="52">
        <f>IF(OR(A604="",NOT(ISNUMBER(I604))),"",IF(G604=Lists!$B$5,I604/2,IF(G604=Lists!$B$7,I604,0)))</f>
        <v/>
      </c>
      <c r="O604" s="53">
        <f>IF(COUNTA(A604:K604)=0,"",IF(OR(A604="",B604="",C604="",D604="",E604="",F604="",G604="",NOT(ISNUMBER(I604))),"Incomplete",IF(COUNTIF(Lists!$H$4:$AA$4,C604)=0,"Check category",IF(COUNTIF(INDEX(Lists!$H$6:$AA$45,0,MATCH(C604,Lists!$H$4:$AA$4,0)),D604)=0,"Check sub-category","OK"))))</f>
        <v/>
      </c>
      <c r="P604">
        <f>IF(ISNUMBER(I604),I604+ROW()/10000000,"")</f>
        <v/>
      </c>
      <c r="Q604">
        <f>IF(AND(ISNUMBER(P604),ISNUMBER(A604)),IF(AND(A604&gt;=Dashboard!$Q$3,A604&lt;=Dashboard!$Q$4,OR(J604&lt;&gt;"Yes",Dashboard!$Q$15="Yes")),P604,""),"")</f>
        <v/>
      </c>
    </row>
    <row r="605">
      <c r="A605" s="47" t="n"/>
      <c r="B605" s="48" t="n"/>
      <c r="C605" s="48" t="n"/>
      <c r="D605" s="48" t="n"/>
      <c r="E605" s="48" t="n"/>
      <c r="F605" s="48" t="n"/>
      <c r="G605" s="48" t="n"/>
      <c r="H605" s="48" t="n"/>
      <c r="I605" s="49" t="n"/>
      <c r="J605" s="50" t="n"/>
      <c r="K605" s="48" t="n"/>
      <c r="L605" s="51">
        <f>IF(A605="","",DATE(YEAR(A605),MONTH(A605),1))</f>
        <v/>
      </c>
      <c r="M605" s="52">
        <f>IF(OR(A605="",NOT(ISNUMBER(I605))),"",IF(G605=Lists!$B$5,I605/2,IF(G605=Lists!$B$6,I605,0)))</f>
        <v/>
      </c>
      <c r="N605" s="52">
        <f>IF(OR(A605="",NOT(ISNUMBER(I605))),"",IF(G605=Lists!$B$5,I605/2,IF(G605=Lists!$B$7,I605,0)))</f>
        <v/>
      </c>
      <c r="O605" s="53">
        <f>IF(COUNTA(A605:K605)=0,"",IF(OR(A605="",B605="",C605="",D605="",E605="",F605="",G605="",NOT(ISNUMBER(I605))),"Incomplete",IF(COUNTIF(Lists!$H$4:$AA$4,C605)=0,"Check category",IF(COUNTIF(INDEX(Lists!$H$6:$AA$45,0,MATCH(C605,Lists!$H$4:$AA$4,0)),D605)=0,"Check sub-category","OK"))))</f>
        <v/>
      </c>
      <c r="P605">
        <f>IF(ISNUMBER(I605),I605+ROW()/10000000,"")</f>
        <v/>
      </c>
      <c r="Q605">
        <f>IF(AND(ISNUMBER(P605),ISNUMBER(A605)),IF(AND(A605&gt;=Dashboard!$Q$3,A605&lt;=Dashboard!$Q$4,OR(J605&lt;&gt;"Yes",Dashboard!$Q$15="Yes")),P605,""),"")</f>
        <v/>
      </c>
    </row>
    <row r="606">
      <c r="A606" s="47" t="n"/>
      <c r="B606" s="48" t="n"/>
      <c r="C606" s="48" t="n"/>
      <c r="D606" s="48" t="n"/>
      <c r="E606" s="48" t="n"/>
      <c r="F606" s="48" t="n"/>
      <c r="G606" s="48" t="n"/>
      <c r="H606" s="48" t="n"/>
      <c r="I606" s="49" t="n"/>
      <c r="J606" s="50" t="n"/>
      <c r="K606" s="48" t="n"/>
      <c r="L606" s="51">
        <f>IF(A606="","",DATE(YEAR(A606),MONTH(A606),1))</f>
        <v/>
      </c>
      <c r="M606" s="52">
        <f>IF(OR(A606="",NOT(ISNUMBER(I606))),"",IF(G606=Lists!$B$5,I606/2,IF(G606=Lists!$B$6,I606,0)))</f>
        <v/>
      </c>
      <c r="N606" s="52">
        <f>IF(OR(A606="",NOT(ISNUMBER(I606))),"",IF(G606=Lists!$B$5,I606/2,IF(G606=Lists!$B$7,I606,0)))</f>
        <v/>
      </c>
      <c r="O606" s="53">
        <f>IF(COUNTA(A606:K606)=0,"",IF(OR(A606="",B606="",C606="",D606="",E606="",F606="",G606="",NOT(ISNUMBER(I606))),"Incomplete",IF(COUNTIF(Lists!$H$4:$AA$4,C606)=0,"Check category",IF(COUNTIF(INDEX(Lists!$H$6:$AA$45,0,MATCH(C606,Lists!$H$4:$AA$4,0)),D606)=0,"Check sub-category","OK"))))</f>
        <v/>
      </c>
      <c r="P606">
        <f>IF(ISNUMBER(I606),I606+ROW()/10000000,"")</f>
        <v/>
      </c>
      <c r="Q606">
        <f>IF(AND(ISNUMBER(P606),ISNUMBER(A606)),IF(AND(A606&gt;=Dashboard!$Q$3,A606&lt;=Dashboard!$Q$4,OR(J606&lt;&gt;"Yes",Dashboard!$Q$15="Yes")),P606,""),"")</f>
        <v/>
      </c>
    </row>
    <row r="607">
      <c r="A607" s="47" t="n"/>
      <c r="B607" s="48" t="n"/>
      <c r="C607" s="48" t="n"/>
      <c r="D607" s="48" t="n"/>
      <c r="E607" s="48" t="n"/>
      <c r="F607" s="48" t="n"/>
      <c r="G607" s="48" t="n"/>
      <c r="H607" s="48" t="n"/>
      <c r="I607" s="49" t="n"/>
      <c r="J607" s="50" t="n"/>
      <c r="K607" s="48" t="n"/>
      <c r="L607" s="51">
        <f>IF(A607="","",DATE(YEAR(A607),MONTH(A607),1))</f>
        <v/>
      </c>
      <c r="M607" s="52">
        <f>IF(OR(A607="",NOT(ISNUMBER(I607))),"",IF(G607=Lists!$B$5,I607/2,IF(G607=Lists!$B$6,I607,0)))</f>
        <v/>
      </c>
      <c r="N607" s="52">
        <f>IF(OR(A607="",NOT(ISNUMBER(I607))),"",IF(G607=Lists!$B$5,I607/2,IF(G607=Lists!$B$7,I607,0)))</f>
        <v/>
      </c>
      <c r="O607" s="53">
        <f>IF(COUNTA(A607:K607)=0,"",IF(OR(A607="",B607="",C607="",D607="",E607="",F607="",G607="",NOT(ISNUMBER(I607))),"Incomplete",IF(COUNTIF(Lists!$H$4:$AA$4,C607)=0,"Check category",IF(COUNTIF(INDEX(Lists!$H$6:$AA$45,0,MATCH(C607,Lists!$H$4:$AA$4,0)),D607)=0,"Check sub-category","OK"))))</f>
        <v/>
      </c>
      <c r="P607">
        <f>IF(ISNUMBER(I607),I607+ROW()/10000000,"")</f>
        <v/>
      </c>
      <c r="Q607">
        <f>IF(AND(ISNUMBER(P607),ISNUMBER(A607)),IF(AND(A607&gt;=Dashboard!$Q$3,A607&lt;=Dashboard!$Q$4,OR(J607&lt;&gt;"Yes",Dashboard!$Q$15="Yes")),P607,""),"")</f>
        <v/>
      </c>
    </row>
    <row r="608">
      <c r="A608" s="47" t="n"/>
      <c r="B608" s="48" t="n"/>
      <c r="C608" s="48" t="n"/>
      <c r="D608" s="48" t="n"/>
      <c r="E608" s="48" t="n"/>
      <c r="F608" s="48" t="n"/>
      <c r="G608" s="48" t="n"/>
      <c r="H608" s="48" t="n"/>
      <c r="I608" s="49" t="n"/>
      <c r="J608" s="50" t="n"/>
      <c r="K608" s="48" t="n"/>
      <c r="L608" s="51">
        <f>IF(A608="","",DATE(YEAR(A608),MONTH(A608),1))</f>
        <v/>
      </c>
      <c r="M608" s="52">
        <f>IF(OR(A608="",NOT(ISNUMBER(I608))),"",IF(G608=Lists!$B$5,I608/2,IF(G608=Lists!$B$6,I608,0)))</f>
        <v/>
      </c>
      <c r="N608" s="52">
        <f>IF(OR(A608="",NOT(ISNUMBER(I608))),"",IF(G608=Lists!$B$5,I608/2,IF(G608=Lists!$B$7,I608,0)))</f>
        <v/>
      </c>
      <c r="O608" s="53">
        <f>IF(COUNTA(A608:K608)=0,"",IF(OR(A608="",B608="",C608="",D608="",E608="",F608="",G608="",NOT(ISNUMBER(I608))),"Incomplete",IF(COUNTIF(Lists!$H$4:$AA$4,C608)=0,"Check category",IF(COUNTIF(INDEX(Lists!$H$6:$AA$45,0,MATCH(C608,Lists!$H$4:$AA$4,0)),D608)=0,"Check sub-category","OK"))))</f>
        <v/>
      </c>
      <c r="P608">
        <f>IF(ISNUMBER(I608),I608+ROW()/10000000,"")</f>
        <v/>
      </c>
      <c r="Q608">
        <f>IF(AND(ISNUMBER(P608),ISNUMBER(A608)),IF(AND(A608&gt;=Dashboard!$Q$3,A608&lt;=Dashboard!$Q$4,OR(J608&lt;&gt;"Yes",Dashboard!$Q$15="Yes")),P608,""),"")</f>
        <v/>
      </c>
    </row>
    <row r="609">
      <c r="A609" s="47" t="n"/>
      <c r="B609" s="48" t="n"/>
      <c r="C609" s="48" t="n"/>
      <c r="D609" s="48" t="n"/>
      <c r="E609" s="48" t="n"/>
      <c r="F609" s="48" t="n"/>
      <c r="G609" s="48" t="n"/>
      <c r="H609" s="48" t="n"/>
      <c r="I609" s="49" t="n"/>
      <c r="J609" s="50" t="n"/>
      <c r="K609" s="48" t="n"/>
      <c r="L609" s="51">
        <f>IF(A609="","",DATE(YEAR(A609),MONTH(A609),1))</f>
        <v/>
      </c>
      <c r="M609" s="52">
        <f>IF(OR(A609="",NOT(ISNUMBER(I609))),"",IF(G609=Lists!$B$5,I609/2,IF(G609=Lists!$B$6,I609,0)))</f>
        <v/>
      </c>
      <c r="N609" s="52">
        <f>IF(OR(A609="",NOT(ISNUMBER(I609))),"",IF(G609=Lists!$B$5,I609/2,IF(G609=Lists!$B$7,I609,0)))</f>
        <v/>
      </c>
      <c r="O609" s="53">
        <f>IF(COUNTA(A609:K609)=0,"",IF(OR(A609="",B609="",C609="",D609="",E609="",F609="",G609="",NOT(ISNUMBER(I609))),"Incomplete",IF(COUNTIF(Lists!$H$4:$AA$4,C609)=0,"Check category",IF(COUNTIF(INDEX(Lists!$H$6:$AA$45,0,MATCH(C609,Lists!$H$4:$AA$4,0)),D609)=0,"Check sub-category","OK"))))</f>
        <v/>
      </c>
      <c r="P609">
        <f>IF(ISNUMBER(I609),I609+ROW()/10000000,"")</f>
        <v/>
      </c>
      <c r="Q609">
        <f>IF(AND(ISNUMBER(P609),ISNUMBER(A609)),IF(AND(A609&gt;=Dashboard!$Q$3,A609&lt;=Dashboard!$Q$4,OR(J609&lt;&gt;"Yes",Dashboard!$Q$15="Yes")),P609,""),"")</f>
        <v/>
      </c>
    </row>
    <row r="610">
      <c r="A610" s="47" t="n"/>
      <c r="B610" s="48" t="n"/>
      <c r="C610" s="48" t="n"/>
      <c r="D610" s="48" t="n"/>
      <c r="E610" s="48" t="n"/>
      <c r="F610" s="48" t="n"/>
      <c r="G610" s="48" t="n"/>
      <c r="H610" s="48" t="n"/>
      <c r="I610" s="49" t="n"/>
      <c r="J610" s="50" t="n"/>
      <c r="K610" s="48" t="n"/>
      <c r="L610" s="51">
        <f>IF(A610="","",DATE(YEAR(A610),MONTH(A610),1))</f>
        <v/>
      </c>
      <c r="M610" s="52">
        <f>IF(OR(A610="",NOT(ISNUMBER(I610))),"",IF(G610=Lists!$B$5,I610/2,IF(G610=Lists!$B$6,I610,0)))</f>
        <v/>
      </c>
      <c r="N610" s="52">
        <f>IF(OR(A610="",NOT(ISNUMBER(I610))),"",IF(G610=Lists!$B$5,I610/2,IF(G610=Lists!$B$7,I610,0)))</f>
        <v/>
      </c>
      <c r="O610" s="53">
        <f>IF(COUNTA(A610:K610)=0,"",IF(OR(A610="",B610="",C610="",D610="",E610="",F610="",G610="",NOT(ISNUMBER(I610))),"Incomplete",IF(COUNTIF(Lists!$H$4:$AA$4,C610)=0,"Check category",IF(COUNTIF(INDEX(Lists!$H$6:$AA$45,0,MATCH(C610,Lists!$H$4:$AA$4,0)),D610)=0,"Check sub-category","OK"))))</f>
        <v/>
      </c>
      <c r="P610">
        <f>IF(ISNUMBER(I610),I610+ROW()/10000000,"")</f>
        <v/>
      </c>
      <c r="Q610">
        <f>IF(AND(ISNUMBER(P610),ISNUMBER(A610)),IF(AND(A610&gt;=Dashboard!$Q$3,A610&lt;=Dashboard!$Q$4,OR(J610&lt;&gt;"Yes",Dashboard!$Q$15="Yes")),P610,""),"")</f>
        <v/>
      </c>
    </row>
    <row r="611">
      <c r="A611" s="47" t="n"/>
      <c r="B611" s="48" t="n"/>
      <c r="C611" s="48" t="n"/>
      <c r="D611" s="48" t="n"/>
      <c r="E611" s="48" t="n"/>
      <c r="F611" s="48" t="n"/>
      <c r="G611" s="48" t="n"/>
      <c r="H611" s="48" t="n"/>
      <c r="I611" s="49" t="n"/>
      <c r="J611" s="50" t="n"/>
      <c r="K611" s="48" t="n"/>
      <c r="L611" s="51">
        <f>IF(A611="","",DATE(YEAR(A611),MONTH(A611),1))</f>
        <v/>
      </c>
      <c r="M611" s="52">
        <f>IF(OR(A611="",NOT(ISNUMBER(I611))),"",IF(G611=Lists!$B$5,I611/2,IF(G611=Lists!$B$6,I611,0)))</f>
        <v/>
      </c>
      <c r="N611" s="52">
        <f>IF(OR(A611="",NOT(ISNUMBER(I611))),"",IF(G611=Lists!$B$5,I611/2,IF(G611=Lists!$B$7,I611,0)))</f>
        <v/>
      </c>
      <c r="O611" s="53">
        <f>IF(COUNTA(A611:K611)=0,"",IF(OR(A611="",B611="",C611="",D611="",E611="",F611="",G611="",NOT(ISNUMBER(I611))),"Incomplete",IF(COUNTIF(Lists!$H$4:$AA$4,C611)=0,"Check category",IF(COUNTIF(INDEX(Lists!$H$6:$AA$45,0,MATCH(C611,Lists!$H$4:$AA$4,0)),D611)=0,"Check sub-category","OK"))))</f>
        <v/>
      </c>
      <c r="P611">
        <f>IF(ISNUMBER(I611),I611+ROW()/10000000,"")</f>
        <v/>
      </c>
      <c r="Q611">
        <f>IF(AND(ISNUMBER(P611),ISNUMBER(A611)),IF(AND(A611&gt;=Dashboard!$Q$3,A611&lt;=Dashboard!$Q$4,OR(J611&lt;&gt;"Yes",Dashboard!$Q$15="Yes")),P611,""),"")</f>
        <v/>
      </c>
    </row>
    <row r="612">
      <c r="A612" s="47" t="n"/>
      <c r="B612" s="48" t="n"/>
      <c r="C612" s="48" t="n"/>
      <c r="D612" s="48" t="n"/>
      <c r="E612" s="48" t="n"/>
      <c r="F612" s="48" t="n"/>
      <c r="G612" s="48" t="n"/>
      <c r="H612" s="48" t="n"/>
      <c r="I612" s="49" t="n"/>
      <c r="J612" s="50" t="n"/>
      <c r="K612" s="48" t="n"/>
      <c r="L612" s="51">
        <f>IF(A612="","",DATE(YEAR(A612),MONTH(A612),1))</f>
        <v/>
      </c>
      <c r="M612" s="52">
        <f>IF(OR(A612="",NOT(ISNUMBER(I612))),"",IF(G612=Lists!$B$5,I612/2,IF(G612=Lists!$B$6,I612,0)))</f>
        <v/>
      </c>
      <c r="N612" s="52">
        <f>IF(OR(A612="",NOT(ISNUMBER(I612))),"",IF(G612=Lists!$B$5,I612/2,IF(G612=Lists!$B$7,I612,0)))</f>
        <v/>
      </c>
      <c r="O612" s="53">
        <f>IF(COUNTA(A612:K612)=0,"",IF(OR(A612="",B612="",C612="",D612="",E612="",F612="",G612="",NOT(ISNUMBER(I612))),"Incomplete",IF(COUNTIF(Lists!$H$4:$AA$4,C612)=0,"Check category",IF(COUNTIF(INDEX(Lists!$H$6:$AA$45,0,MATCH(C612,Lists!$H$4:$AA$4,0)),D612)=0,"Check sub-category","OK"))))</f>
        <v/>
      </c>
      <c r="P612">
        <f>IF(ISNUMBER(I612),I612+ROW()/10000000,"")</f>
        <v/>
      </c>
      <c r="Q612">
        <f>IF(AND(ISNUMBER(P612),ISNUMBER(A612)),IF(AND(A612&gt;=Dashboard!$Q$3,A612&lt;=Dashboard!$Q$4,OR(J612&lt;&gt;"Yes",Dashboard!$Q$15="Yes")),P612,""),"")</f>
        <v/>
      </c>
    </row>
    <row r="613">
      <c r="A613" s="47" t="n"/>
      <c r="B613" s="48" t="n"/>
      <c r="C613" s="48" t="n"/>
      <c r="D613" s="48" t="n"/>
      <c r="E613" s="48" t="n"/>
      <c r="F613" s="48" t="n"/>
      <c r="G613" s="48" t="n"/>
      <c r="H613" s="48" t="n"/>
      <c r="I613" s="49" t="n"/>
      <c r="J613" s="50" t="n"/>
      <c r="K613" s="48" t="n"/>
      <c r="L613" s="51">
        <f>IF(A613="","",DATE(YEAR(A613),MONTH(A613),1))</f>
        <v/>
      </c>
      <c r="M613" s="52">
        <f>IF(OR(A613="",NOT(ISNUMBER(I613))),"",IF(G613=Lists!$B$5,I613/2,IF(G613=Lists!$B$6,I613,0)))</f>
        <v/>
      </c>
      <c r="N613" s="52">
        <f>IF(OR(A613="",NOT(ISNUMBER(I613))),"",IF(G613=Lists!$B$5,I613/2,IF(G613=Lists!$B$7,I613,0)))</f>
        <v/>
      </c>
      <c r="O613" s="53">
        <f>IF(COUNTA(A613:K613)=0,"",IF(OR(A613="",B613="",C613="",D613="",E613="",F613="",G613="",NOT(ISNUMBER(I613))),"Incomplete",IF(COUNTIF(Lists!$H$4:$AA$4,C613)=0,"Check category",IF(COUNTIF(INDEX(Lists!$H$6:$AA$45,0,MATCH(C613,Lists!$H$4:$AA$4,0)),D613)=0,"Check sub-category","OK"))))</f>
        <v/>
      </c>
      <c r="P613">
        <f>IF(ISNUMBER(I613),I613+ROW()/10000000,"")</f>
        <v/>
      </c>
      <c r="Q613">
        <f>IF(AND(ISNUMBER(P613),ISNUMBER(A613)),IF(AND(A613&gt;=Dashboard!$Q$3,A613&lt;=Dashboard!$Q$4,OR(J613&lt;&gt;"Yes",Dashboard!$Q$15="Yes")),P613,""),"")</f>
        <v/>
      </c>
    </row>
    <row r="614">
      <c r="A614" s="47" t="n"/>
      <c r="B614" s="48" t="n"/>
      <c r="C614" s="48" t="n"/>
      <c r="D614" s="48" t="n"/>
      <c r="E614" s="48" t="n"/>
      <c r="F614" s="48" t="n"/>
      <c r="G614" s="48" t="n"/>
      <c r="H614" s="48" t="n"/>
      <c r="I614" s="49" t="n"/>
      <c r="J614" s="50" t="n"/>
      <c r="K614" s="48" t="n"/>
      <c r="L614" s="51">
        <f>IF(A614="","",DATE(YEAR(A614),MONTH(A614),1))</f>
        <v/>
      </c>
      <c r="M614" s="52">
        <f>IF(OR(A614="",NOT(ISNUMBER(I614))),"",IF(G614=Lists!$B$5,I614/2,IF(G614=Lists!$B$6,I614,0)))</f>
        <v/>
      </c>
      <c r="N614" s="52">
        <f>IF(OR(A614="",NOT(ISNUMBER(I614))),"",IF(G614=Lists!$B$5,I614/2,IF(G614=Lists!$B$7,I614,0)))</f>
        <v/>
      </c>
      <c r="O614" s="53">
        <f>IF(COUNTA(A614:K614)=0,"",IF(OR(A614="",B614="",C614="",D614="",E614="",F614="",G614="",NOT(ISNUMBER(I614))),"Incomplete",IF(COUNTIF(Lists!$H$4:$AA$4,C614)=0,"Check category",IF(COUNTIF(INDEX(Lists!$H$6:$AA$45,0,MATCH(C614,Lists!$H$4:$AA$4,0)),D614)=0,"Check sub-category","OK"))))</f>
        <v/>
      </c>
      <c r="P614">
        <f>IF(ISNUMBER(I614),I614+ROW()/10000000,"")</f>
        <v/>
      </c>
      <c r="Q614">
        <f>IF(AND(ISNUMBER(P614),ISNUMBER(A614)),IF(AND(A614&gt;=Dashboard!$Q$3,A614&lt;=Dashboard!$Q$4,OR(J614&lt;&gt;"Yes",Dashboard!$Q$15="Yes")),P614,""),"")</f>
        <v/>
      </c>
    </row>
    <row r="615">
      <c r="A615" s="47" t="n"/>
      <c r="B615" s="48" t="n"/>
      <c r="C615" s="48" t="n"/>
      <c r="D615" s="48" t="n"/>
      <c r="E615" s="48" t="n"/>
      <c r="F615" s="48" t="n"/>
      <c r="G615" s="48" t="n"/>
      <c r="H615" s="48" t="n"/>
      <c r="I615" s="49" t="n"/>
      <c r="J615" s="50" t="n"/>
      <c r="K615" s="48" t="n"/>
      <c r="L615" s="51">
        <f>IF(A615="","",DATE(YEAR(A615),MONTH(A615),1))</f>
        <v/>
      </c>
      <c r="M615" s="52">
        <f>IF(OR(A615="",NOT(ISNUMBER(I615))),"",IF(G615=Lists!$B$5,I615/2,IF(G615=Lists!$B$6,I615,0)))</f>
        <v/>
      </c>
      <c r="N615" s="52">
        <f>IF(OR(A615="",NOT(ISNUMBER(I615))),"",IF(G615=Lists!$B$5,I615/2,IF(G615=Lists!$B$7,I615,0)))</f>
        <v/>
      </c>
      <c r="O615" s="53">
        <f>IF(COUNTA(A615:K615)=0,"",IF(OR(A615="",B615="",C615="",D615="",E615="",F615="",G615="",NOT(ISNUMBER(I615))),"Incomplete",IF(COUNTIF(Lists!$H$4:$AA$4,C615)=0,"Check category",IF(COUNTIF(INDEX(Lists!$H$6:$AA$45,0,MATCH(C615,Lists!$H$4:$AA$4,0)),D615)=0,"Check sub-category","OK"))))</f>
        <v/>
      </c>
      <c r="P615">
        <f>IF(ISNUMBER(I615),I615+ROW()/10000000,"")</f>
        <v/>
      </c>
      <c r="Q615">
        <f>IF(AND(ISNUMBER(P615),ISNUMBER(A615)),IF(AND(A615&gt;=Dashboard!$Q$3,A615&lt;=Dashboard!$Q$4,OR(J615&lt;&gt;"Yes",Dashboard!$Q$15="Yes")),P615,""),"")</f>
        <v/>
      </c>
    </row>
    <row r="616">
      <c r="A616" s="47" t="n"/>
      <c r="B616" s="48" t="n"/>
      <c r="C616" s="48" t="n"/>
      <c r="D616" s="48" t="n"/>
      <c r="E616" s="48" t="n"/>
      <c r="F616" s="48" t="n"/>
      <c r="G616" s="48" t="n"/>
      <c r="H616" s="48" t="n"/>
      <c r="I616" s="49" t="n"/>
      <c r="J616" s="50" t="n"/>
      <c r="K616" s="48" t="n"/>
      <c r="L616" s="51">
        <f>IF(A616="","",DATE(YEAR(A616),MONTH(A616),1))</f>
        <v/>
      </c>
      <c r="M616" s="52">
        <f>IF(OR(A616="",NOT(ISNUMBER(I616))),"",IF(G616=Lists!$B$5,I616/2,IF(G616=Lists!$B$6,I616,0)))</f>
        <v/>
      </c>
      <c r="N616" s="52">
        <f>IF(OR(A616="",NOT(ISNUMBER(I616))),"",IF(G616=Lists!$B$5,I616/2,IF(G616=Lists!$B$7,I616,0)))</f>
        <v/>
      </c>
      <c r="O616" s="53">
        <f>IF(COUNTA(A616:K616)=0,"",IF(OR(A616="",B616="",C616="",D616="",E616="",F616="",G616="",NOT(ISNUMBER(I616))),"Incomplete",IF(COUNTIF(Lists!$H$4:$AA$4,C616)=0,"Check category",IF(COUNTIF(INDEX(Lists!$H$6:$AA$45,0,MATCH(C616,Lists!$H$4:$AA$4,0)),D616)=0,"Check sub-category","OK"))))</f>
        <v/>
      </c>
      <c r="P616">
        <f>IF(ISNUMBER(I616),I616+ROW()/10000000,"")</f>
        <v/>
      </c>
      <c r="Q616">
        <f>IF(AND(ISNUMBER(P616),ISNUMBER(A616)),IF(AND(A616&gt;=Dashboard!$Q$3,A616&lt;=Dashboard!$Q$4,OR(J616&lt;&gt;"Yes",Dashboard!$Q$15="Yes")),P616,""),"")</f>
        <v/>
      </c>
    </row>
    <row r="617">
      <c r="A617" s="47" t="n"/>
      <c r="B617" s="48" t="n"/>
      <c r="C617" s="48" t="n"/>
      <c r="D617" s="48" t="n"/>
      <c r="E617" s="48" t="n"/>
      <c r="F617" s="48" t="n"/>
      <c r="G617" s="48" t="n"/>
      <c r="H617" s="48" t="n"/>
      <c r="I617" s="49" t="n"/>
      <c r="J617" s="50" t="n"/>
      <c r="K617" s="48" t="n"/>
      <c r="L617" s="51">
        <f>IF(A617="","",DATE(YEAR(A617),MONTH(A617),1))</f>
        <v/>
      </c>
      <c r="M617" s="52">
        <f>IF(OR(A617="",NOT(ISNUMBER(I617))),"",IF(G617=Lists!$B$5,I617/2,IF(G617=Lists!$B$6,I617,0)))</f>
        <v/>
      </c>
      <c r="N617" s="52">
        <f>IF(OR(A617="",NOT(ISNUMBER(I617))),"",IF(G617=Lists!$B$5,I617/2,IF(G617=Lists!$B$7,I617,0)))</f>
        <v/>
      </c>
      <c r="O617" s="53">
        <f>IF(COUNTA(A617:K617)=0,"",IF(OR(A617="",B617="",C617="",D617="",E617="",F617="",G617="",NOT(ISNUMBER(I617))),"Incomplete",IF(COUNTIF(Lists!$H$4:$AA$4,C617)=0,"Check category",IF(COUNTIF(INDEX(Lists!$H$6:$AA$45,0,MATCH(C617,Lists!$H$4:$AA$4,0)),D617)=0,"Check sub-category","OK"))))</f>
        <v/>
      </c>
      <c r="P617">
        <f>IF(ISNUMBER(I617),I617+ROW()/10000000,"")</f>
        <v/>
      </c>
      <c r="Q617">
        <f>IF(AND(ISNUMBER(P617),ISNUMBER(A617)),IF(AND(A617&gt;=Dashboard!$Q$3,A617&lt;=Dashboard!$Q$4,OR(J617&lt;&gt;"Yes",Dashboard!$Q$15="Yes")),P617,""),"")</f>
        <v/>
      </c>
    </row>
    <row r="618">
      <c r="A618" s="47" t="n"/>
      <c r="B618" s="48" t="n"/>
      <c r="C618" s="48" t="n"/>
      <c r="D618" s="48" t="n"/>
      <c r="E618" s="48" t="n"/>
      <c r="F618" s="48" t="n"/>
      <c r="G618" s="48" t="n"/>
      <c r="H618" s="48" t="n"/>
      <c r="I618" s="49" t="n"/>
      <c r="J618" s="50" t="n"/>
      <c r="K618" s="48" t="n"/>
      <c r="L618" s="51">
        <f>IF(A618="","",DATE(YEAR(A618),MONTH(A618),1))</f>
        <v/>
      </c>
      <c r="M618" s="52">
        <f>IF(OR(A618="",NOT(ISNUMBER(I618))),"",IF(G618=Lists!$B$5,I618/2,IF(G618=Lists!$B$6,I618,0)))</f>
        <v/>
      </c>
      <c r="N618" s="52">
        <f>IF(OR(A618="",NOT(ISNUMBER(I618))),"",IF(G618=Lists!$B$5,I618/2,IF(G618=Lists!$B$7,I618,0)))</f>
        <v/>
      </c>
      <c r="O618" s="53">
        <f>IF(COUNTA(A618:K618)=0,"",IF(OR(A618="",B618="",C618="",D618="",E618="",F618="",G618="",NOT(ISNUMBER(I618))),"Incomplete",IF(COUNTIF(Lists!$H$4:$AA$4,C618)=0,"Check category",IF(COUNTIF(INDEX(Lists!$H$6:$AA$45,0,MATCH(C618,Lists!$H$4:$AA$4,0)),D618)=0,"Check sub-category","OK"))))</f>
        <v/>
      </c>
      <c r="P618">
        <f>IF(ISNUMBER(I618),I618+ROW()/10000000,"")</f>
        <v/>
      </c>
      <c r="Q618">
        <f>IF(AND(ISNUMBER(P618),ISNUMBER(A618)),IF(AND(A618&gt;=Dashboard!$Q$3,A618&lt;=Dashboard!$Q$4,OR(J618&lt;&gt;"Yes",Dashboard!$Q$15="Yes")),P618,""),"")</f>
        <v/>
      </c>
    </row>
    <row r="619">
      <c r="A619" s="47" t="n"/>
      <c r="B619" s="48" t="n"/>
      <c r="C619" s="48" t="n"/>
      <c r="D619" s="48" t="n"/>
      <c r="E619" s="48" t="n"/>
      <c r="F619" s="48" t="n"/>
      <c r="G619" s="48" t="n"/>
      <c r="H619" s="48" t="n"/>
      <c r="I619" s="49" t="n"/>
      <c r="J619" s="50" t="n"/>
      <c r="K619" s="48" t="n"/>
      <c r="L619" s="51">
        <f>IF(A619="","",DATE(YEAR(A619),MONTH(A619),1))</f>
        <v/>
      </c>
      <c r="M619" s="52">
        <f>IF(OR(A619="",NOT(ISNUMBER(I619))),"",IF(G619=Lists!$B$5,I619/2,IF(G619=Lists!$B$6,I619,0)))</f>
        <v/>
      </c>
      <c r="N619" s="52">
        <f>IF(OR(A619="",NOT(ISNUMBER(I619))),"",IF(G619=Lists!$B$5,I619/2,IF(G619=Lists!$B$7,I619,0)))</f>
        <v/>
      </c>
      <c r="O619" s="53">
        <f>IF(COUNTA(A619:K619)=0,"",IF(OR(A619="",B619="",C619="",D619="",E619="",F619="",G619="",NOT(ISNUMBER(I619))),"Incomplete",IF(COUNTIF(Lists!$H$4:$AA$4,C619)=0,"Check category",IF(COUNTIF(INDEX(Lists!$H$6:$AA$45,0,MATCH(C619,Lists!$H$4:$AA$4,0)),D619)=0,"Check sub-category","OK"))))</f>
        <v/>
      </c>
      <c r="P619">
        <f>IF(ISNUMBER(I619),I619+ROW()/10000000,"")</f>
        <v/>
      </c>
      <c r="Q619">
        <f>IF(AND(ISNUMBER(P619),ISNUMBER(A619)),IF(AND(A619&gt;=Dashboard!$Q$3,A619&lt;=Dashboard!$Q$4,OR(J619&lt;&gt;"Yes",Dashboard!$Q$15="Yes")),P619,""),"")</f>
        <v/>
      </c>
    </row>
    <row r="620">
      <c r="A620" s="47" t="n"/>
      <c r="B620" s="48" t="n"/>
      <c r="C620" s="48" t="n"/>
      <c r="D620" s="48" t="n"/>
      <c r="E620" s="48" t="n"/>
      <c r="F620" s="48" t="n"/>
      <c r="G620" s="48" t="n"/>
      <c r="H620" s="48" t="n"/>
      <c r="I620" s="49" t="n"/>
      <c r="J620" s="50" t="n"/>
      <c r="K620" s="48" t="n"/>
      <c r="L620" s="51">
        <f>IF(A620="","",DATE(YEAR(A620),MONTH(A620),1))</f>
        <v/>
      </c>
      <c r="M620" s="52">
        <f>IF(OR(A620="",NOT(ISNUMBER(I620))),"",IF(G620=Lists!$B$5,I620/2,IF(G620=Lists!$B$6,I620,0)))</f>
        <v/>
      </c>
      <c r="N620" s="52">
        <f>IF(OR(A620="",NOT(ISNUMBER(I620))),"",IF(G620=Lists!$B$5,I620/2,IF(G620=Lists!$B$7,I620,0)))</f>
        <v/>
      </c>
      <c r="O620" s="53">
        <f>IF(COUNTA(A620:K620)=0,"",IF(OR(A620="",B620="",C620="",D620="",E620="",F620="",G620="",NOT(ISNUMBER(I620))),"Incomplete",IF(COUNTIF(Lists!$H$4:$AA$4,C620)=0,"Check category",IF(COUNTIF(INDEX(Lists!$H$6:$AA$45,0,MATCH(C620,Lists!$H$4:$AA$4,0)),D620)=0,"Check sub-category","OK"))))</f>
        <v/>
      </c>
      <c r="P620">
        <f>IF(ISNUMBER(I620),I620+ROW()/10000000,"")</f>
        <v/>
      </c>
      <c r="Q620">
        <f>IF(AND(ISNUMBER(P620),ISNUMBER(A620)),IF(AND(A620&gt;=Dashboard!$Q$3,A620&lt;=Dashboard!$Q$4,OR(J620&lt;&gt;"Yes",Dashboard!$Q$15="Yes")),P620,""),"")</f>
        <v/>
      </c>
    </row>
    <row r="621">
      <c r="A621" s="47" t="n"/>
      <c r="B621" s="48" t="n"/>
      <c r="C621" s="48" t="n"/>
      <c r="D621" s="48" t="n"/>
      <c r="E621" s="48" t="n"/>
      <c r="F621" s="48" t="n"/>
      <c r="G621" s="48" t="n"/>
      <c r="H621" s="48" t="n"/>
      <c r="I621" s="49" t="n"/>
      <c r="J621" s="50" t="n"/>
      <c r="K621" s="48" t="n"/>
      <c r="L621" s="51">
        <f>IF(A621="","",DATE(YEAR(A621),MONTH(A621),1))</f>
        <v/>
      </c>
      <c r="M621" s="52">
        <f>IF(OR(A621="",NOT(ISNUMBER(I621))),"",IF(G621=Lists!$B$5,I621/2,IF(G621=Lists!$B$6,I621,0)))</f>
        <v/>
      </c>
      <c r="N621" s="52">
        <f>IF(OR(A621="",NOT(ISNUMBER(I621))),"",IF(G621=Lists!$B$5,I621/2,IF(G621=Lists!$B$7,I621,0)))</f>
        <v/>
      </c>
      <c r="O621" s="53">
        <f>IF(COUNTA(A621:K621)=0,"",IF(OR(A621="",B621="",C621="",D621="",E621="",F621="",G621="",NOT(ISNUMBER(I621))),"Incomplete",IF(COUNTIF(Lists!$H$4:$AA$4,C621)=0,"Check category",IF(COUNTIF(INDEX(Lists!$H$6:$AA$45,0,MATCH(C621,Lists!$H$4:$AA$4,0)),D621)=0,"Check sub-category","OK"))))</f>
        <v/>
      </c>
      <c r="P621">
        <f>IF(ISNUMBER(I621),I621+ROW()/10000000,"")</f>
        <v/>
      </c>
      <c r="Q621">
        <f>IF(AND(ISNUMBER(P621),ISNUMBER(A621)),IF(AND(A621&gt;=Dashboard!$Q$3,A621&lt;=Dashboard!$Q$4,OR(J621&lt;&gt;"Yes",Dashboard!$Q$15="Yes")),P621,""),"")</f>
        <v/>
      </c>
    </row>
    <row r="622">
      <c r="A622" s="47" t="n"/>
      <c r="B622" s="48" t="n"/>
      <c r="C622" s="48" t="n"/>
      <c r="D622" s="48" t="n"/>
      <c r="E622" s="48" t="n"/>
      <c r="F622" s="48" t="n"/>
      <c r="G622" s="48" t="n"/>
      <c r="H622" s="48" t="n"/>
      <c r="I622" s="49" t="n"/>
      <c r="J622" s="50" t="n"/>
      <c r="K622" s="48" t="n"/>
      <c r="L622" s="51">
        <f>IF(A622="","",DATE(YEAR(A622),MONTH(A622),1))</f>
        <v/>
      </c>
      <c r="M622" s="52">
        <f>IF(OR(A622="",NOT(ISNUMBER(I622))),"",IF(G622=Lists!$B$5,I622/2,IF(G622=Lists!$B$6,I622,0)))</f>
        <v/>
      </c>
      <c r="N622" s="52">
        <f>IF(OR(A622="",NOT(ISNUMBER(I622))),"",IF(G622=Lists!$B$5,I622/2,IF(G622=Lists!$B$7,I622,0)))</f>
        <v/>
      </c>
      <c r="O622" s="53">
        <f>IF(COUNTA(A622:K622)=0,"",IF(OR(A622="",B622="",C622="",D622="",E622="",F622="",G622="",NOT(ISNUMBER(I622))),"Incomplete",IF(COUNTIF(Lists!$H$4:$AA$4,C622)=0,"Check category",IF(COUNTIF(INDEX(Lists!$H$6:$AA$45,0,MATCH(C622,Lists!$H$4:$AA$4,0)),D622)=0,"Check sub-category","OK"))))</f>
        <v/>
      </c>
      <c r="P622">
        <f>IF(ISNUMBER(I622),I622+ROW()/10000000,"")</f>
        <v/>
      </c>
      <c r="Q622">
        <f>IF(AND(ISNUMBER(P622),ISNUMBER(A622)),IF(AND(A622&gt;=Dashboard!$Q$3,A622&lt;=Dashboard!$Q$4,OR(J622&lt;&gt;"Yes",Dashboard!$Q$15="Yes")),P622,""),"")</f>
        <v/>
      </c>
    </row>
    <row r="623">
      <c r="A623" s="47" t="n"/>
      <c r="B623" s="48" t="n"/>
      <c r="C623" s="48" t="n"/>
      <c r="D623" s="48" t="n"/>
      <c r="E623" s="48" t="n"/>
      <c r="F623" s="48" t="n"/>
      <c r="G623" s="48" t="n"/>
      <c r="H623" s="48" t="n"/>
      <c r="I623" s="49" t="n"/>
      <c r="J623" s="50" t="n"/>
      <c r="K623" s="48" t="n"/>
      <c r="L623" s="51">
        <f>IF(A623="","",DATE(YEAR(A623),MONTH(A623),1))</f>
        <v/>
      </c>
      <c r="M623" s="52">
        <f>IF(OR(A623="",NOT(ISNUMBER(I623))),"",IF(G623=Lists!$B$5,I623/2,IF(G623=Lists!$B$6,I623,0)))</f>
        <v/>
      </c>
      <c r="N623" s="52">
        <f>IF(OR(A623="",NOT(ISNUMBER(I623))),"",IF(G623=Lists!$B$5,I623/2,IF(G623=Lists!$B$7,I623,0)))</f>
        <v/>
      </c>
      <c r="O623" s="53">
        <f>IF(COUNTA(A623:K623)=0,"",IF(OR(A623="",B623="",C623="",D623="",E623="",F623="",G623="",NOT(ISNUMBER(I623))),"Incomplete",IF(COUNTIF(Lists!$H$4:$AA$4,C623)=0,"Check category",IF(COUNTIF(INDEX(Lists!$H$6:$AA$45,0,MATCH(C623,Lists!$H$4:$AA$4,0)),D623)=0,"Check sub-category","OK"))))</f>
        <v/>
      </c>
      <c r="P623">
        <f>IF(ISNUMBER(I623),I623+ROW()/10000000,"")</f>
        <v/>
      </c>
      <c r="Q623">
        <f>IF(AND(ISNUMBER(P623),ISNUMBER(A623)),IF(AND(A623&gt;=Dashboard!$Q$3,A623&lt;=Dashboard!$Q$4,OR(J623&lt;&gt;"Yes",Dashboard!$Q$15="Yes")),P623,""),"")</f>
        <v/>
      </c>
    </row>
    <row r="624">
      <c r="A624" s="47" t="n"/>
      <c r="B624" s="48" t="n"/>
      <c r="C624" s="48" t="n"/>
      <c r="D624" s="48" t="n"/>
      <c r="E624" s="48" t="n"/>
      <c r="F624" s="48" t="n"/>
      <c r="G624" s="48" t="n"/>
      <c r="H624" s="48" t="n"/>
      <c r="I624" s="49" t="n"/>
      <c r="J624" s="50" t="n"/>
      <c r="K624" s="48" t="n"/>
      <c r="L624" s="51">
        <f>IF(A624="","",DATE(YEAR(A624),MONTH(A624),1))</f>
        <v/>
      </c>
      <c r="M624" s="52">
        <f>IF(OR(A624="",NOT(ISNUMBER(I624))),"",IF(G624=Lists!$B$5,I624/2,IF(G624=Lists!$B$6,I624,0)))</f>
        <v/>
      </c>
      <c r="N624" s="52">
        <f>IF(OR(A624="",NOT(ISNUMBER(I624))),"",IF(G624=Lists!$B$5,I624/2,IF(G624=Lists!$B$7,I624,0)))</f>
        <v/>
      </c>
      <c r="O624" s="53">
        <f>IF(COUNTA(A624:K624)=0,"",IF(OR(A624="",B624="",C624="",D624="",E624="",F624="",G624="",NOT(ISNUMBER(I624))),"Incomplete",IF(COUNTIF(Lists!$H$4:$AA$4,C624)=0,"Check category",IF(COUNTIF(INDEX(Lists!$H$6:$AA$45,0,MATCH(C624,Lists!$H$4:$AA$4,0)),D624)=0,"Check sub-category","OK"))))</f>
        <v/>
      </c>
      <c r="P624">
        <f>IF(ISNUMBER(I624),I624+ROW()/10000000,"")</f>
        <v/>
      </c>
      <c r="Q624">
        <f>IF(AND(ISNUMBER(P624),ISNUMBER(A624)),IF(AND(A624&gt;=Dashboard!$Q$3,A624&lt;=Dashboard!$Q$4,OR(J624&lt;&gt;"Yes",Dashboard!$Q$15="Yes")),P624,""),"")</f>
        <v/>
      </c>
    </row>
    <row r="625">
      <c r="A625" s="47" t="n"/>
      <c r="B625" s="48" t="n"/>
      <c r="C625" s="48" t="n"/>
      <c r="D625" s="48" t="n"/>
      <c r="E625" s="48" t="n"/>
      <c r="F625" s="48" t="n"/>
      <c r="G625" s="48" t="n"/>
      <c r="H625" s="48" t="n"/>
      <c r="I625" s="49" t="n"/>
      <c r="J625" s="50" t="n"/>
      <c r="K625" s="48" t="n"/>
      <c r="L625" s="51">
        <f>IF(A625="","",DATE(YEAR(A625),MONTH(A625),1))</f>
        <v/>
      </c>
      <c r="M625" s="52">
        <f>IF(OR(A625="",NOT(ISNUMBER(I625))),"",IF(G625=Lists!$B$5,I625/2,IF(G625=Lists!$B$6,I625,0)))</f>
        <v/>
      </c>
      <c r="N625" s="52">
        <f>IF(OR(A625="",NOT(ISNUMBER(I625))),"",IF(G625=Lists!$B$5,I625/2,IF(G625=Lists!$B$7,I625,0)))</f>
        <v/>
      </c>
      <c r="O625" s="53">
        <f>IF(COUNTA(A625:K625)=0,"",IF(OR(A625="",B625="",C625="",D625="",E625="",F625="",G625="",NOT(ISNUMBER(I625))),"Incomplete",IF(COUNTIF(Lists!$H$4:$AA$4,C625)=0,"Check category",IF(COUNTIF(INDEX(Lists!$H$6:$AA$45,0,MATCH(C625,Lists!$H$4:$AA$4,0)),D625)=0,"Check sub-category","OK"))))</f>
        <v/>
      </c>
      <c r="P625">
        <f>IF(ISNUMBER(I625),I625+ROW()/10000000,"")</f>
        <v/>
      </c>
      <c r="Q625">
        <f>IF(AND(ISNUMBER(P625),ISNUMBER(A625)),IF(AND(A625&gt;=Dashboard!$Q$3,A625&lt;=Dashboard!$Q$4,OR(J625&lt;&gt;"Yes",Dashboard!$Q$15="Yes")),P625,""),"")</f>
        <v/>
      </c>
    </row>
    <row r="626">
      <c r="A626" s="47" t="n"/>
      <c r="B626" s="48" t="n"/>
      <c r="C626" s="48" t="n"/>
      <c r="D626" s="48" t="n"/>
      <c r="E626" s="48" t="n"/>
      <c r="F626" s="48" t="n"/>
      <c r="G626" s="48" t="n"/>
      <c r="H626" s="48" t="n"/>
      <c r="I626" s="49" t="n"/>
      <c r="J626" s="50" t="n"/>
      <c r="K626" s="48" t="n"/>
      <c r="L626" s="51">
        <f>IF(A626="","",DATE(YEAR(A626),MONTH(A626),1))</f>
        <v/>
      </c>
      <c r="M626" s="52">
        <f>IF(OR(A626="",NOT(ISNUMBER(I626))),"",IF(G626=Lists!$B$5,I626/2,IF(G626=Lists!$B$6,I626,0)))</f>
        <v/>
      </c>
      <c r="N626" s="52">
        <f>IF(OR(A626="",NOT(ISNUMBER(I626))),"",IF(G626=Lists!$B$5,I626/2,IF(G626=Lists!$B$7,I626,0)))</f>
        <v/>
      </c>
      <c r="O626" s="53">
        <f>IF(COUNTA(A626:K626)=0,"",IF(OR(A626="",B626="",C626="",D626="",E626="",F626="",G626="",NOT(ISNUMBER(I626))),"Incomplete",IF(COUNTIF(Lists!$H$4:$AA$4,C626)=0,"Check category",IF(COUNTIF(INDEX(Lists!$H$6:$AA$45,0,MATCH(C626,Lists!$H$4:$AA$4,0)),D626)=0,"Check sub-category","OK"))))</f>
        <v/>
      </c>
      <c r="P626">
        <f>IF(ISNUMBER(I626),I626+ROW()/10000000,"")</f>
        <v/>
      </c>
      <c r="Q626">
        <f>IF(AND(ISNUMBER(P626),ISNUMBER(A626)),IF(AND(A626&gt;=Dashboard!$Q$3,A626&lt;=Dashboard!$Q$4,OR(J626&lt;&gt;"Yes",Dashboard!$Q$15="Yes")),P626,""),"")</f>
        <v/>
      </c>
    </row>
    <row r="627">
      <c r="A627" s="47" t="n"/>
      <c r="B627" s="48" t="n"/>
      <c r="C627" s="48" t="n"/>
      <c r="D627" s="48" t="n"/>
      <c r="E627" s="48" t="n"/>
      <c r="F627" s="48" t="n"/>
      <c r="G627" s="48" t="n"/>
      <c r="H627" s="48" t="n"/>
      <c r="I627" s="49" t="n"/>
      <c r="J627" s="50" t="n"/>
      <c r="K627" s="48" t="n"/>
      <c r="L627" s="51">
        <f>IF(A627="","",DATE(YEAR(A627),MONTH(A627),1))</f>
        <v/>
      </c>
      <c r="M627" s="52">
        <f>IF(OR(A627="",NOT(ISNUMBER(I627))),"",IF(G627=Lists!$B$5,I627/2,IF(G627=Lists!$B$6,I627,0)))</f>
        <v/>
      </c>
      <c r="N627" s="52">
        <f>IF(OR(A627="",NOT(ISNUMBER(I627))),"",IF(G627=Lists!$B$5,I627/2,IF(G627=Lists!$B$7,I627,0)))</f>
        <v/>
      </c>
      <c r="O627" s="53">
        <f>IF(COUNTA(A627:K627)=0,"",IF(OR(A627="",B627="",C627="",D627="",E627="",F627="",G627="",NOT(ISNUMBER(I627))),"Incomplete",IF(COUNTIF(Lists!$H$4:$AA$4,C627)=0,"Check category",IF(COUNTIF(INDEX(Lists!$H$6:$AA$45,0,MATCH(C627,Lists!$H$4:$AA$4,0)),D627)=0,"Check sub-category","OK"))))</f>
        <v/>
      </c>
      <c r="P627">
        <f>IF(ISNUMBER(I627),I627+ROW()/10000000,"")</f>
        <v/>
      </c>
      <c r="Q627">
        <f>IF(AND(ISNUMBER(P627),ISNUMBER(A627)),IF(AND(A627&gt;=Dashboard!$Q$3,A627&lt;=Dashboard!$Q$4,OR(J627&lt;&gt;"Yes",Dashboard!$Q$15="Yes")),P627,""),"")</f>
        <v/>
      </c>
    </row>
    <row r="628">
      <c r="A628" s="47" t="n"/>
      <c r="B628" s="48" t="n"/>
      <c r="C628" s="48" t="n"/>
      <c r="D628" s="48" t="n"/>
      <c r="E628" s="48" t="n"/>
      <c r="F628" s="48" t="n"/>
      <c r="G628" s="48" t="n"/>
      <c r="H628" s="48" t="n"/>
      <c r="I628" s="49" t="n"/>
      <c r="J628" s="50" t="n"/>
      <c r="K628" s="48" t="n"/>
      <c r="L628" s="51">
        <f>IF(A628="","",DATE(YEAR(A628),MONTH(A628),1))</f>
        <v/>
      </c>
      <c r="M628" s="52">
        <f>IF(OR(A628="",NOT(ISNUMBER(I628))),"",IF(G628=Lists!$B$5,I628/2,IF(G628=Lists!$B$6,I628,0)))</f>
        <v/>
      </c>
      <c r="N628" s="52">
        <f>IF(OR(A628="",NOT(ISNUMBER(I628))),"",IF(G628=Lists!$B$5,I628/2,IF(G628=Lists!$B$7,I628,0)))</f>
        <v/>
      </c>
      <c r="O628" s="53">
        <f>IF(COUNTA(A628:K628)=0,"",IF(OR(A628="",B628="",C628="",D628="",E628="",F628="",G628="",NOT(ISNUMBER(I628))),"Incomplete",IF(COUNTIF(Lists!$H$4:$AA$4,C628)=0,"Check category",IF(COUNTIF(INDEX(Lists!$H$6:$AA$45,0,MATCH(C628,Lists!$H$4:$AA$4,0)),D628)=0,"Check sub-category","OK"))))</f>
        <v/>
      </c>
      <c r="P628">
        <f>IF(ISNUMBER(I628),I628+ROW()/10000000,"")</f>
        <v/>
      </c>
      <c r="Q628">
        <f>IF(AND(ISNUMBER(P628),ISNUMBER(A628)),IF(AND(A628&gt;=Dashboard!$Q$3,A628&lt;=Dashboard!$Q$4,OR(J628&lt;&gt;"Yes",Dashboard!$Q$15="Yes")),P628,""),"")</f>
        <v/>
      </c>
    </row>
    <row r="629">
      <c r="A629" s="47" t="n"/>
      <c r="B629" s="48" t="n"/>
      <c r="C629" s="48" t="n"/>
      <c r="D629" s="48" t="n"/>
      <c r="E629" s="48" t="n"/>
      <c r="F629" s="48" t="n"/>
      <c r="G629" s="48" t="n"/>
      <c r="H629" s="48" t="n"/>
      <c r="I629" s="49" t="n"/>
      <c r="J629" s="50" t="n"/>
      <c r="K629" s="48" t="n"/>
      <c r="L629" s="51">
        <f>IF(A629="","",DATE(YEAR(A629),MONTH(A629),1))</f>
        <v/>
      </c>
      <c r="M629" s="52">
        <f>IF(OR(A629="",NOT(ISNUMBER(I629))),"",IF(G629=Lists!$B$5,I629/2,IF(G629=Lists!$B$6,I629,0)))</f>
        <v/>
      </c>
      <c r="N629" s="52">
        <f>IF(OR(A629="",NOT(ISNUMBER(I629))),"",IF(G629=Lists!$B$5,I629/2,IF(G629=Lists!$B$7,I629,0)))</f>
        <v/>
      </c>
      <c r="O629" s="53">
        <f>IF(COUNTA(A629:K629)=0,"",IF(OR(A629="",B629="",C629="",D629="",E629="",F629="",G629="",NOT(ISNUMBER(I629))),"Incomplete",IF(COUNTIF(Lists!$H$4:$AA$4,C629)=0,"Check category",IF(COUNTIF(INDEX(Lists!$H$6:$AA$45,0,MATCH(C629,Lists!$H$4:$AA$4,0)),D629)=0,"Check sub-category","OK"))))</f>
        <v/>
      </c>
      <c r="P629">
        <f>IF(ISNUMBER(I629),I629+ROW()/10000000,"")</f>
        <v/>
      </c>
      <c r="Q629">
        <f>IF(AND(ISNUMBER(P629),ISNUMBER(A629)),IF(AND(A629&gt;=Dashboard!$Q$3,A629&lt;=Dashboard!$Q$4,OR(J629&lt;&gt;"Yes",Dashboard!$Q$15="Yes")),P629,""),"")</f>
        <v/>
      </c>
    </row>
    <row r="630">
      <c r="A630" s="47" t="n"/>
      <c r="B630" s="48" t="n"/>
      <c r="C630" s="48" t="n"/>
      <c r="D630" s="48" t="n"/>
      <c r="E630" s="48" t="n"/>
      <c r="F630" s="48" t="n"/>
      <c r="G630" s="48" t="n"/>
      <c r="H630" s="48" t="n"/>
      <c r="I630" s="49" t="n"/>
      <c r="J630" s="50" t="n"/>
      <c r="K630" s="48" t="n"/>
      <c r="L630" s="51">
        <f>IF(A630="","",DATE(YEAR(A630),MONTH(A630),1))</f>
        <v/>
      </c>
      <c r="M630" s="52">
        <f>IF(OR(A630="",NOT(ISNUMBER(I630))),"",IF(G630=Lists!$B$5,I630/2,IF(G630=Lists!$B$6,I630,0)))</f>
        <v/>
      </c>
      <c r="N630" s="52">
        <f>IF(OR(A630="",NOT(ISNUMBER(I630))),"",IF(G630=Lists!$B$5,I630/2,IF(G630=Lists!$B$7,I630,0)))</f>
        <v/>
      </c>
      <c r="O630" s="53">
        <f>IF(COUNTA(A630:K630)=0,"",IF(OR(A630="",B630="",C630="",D630="",E630="",F630="",G630="",NOT(ISNUMBER(I630))),"Incomplete",IF(COUNTIF(Lists!$H$4:$AA$4,C630)=0,"Check category",IF(COUNTIF(INDEX(Lists!$H$6:$AA$45,0,MATCH(C630,Lists!$H$4:$AA$4,0)),D630)=0,"Check sub-category","OK"))))</f>
        <v/>
      </c>
      <c r="P630">
        <f>IF(ISNUMBER(I630),I630+ROW()/10000000,"")</f>
        <v/>
      </c>
      <c r="Q630">
        <f>IF(AND(ISNUMBER(P630),ISNUMBER(A630)),IF(AND(A630&gt;=Dashboard!$Q$3,A630&lt;=Dashboard!$Q$4,OR(J630&lt;&gt;"Yes",Dashboard!$Q$15="Yes")),P630,""),"")</f>
        <v/>
      </c>
    </row>
    <row r="631">
      <c r="A631" s="47" t="n"/>
      <c r="B631" s="48" t="n"/>
      <c r="C631" s="48" t="n"/>
      <c r="D631" s="48" t="n"/>
      <c r="E631" s="48" t="n"/>
      <c r="F631" s="48" t="n"/>
      <c r="G631" s="48" t="n"/>
      <c r="H631" s="48" t="n"/>
      <c r="I631" s="49" t="n"/>
      <c r="J631" s="50" t="n"/>
      <c r="K631" s="48" t="n"/>
      <c r="L631" s="51">
        <f>IF(A631="","",DATE(YEAR(A631),MONTH(A631),1))</f>
        <v/>
      </c>
      <c r="M631" s="52">
        <f>IF(OR(A631="",NOT(ISNUMBER(I631))),"",IF(G631=Lists!$B$5,I631/2,IF(G631=Lists!$B$6,I631,0)))</f>
        <v/>
      </c>
      <c r="N631" s="52">
        <f>IF(OR(A631="",NOT(ISNUMBER(I631))),"",IF(G631=Lists!$B$5,I631/2,IF(G631=Lists!$B$7,I631,0)))</f>
        <v/>
      </c>
      <c r="O631" s="53">
        <f>IF(COUNTA(A631:K631)=0,"",IF(OR(A631="",B631="",C631="",D631="",E631="",F631="",G631="",NOT(ISNUMBER(I631))),"Incomplete",IF(COUNTIF(Lists!$H$4:$AA$4,C631)=0,"Check category",IF(COUNTIF(INDEX(Lists!$H$6:$AA$45,0,MATCH(C631,Lists!$H$4:$AA$4,0)),D631)=0,"Check sub-category","OK"))))</f>
        <v/>
      </c>
      <c r="P631">
        <f>IF(ISNUMBER(I631),I631+ROW()/10000000,"")</f>
        <v/>
      </c>
      <c r="Q631">
        <f>IF(AND(ISNUMBER(P631),ISNUMBER(A631)),IF(AND(A631&gt;=Dashboard!$Q$3,A631&lt;=Dashboard!$Q$4,OR(J631&lt;&gt;"Yes",Dashboard!$Q$15="Yes")),P631,""),"")</f>
        <v/>
      </c>
    </row>
    <row r="632">
      <c r="A632" s="47" t="n"/>
      <c r="B632" s="48" t="n"/>
      <c r="C632" s="48" t="n"/>
      <c r="D632" s="48" t="n"/>
      <c r="E632" s="48" t="n"/>
      <c r="F632" s="48" t="n"/>
      <c r="G632" s="48" t="n"/>
      <c r="H632" s="48" t="n"/>
      <c r="I632" s="49" t="n"/>
      <c r="J632" s="50" t="n"/>
      <c r="K632" s="48" t="n"/>
      <c r="L632" s="51">
        <f>IF(A632="","",DATE(YEAR(A632),MONTH(A632),1))</f>
        <v/>
      </c>
      <c r="M632" s="52">
        <f>IF(OR(A632="",NOT(ISNUMBER(I632))),"",IF(G632=Lists!$B$5,I632/2,IF(G632=Lists!$B$6,I632,0)))</f>
        <v/>
      </c>
      <c r="N632" s="52">
        <f>IF(OR(A632="",NOT(ISNUMBER(I632))),"",IF(G632=Lists!$B$5,I632/2,IF(G632=Lists!$B$7,I632,0)))</f>
        <v/>
      </c>
      <c r="O632" s="53">
        <f>IF(COUNTA(A632:K632)=0,"",IF(OR(A632="",B632="",C632="",D632="",E632="",F632="",G632="",NOT(ISNUMBER(I632))),"Incomplete",IF(COUNTIF(Lists!$H$4:$AA$4,C632)=0,"Check category",IF(COUNTIF(INDEX(Lists!$H$6:$AA$45,0,MATCH(C632,Lists!$H$4:$AA$4,0)),D632)=0,"Check sub-category","OK"))))</f>
        <v/>
      </c>
      <c r="P632">
        <f>IF(ISNUMBER(I632),I632+ROW()/10000000,"")</f>
        <v/>
      </c>
      <c r="Q632">
        <f>IF(AND(ISNUMBER(P632),ISNUMBER(A632)),IF(AND(A632&gt;=Dashboard!$Q$3,A632&lt;=Dashboard!$Q$4,OR(J632&lt;&gt;"Yes",Dashboard!$Q$15="Yes")),P632,""),"")</f>
        <v/>
      </c>
    </row>
    <row r="633">
      <c r="A633" s="47" t="n"/>
      <c r="B633" s="48" t="n"/>
      <c r="C633" s="48" t="n"/>
      <c r="D633" s="48" t="n"/>
      <c r="E633" s="48" t="n"/>
      <c r="F633" s="48" t="n"/>
      <c r="G633" s="48" t="n"/>
      <c r="H633" s="48" t="n"/>
      <c r="I633" s="49" t="n"/>
      <c r="J633" s="50" t="n"/>
      <c r="K633" s="48" t="n"/>
      <c r="L633" s="51">
        <f>IF(A633="","",DATE(YEAR(A633),MONTH(A633),1))</f>
        <v/>
      </c>
      <c r="M633" s="52">
        <f>IF(OR(A633="",NOT(ISNUMBER(I633))),"",IF(G633=Lists!$B$5,I633/2,IF(G633=Lists!$B$6,I633,0)))</f>
        <v/>
      </c>
      <c r="N633" s="52">
        <f>IF(OR(A633="",NOT(ISNUMBER(I633))),"",IF(G633=Lists!$B$5,I633/2,IF(G633=Lists!$B$7,I633,0)))</f>
        <v/>
      </c>
      <c r="O633" s="53">
        <f>IF(COUNTA(A633:K633)=0,"",IF(OR(A633="",B633="",C633="",D633="",E633="",F633="",G633="",NOT(ISNUMBER(I633))),"Incomplete",IF(COUNTIF(Lists!$H$4:$AA$4,C633)=0,"Check category",IF(COUNTIF(INDEX(Lists!$H$6:$AA$45,0,MATCH(C633,Lists!$H$4:$AA$4,0)),D633)=0,"Check sub-category","OK"))))</f>
        <v/>
      </c>
      <c r="P633">
        <f>IF(ISNUMBER(I633),I633+ROW()/10000000,"")</f>
        <v/>
      </c>
      <c r="Q633">
        <f>IF(AND(ISNUMBER(P633),ISNUMBER(A633)),IF(AND(A633&gt;=Dashboard!$Q$3,A633&lt;=Dashboard!$Q$4,OR(J633&lt;&gt;"Yes",Dashboard!$Q$15="Yes")),P633,""),"")</f>
        <v/>
      </c>
    </row>
    <row r="634">
      <c r="A634" s="47" t="n"/>
      <c r="B634" s="48" t="n"/>
      <c r="C634" s="48" t="n"/>
      <c r="D634" s="48" t="n"/>
      <c r="E634" s="48" t="n"/>
      <c r="F634" s="48" t="n"/>
      <c r="G634" s="48" t="n"/>
      <c r="H634" s="48" t="n"/>
      <c r="I634" s="49" t="n"/>
      <c r="J634" s="50" t="n"/>
      <c r="K634" s="48" t="n"/>
      <c r="L634" s="51">
        <f>IF(A634="","",DATE(YEAR(A634),MONTH(A634),1))</f>
        <v/>
      </c>
      <c r="M634" s="52">
        <f>IF(OR(A634="",NOT(ISNUMBER(I634))),"",IF(G634=Lists!$B$5,I634/2,IF(G634=Lists!$B$6,I634,0)))</f>
        <v/>
      </c>
      <c r="N634" s="52">
        <f>IF(OR(A634="",NOT(ISNUMBER(I634))),"",IF(G634=Lists!$B$5,I634/2,IF(G634=Lists!$B$7,I634,0)))</f>
        <v/>
      </c>
      <c r="O634" s="53">
        <f>IF(COUNTA(A634:K634)=0,"",IF(OR(A634="",B634="",C634="",D634="",E634="",F634="",G634="",NOT(ISNUMBER(I634))),"Incomplete",IF(COUNTIF(Lists!$H$4:$AA$4,C634)=0,"Check category",IF(COUNTIF(INDEX(Lists!$H$6:$AA$45,0,MATCH(C634,Lists!$H$4:$AA$4,0)),D634)=0,"Check sub-category","OK"))))</f>
        <v/>
      </c>
      <c r="P634">
        <f>IF(ISNUMBER(I634),I634+ROW()/10000000,"")</f>
        <v/>
      </c>
      <c r="Q634">
        <f>IF(AND(ISNUMBER(P634),ISNUMBER(A634)),IF(AND(A634&gt;=Dashboard!$Q$3,A634&lt;=Dashboard!$Q$4,OR(J634&lt;&gt;"Yes",Dashboard!$Q$15="Yes")),P634,""),"")</f>
        <v/>
      </c>
    </row>
    <row r="635">
      <c r="A635" s="47" t="n"/>
      <c r="B635" s="48" t="n"/>
      <c r="C635" s="48" t="n"/>
      <c r="D635" s="48" t="n"/>
      <c r="E635" s="48" t="n"/>
      <c r="F635" s="48" t="n"/>
      <c r="G635" s="48" t="n"/>
      <c r="H635" s="48" t="n"/>
      <c r="I635" s="49" t="n"/>
      <c r="J635" s="50" t="n"/>
      <c r="K635" s="48" t="n"/>
      <c r="L635" s="51">
        <f>IF(A635="","",DATE(YEAR(A635),MONTH(A635),1))</f>
        <v/>
      </c>
      <c r="M635" s="52">
        <f>IF(OR(A635="",NOT(ISNUMBER(I635))),"",IF(G635=Lists!$B$5,I635/2,IF(G635=Lists!$B$6,I635,0)))</f>
        <v/>
      </c>
      <c r="N635" s="52">
        <f>IF(OR(A635="",NOT(ISNUMBER(I635))),"",IF(G635=Lists!$B$5,I635/2,IF(G635=Lists!$B$7,I635,0)))</f>
        <v/>
      </c>
      <c r="O635" s="53">
        <f>IF(COUNTA(A635:K635)=0,"",IF(OR(A635="",B635="",C635="",D635="",E635="",F635="",G635="",NOT(ISNUMBER(I635))),"Incomplete",IF(COUNTIF(Lists!$H$4:$AA$4,C635)=0,"Check category",IF(COUNTIF(INDEX(Lists!$H$6:$AA$45,0,MATCH(C635,Lists!$H$4:$AA$4,0)),D635)=0,"Check sub-category","OK"))))</f>
        <v/>
      </c>
      <c r="P635">
        <f>IF(ISNUMBER(I635),I635+ROW()/10000000,"")</f>
        <v/>
      </c>
      <c r="Q635">
        <f>IF(AND(ISNUMBER(P635),ISNUMBER(A635)),IF(AND(A635&gt;=Dashboard!$Q$3,A635&lt;=Dashboard!$Q$4,OR(J635&lt;&gt;"Yes",Dashboard!$Q$15="Yes")),P635,""),"")</f>
        <v/>
      </c>
    </row>
    <row r="636">
      <c r="A636" s="47" t="n"/>
      <c r="B636" s="48" t="n"/>
      <c r="C636" s="48" t="n"/>
      <c r="D636" s="48" t="n"/>
      <c r="E636" s="48" t="n"/>
      <c r="F636" s="48" t="n"/>
      <c r="G636" s="48" t="n"/>
      <c r="H636" s="48" t="n"/>
      <c r="I636" s="49" t="n"/>
      <c r="J636" s="50" t="n"/>
      <c r="K636" s="48" t="n"/>
      <c r="L636" s="51">
        <f>IF(A636="","",DATE(YEAR(A636),MONTH(A636),1))</f>
        <v/>
      </c>
      <c r="M636" s="52">
        <f>IF(OR(A636="",NOT(ISNUMBER(I636))),"",IF(G636=Lists!$B$5,I636/2,IF(G636=Lists!$B$6,I636,0)))</f>
        <v/>
      </c>
      <c r="N636" s="52">
        <f>IF(OR(A636="",NOT(ISNUMBER(I636))),"",IF(G636=Lists!$B$5,I636/2,IF(G636=Lists!$B$7,I636,0)))</f>
        <v/>
      </c>
      <c r="O636" s="53">
        <f>IF(COUNTA(A636:K636)=0,"",IF(OR(A636="",B636="",C636="",D636="",E636="",F636="",G636="",NOT(ISNUMBER(I636))),"Incomplete",IF(COUNTIF(Lists!$H$4:$AA$4,C636)=0,"Check category",IF(COUNTIF(INDEX(Lists!$H$6:$AA$45,0,MATCH(C636,Lists!$H$4:$AA$4,0)),D636)=0,"Check sub-category","OK"))))</f>
        <v/>
      </c>
      <c r="P636">
        <f>IF(ISNUMBER(I636),I636+ROW()/10000000,"")</f>
        <v/>
      </c>
      <c r="Q636">
        <f>IF(AND(ISNUMBER(P636),ISNUMBER(A636)),IF(AND(A636&gt;=Dashboard!$Q$3,A636&lt;=Dashboard!$Q$4,OR(J636&lt;&gt;"Yes",Dashboard!$Q$15="Yes")),P636,""),"")</f>
        <v/>
      </c>
    </row>
    <row r="637">
      <c r="A637" s="47" t="n"/>
      <c r="B637" s="48" t="n"/>
      <c r="C637" s="48" t="n"/>
      <c r="D637" s="48" t="n"/>
      <c r="E637" s="48" t="n"/>
      <c r="F637" s="48" t="n"/>
      <c r="G637" s="48" t="n"/>
      <c r="H637" s="48" t="n"/>
      <c r="I637" s="49" t="n"/>
      <c r="J637" s="50" t="n"/>
      <c r="K637" s="48" t="n"/>
      <c r="L637" s="51">
        <f>IF(A637="","",DATE(YEAR(A637),MONTH(A637),1))</f>
        <v/>
      </c>
      <c r="M637" s="52">
        <f>IF(OR(A637="",NOT(ISNUMBER(I637))),"",IF(G637=Lists!$B$5,I637/2,IF(G637=Lists!$B$6,I637,0)))</f>
        <v/>
      </c>
      <c r="N637" s="52">
        <f>IF(OR(A637="",NOT(ISNUMBER(I637))),"",IF(G637=Lists!$B$5,I637/2,IF(G637=Lists!$B$7,I637,0)))</f>
        <v/>
      </c>
      <c r="O637" s="53">
        <f>IF(COUNTA(A637:K637)=0,"",IF(OR(A637="",B637="",C637="",D637="",E637="",F637="",G637="",NOT(ISNUMBER(I637))),"Incomplete",IF(COUNTIF(Lists!$H$4:$AA$4,C637)=0,"Check category",IF(COUNTIF(INDEX(Lists!$H$6:$AA$45,0,MATCH(C637,Lists!$H$4:$AA$4,0)),D637)=0,"Check sub-category","OK"))))</f>
        <v/>
      </c>
      <c r="P637">
        <f>IF(ISNUMBER(I637),I637+ROW()/10000000,"")</f>
        <v/>
      </c>
      <c r="Q637">
        <f>IF(AND(ISNUMBER(P637),ISNUMBER(A637)),IF(AND(A637&gt;=Dashboard!$Q$3,A637&lt;=Dashboard!$Q$4,OR(J637&lt;&gt;"Yes",Dashboard!$Q$15="Yes")),P637,""),"")</f>
        <v/>
      </c>
    </row>
    <row r="638">
      <c r="A638" s="47" t="n"/>
      <c r="B638" s="48" t="n"/>
      <c r="C638" s="48" t="n"/>
      <c r="D638" s="48" t="n"/>
      <c r="E638" s="48" t="n"/>
      <c r="F638" s="48" t="n"/>
      <c r="G638" s="48" t="n"/>
      <c r="H638" s="48" t="n"/>
      <c r="I638" s="49" t="n"/>
      <c r="J638" s="50" t="n"/>
      <c r="K638" s="48" t="n"/>
      <c r="L638" s="51">
        <f>IF(A638="","",DATE(YEAR(A638),MONTH(A638),1))</f>
        <v/>
      </c>
      <c r="M638" s="52">
        <f>IF(OR(A638="",NOT(ISNUMBER(I638))),"",IF(G638=Lists!$B$5,I638/2,IF(G638=Lists!$B$6,I638,0)))</f>
        <v/>
      </c>
      <c r="N638" s="52">
        <f>IF(OR(A638="",NOT(ISNUMBER(I638))),"",IF(G638=Lists!$B$5,I638/2,IF(G638=Lists!$B$7,I638,0)))</f>
        <v/>
      </c>
      <c r="O638" s="53">
        <f>IF(COUNTA(A638:K638)=0,"",IF(OR(A638="",B638="",C638="",D638="",E638="",F638="",G638="",NOT(ISNUMBER(I638))),"Incomplete",IF(COUNTIF(Lists!$H$4:$AA$4,C638)=0,"Check category",IF(COUNTIF(INDEX(Lists!$H$6:$AA$45,0,MATCH(C638,Lists!$H$4:$AA$4,0)),D638)=0,"Check sub-category","OK"))))</f>
        <v/>
      </c>
      <c r="P638">
        <f>IF(ISNUMBER(I638),I638+ROW()/10000000,"")</f>
        <v/>
      </c>
      <c r="Q638">
        <f>IF(AND(ISNUMBER(P638),ISNUMBER(A638)),IF(AND(A638&gt;=Dashboard!$Q$3,A638&lt;=Dashboard!$Q$4,OR(J638&lt;&gt;"Yes",Dashboard!$Q$15="Yes")),P638,""),"")</f>
        <v/>
      </c>
    </row>
    <row r="639">
      <c r="A639" s="47" t="n"/>
      <c r="B639" s="48" t="n"/>
      <c r="C639" s="48" t="n"/>
      <c r="D639" s="48" t="n"/>
      <c r="E639" s="48" t="n"/>
      <c r="F639" s="48" t="n"/>
      <c r="G639" s="48" t="n"/>
      <c r="H639" s="48" t="n"/>
      <c r="I639" s="49" t="n"/>
      <c r="J639" s="50" t="n"/>
      <c r="K639" s="48" t="n"/>
      <c r="L639" s="51">
        <f>IF(A639="","",DATE(YEAR(A639),MONTH(A639),1))</f>
        <v/>
      </c>
      <c r="M639" s="52">
        <f>IF(OR(A639="",NOT(ISNUMBER(I639))),"",IF(G639=Lists!$B$5,I639/2,IF(G639=Lists!$B$6,I639,0)))</f>
        <v/>
      </c>
      <c r="N639" s="52">
        <f>IF(OR(A639="",NOT(ISNUMBER(I639))),"",IF(G639=Lists!$B$5,I639/2,IF(G639=Lists!$B$7,I639,0)))</f>
        <v/>
      </c>
      <c r="O639" s="53">
        <f>IF(COUNTA(A639:K639)=0,"",IF(OR(A639="",B639="",C639="",D639="",E639="",F639="",G639="",NOT(ISNUMBER(I639))),"Incomplete",IF(COUNTIF(Lists!$H$4:$AA$4,C639)=0,"Check category",IF(COUNTIF(INDEX(Lists!$H$6:$AA$45,0,MATCH(C639,Lists!$H$4:$AA$4,0)),D639)=0,"Check sub-category","OK"))))</f>
        <v/>
      </c>
      <c r="P639">
        <f>IF(ISNUMBER(I639),I639+ROW()/10000000,"")</f>
        <v/>
      </c>
      <c r="Q639">
        <f>IF(AND(ISNUMBER(P639),ISNUMBER(A639)),IF(AND(A639&gt;=Dashboard!$Q$3,A639&lt;=Dashboard!$Q$4,OR(J639&lt;&gt;"Yes",Dashboard!$Q$15="Yes")),P639,""),"")</f>
        <v/>
      </c>
    </row>
    <row r="640">
      <c r="A640" s="47" t="n"/>
      <c r="B640" s="48" t="n"/>
      <c r="C640" s="48" t="n"/>
      <c r="D640" s="48" t="n"/>
      <c r="E640" s="48" t="n"/>
      <c r="F640" s="48" t="n"/>
      <c r="G640" s="48" t="n"/>
      <c r="H640" s="48" t="n"/>
      <c r="I640" s="49" t="n"/>
      <c r="J640" s="50" t="n"/>
      <c r="K640" s="48" t="n"/>
      <c r="L640" s="51">
        <f>IF(A640="","",DATE(YEAR(A640),MONTH(A640),1))</f>
        <v/>
      </c>
      <c r="M640" s="52">
        <f>IF(OR(A640="",NOT(ISNUMBER(I640))),"",IF(G640=Lists!$B$5,I640/2,IF(G640=Lists!$B$6,I640,0)))</f>
        <v/>
      </c>
      <c r="N640" s="52">
        <f>IF(OR(A640="",NOT(ISNUMBER(I640))),"",IF(G640=Lists!$B$5,I640/2,IF(G640=Lists!$B$7,I640,0)))</f>
        <v/>
      </c>
      <c r="O640" s="53">
        <f>IF(COUNTA(A640:K640)=0,"",IF(OR(A640="",B640="",C640="",D640="",E640="",F640="",G640="",NOT(ISNUMBER(I640))),"Incomplete",IF(COUNTIF(Lists!$H$4:$AA$4,C640)=0,"Check category",IF(COUNTIF(INDEX(Lists!$H$6:$AA$45,0,MATCH(C640,Lists!$H$4:$AA$4,0)),D640)=0,"Check sub-category","OK"))))</f>
        <v/>
      </c>
      <c r="P640">
        <f>IF(ISNUMBER(I640),I640+ROW()/10000000,"")</f>
        <v/>
      </c>
      <c r="Q640">
        <f>IF(AND(ISNUMBER(P640),ISNUMBER(A640)),IF(AND(A640&gt;=Dashboard!$Q$3,A640&lt;=Dashboard!$Q$4,OR(J640&lt;&gt;"Yes",Dashboard!$Q$15="Yes")),P640,""),"")</f>
        <v/>
      </c>
    </row>
    <row r="641">
      <c r="A641" s="47" t="n"/>
      <c r="B641" s="48" t="n"/>
      <c r="C641" s="48" t="n"/>
      <c r="D641" s="48" t="n"/>
      <c r="E641" s="48" t="n"/>
      <c r="F641" s="48" t="n"/>
      <c r="G641" s="48" t="n"/>
      <c r="H641" s="48" t="n"/>
      <c r="I641" s="49" t="n"/>
      <c r="J641" s="50" t="n"/>
      <c r="K641" s="48" t="n"/>
      <c r="L641" s="51">
        <f>IF(A641="","",DATE(YEAR(A641),MONTH(A641),1))</f>
        <v/>
      </c>
      <c r="M641" s="52">
        <f>IF(OR(A641="",NOT(ISNUMBER(I641))),"",IF(G641=Lists!$B$5,I641/2,IF(G641=Lists!$B$6,I641,0)))</f>
        <v/>
      </c>
      <c r="N641" s="52">
        <f>IF(OR(A641="",NOT(ISNUMBER(I641))),"",IF(G641=Lists!$B$5,I641/2,IF(G641=Lists!$B$7,I641,0)))</f>
        <v/>
      </c>
      <c r="O641" s="53">
        <f>IF(COUNTA(A641:K641)=0,"",IF(OR(A641="",B641="",C641="",D641="",E641="",F641="",G641="",NOT(ISNUMBER(I641))),"Incomplete",IF(COUNTIF(Lists!$H$4:$AA$4,C641)=0,"Check category",IF(COUNTIF(INDEX(Lists!$H$6:$AA$45,0,MATCH(C641,Lists!$H$4:$AA$4,0)),D641)=0,"Check sub-category","OK"))))</f>
        <v/>
      </c>
      <c r="P641">
        <f>IF(ISNUMBER(I641),I641+ROW()/10000000,"")</f>
        <v/>
      </c>
      <c r="Q641">
        <f>IF(AND(ISNUMBER(P641),ISNUMBER(A641)),IF(AND(A641&gt;=Dashboard!$Q$3,A641&lt;=Dashboard!$Q$4,OR(J641&lt;&gt;"Yes",Dashboard!$Q$15="Yes")),P641,""),"")</f>
        <v/>
      </c>
    </row>
    <row r="642">
      <c r="A642" s="47" t="n"/>
      <c r="B642" s="48" t="n"/>
      <c r="C642" s="48" t="n"/>
      <c r="D642" s="48" t="n"/>
      <c r="E642" s="48" t="n"/>
      <c r="F642" s="48" t="n"/>
      <c r="G642" s="48" t="n"/>
      <c r="H642" s="48" t="n"/>
      <c r="I642" s="49" t="n"/>
      <c r="J642" s="50" t="n"/>
      <c r="K642" s="48" t="n"/>
      <c r="L642" s="51">
        <f>IF(A642="","",DATE(YEAR(A642),MONTH(A642),1))</f>
        <v/>
      </c>
      <c r="M642" s="52">
        <f>IF(OR(A642="",NOT(ISNUMBER(I642))),"",IF(G642=Lists!$B$5,I642/2,IF(G642=Lists!$B$6,I642,0)))</f>
        <v/>
      </c>
      <c r="N642" s="52">
        <f>IF(OR(A642="",NOT(ISNUMBER(I642))),"",IF(G642=Lists!$B$5,I642/2,IF(G642=Lists!$B$7,I642,0)))</f>
        <v/>
      </c>
      <c r="O642" s="53">
        <f>IF(COUNTA(A642:K642)=0,"",IF(OR(A642="",B642="",C642="",D642="",E642="",F642="",G642="",NOT(ISNUMBER(I642))),"Incomplete",IF(COUNTIF(Lists!$H$4:$AA$4,C642)=0,"Check category",IF(COUNTIF(INDEX(Lists!$H$6:$AA$45,0,MATCH(C642,Lists!$H$4:$AA$4,0)),D642)=0,"Check sub-category","OK"))))</f>
        <v/>
      </c>
      <c r="P642">
        <f>IF(ISNUMBER(I642),I642+ROW()/10000000,"")</f>
        <v/>
      </c>
      <c r="Q642">
        <f>IF(AND(ISNUMBER(P642),ISNUMBER(A642)),IF(AND(A642&gt;=Dashboard!$Q$3,A642&lt;=Dashboard!$Q$4,OR(J642&lt;&gt;"Yes",Dashboard!$Q$15="Yes")),P642,""),"")</f>
        <v/>
      </c>
    </row>
    <row r="643">
      <c r="A643" s="47" t="n"/>
      <c r="B643" s="48" t="n"/>
      <c r="C643" s="48" t="n"/>
      <c r="D643" s="48" t="n"/>
      <c r="E643" s="48" t="n"/>
      <c r="F643" s="48" t="n"/>
      <c r="G643" s="48" t="n"/>
      <c r="H643" s="48" t="n"/>
      <c r="I643" s="49" t="n"/>
      <c r="J643" s="50" t="n"/>
      <c r="K643" s="48" t="n"/>
      <c r="L643" s="51">
        <f>IF(A643="","",DATE(YEAR(A643),MONTH(A643),1))</f>
        <v/>
      </c>
      <c r="M643" s="52">
        <f>IF(OR(A643="",NOT(ISNUMBER(I643))),"",IF(G643=Lists!$B$5,I643/2,IF(G643=Lists!$B$6,I643,0)))</f>
        <v/>
      </c>
      <c r="N643" s="52">
        <f>IF(OR(A643="",NOT(ISNUMBER(I643))),"",IF(G643=Lists!$B$5,I643/2,IF(G643=Lists!$B$7,I643,0)))</f>
        <v/>
      </c>
      <c r="O643" s="53">
        <f>IF(COUNTA(A643:K643)=0,"",IF(OR(A643="",B643="",C643="",D643="",E643="",F643="",G643="",NOT(ISNUMBER(I643))),"Incomplete",IF(COUNTIF(Lists!$H$4:$AA$4,C643)=0,"Check category",IF(COUNTIF(INDEX(Lists!$H$6:$AA$45,0,MATCH(C643,Lists!$H$4:$AA$4,0)),D643)=0,"Check sub-category","OK"))))</f>
        <v/>
      </c>
      <c r="P643">
        <f>IF(ISNUMBER(I643),I643+ROW()/10000000,"")</f>
        <v/>
      </c>
      <c r="Q643">
        <f>IF(AND(ISNUMBER(P643),ISNUMBER(A643)),IF(AND(A643&gt;=Dashboard!$Q$3,A643&lt;=Dashboard!$Q$4,OR(J643&lt;&gt;"Yes",Dashboard!$Q$15="Yes")),P643,""),"")</f>
        <v/>
      </c>
    </row>
    <row r="644">
      <c r="A644" s="47" t="n"/>
      <c r="B644" s="48" t="n"/>
      <c r="C644" s="48" t="n"/>
      <c r="D644" s="48" t="n"/>
      <c r="E644" s="48" t="n"/>
      <c r="F644" s="48" t="n"/>
      <c r="G644" s="48" t="n"/>
      <c r="H644" s="48" t="n"/>
      <c r="I644" s="49" t="n"/>
      <c r="J644" s="50" t="n"/>
      <c r="K644" s="48" t="n"/>
      <c r="L644" s="51">
        <f>IF(A644="","",DATE(YEAR(A644),MONTH(A644),1))</f>
        <v/>
      </c>
      <c r="M644" s="52">
        <f>IF(OR(A644="",NOT(ISNUMBER(I644))),"",IF(G644=Lists!$B$5,I644/2,IF(G644=Lists!$B$6,I644,0)))</f>
        <v/>
      </c>
      <c r="N644" s="52">
        <f>IF(OR(A644="",NOT(ISNUMBER(I644))),"",IF(G644=Lists!$B$5,I644/2,IF(G644=Lists!$B$7,I644,0)))</f>
        <v/>
      </c>
      <c r="O644" s="53">
        <f>IF(COUNTA(A644:K644)=0,"",IF(OR(A644="",B644="",C644="",D644="",E644="",F644="",G644="",NOT(ISNUMBER(I644))),"Incomplete",IF(COUNTIF(Lists!$H$4:$AA$4,C644)=0,"Check category",IF(COUNTIF(INDEX(Lists!$H$6:$AA$45,0,MATCH(C644,Lists!$H$4:$AA$4,0)),D644)=0,"Check sub-category","OK"))))</f>
        <v/>
      </c>
      <c r="P644">
        <f>IF(ISNUMBER(I644),I644+ROW()/10000000,"")</f>
        <v/>
      </c>
      <c r="Q644">
        <f>IF(AND(ISNUMBER(P644),ISNUMBER(A644)),IF(AND(A644&gt;=Dashboard!$Q$3,A644&lt;=Dashboard!$Q$4,OR(J644&lt;&gt;"Yes",Dashboard!$Q$15="Yes")),P644,""),"")</f>
        <v/>
      </c>
    </row>
    <row r="645">
      <c r="A645" s="47" t="n"/>
      <c r="B645" s="48" t="n"/>
      <c r="C645" s="48" t="n"/>
      <c r="D645" s="48" t="n"/>
      <c r="E645" s="48" t="n"/>
      <c r="F645" s="48" t="n"/>
      <c r="G645" s="48" t="n"/>
      <c r="H645" s="48" t="n"/>
      <c r="I645" s="49" t="n"/>
      <c r="J645" s="50" t="n"/>
      <c r="K645" s="48" t="n"/>
      <c r="L645" s="51">
        <f>IF(A645="","",DATE(YEAR(A645),MONTH(A645),1))</f>
        <v/>
      </c>
      <c r="M645" s="52">
        <f>IF(OR(A645="",NOT(ISNUMBER(I645))),"",IF(G645=Lists!$B$5,I645/2,IF(G645=Lists!$B$6,I645,0)))</f>
        <v/>
      </c>
      <c r="N645" s="52">
        <f>IF(OR(A645="",NOT(ISNUMBER(I645))),"",IF(G645=Lists!$B$5,I645/2,IF(G645=Lists!$B$7,I645,0)))</f>
        <v/>
      </c>
      <c r="O645" s="53">
        <f>IF(COUNTA(A645:K645)=0,"",IF(OR(A645="",B645="",C645="",D645="",E645="",F645="",G645="",NOT(ISNUMBER(I645))),"Incomplete",IF(COUNTIF(Lists!$H$4:$AA$4,C645)=0,"Check category",IF(COUNTIF(INDEX(Lists!$H$6:$AA$45,0,MATCH(C645,Lists!$H$4:$AA$4,0)),D645)=0,"Check sub-category","OK"))))</f>
        <v/>
      </c>
      <c r="P645">
        <f>IF(ISNUMBER(I645),I645+ROW()/10000000,"")</f>
        <v/>
      </c>
      <c r="Q645">
        <f>IF(AND(ISNUMBER(P645),ISNUMBER(A645)),IF(AND(A645&gt;=Dashboard!$Q$3,A645&lt;=Dashboard!$Q$4,OR(J645&lt;&gt;"Yes",Dashboard!$Q$15="Yes")),P645,""),"")</f>
        <v/>
      </c>
    </row>
    <row r="646">
      <c r="A646" s="47" t="n"/>
      <c r="B646" s="48" t="n"/>
      <c r="C646" s="48" t="n"/>
      <c r="D646" s="48" t="n"/>
      <c r="E646" s="48" t="n"/>
      <c r="F646" s="48" t="n"/>
      <c r="G646" s="48" t="n"/>
      <c r="H646" s="48" t="n"/>
      <c r="I646" s="49" t="n"/>
      <c r="J646" s="50" t="n"/>
      <c r="K646" s="48" t="n"/>
      <c r="L646" s="51">
        <f>IF(A646="","",DATE(YEAR(A646),MONTH(A646),1))</f>
        <v/>
      </c>
      <c r="M646" s="52">
        <f>IF(OR(A646="",NOT(ISNUMBER(I646))),"",IF(G646=Lists!$B$5,I646/2,IF(G646=Lists!$B$6,I646,0)))</f>
        <v/>
      </c>
      <c r="N646" s="52">
        <f>IF(OR(A646="",NOT(ISNUMBER(I646))),"",IF(G646=Lists!$B$5,I646/2,IF(G646=Lists!$B$7,I646,0)))</f>
        <v/>
      </c>
      <c r="O646" s="53">
        <f>IF(COUNTA(A646:K646)=0,"",IF(OR(A646="",B646="",C646="",D646="",E646="",F646="",G646="",NOT(ISNUMBER(I646))),"Incomplete",IF(COUNTIF(Lists!$H$4:$AA$4,C646)=0,"Check category",IF(COUNTIF(INDEX(Lists!$H$6:$AA$45,0,MATCH(C646,Lists!$H$4:$AA$4,0)),D646)=0,"Check sub-category","OK"))))</f>
        <v/>
      </c>
      <c r="P646">
        <f>IF(ISNUMBER(I646),I646+ROW()/10000000,"")</f>
        <v/>
      </c>
      <c r="Q646">
        <f>IF(AND(ISNUMBER(P646),ISNUMBER(A646)),IF(AND(A646&gt;=Dashboard!$Q$3,A646&lt;=Dashboard!$Q$4,OR(J646&lt;&gt;"Yes",Dashboard!$Q$15="Yes")),P646,""),"")</f>
        <v/>
      </c>
    </row>
    <row r="647">
      <c r="A647" s="47" t="n"/>
      <c r="B647" s="48" t="n"/>
      <c r="C647" s="48" t="n"/>
      <c r="D647" s="48" t="n"/>
      <c r="E647" s="48" t="n"/>
      <c r="F647" s="48" t="n"/>
      <c r="G647" s="48" t="n"/>
      <c r="H647" s="48" t="n"/>
      <c r="I647" s="49" t="n"/>
      <c r="J647" s="50" t="n"/>
      <c r="K647" s="48" t="n"/>
      <c r="L647" s="51">
        <f>IF(A647="","",DATE(YEAR(A647),MONTH(A647),1))</f>
        <v/>
      </c>
      <c r="M647" s="52">
        <f>IF(OR(A647="",NOT(ISNUMBER(I647))),"",IF(G647=Lists!$B$5,I647/2,IF(G647=Lists!$B$6,I647,0)))</f>
        <v/>
      </c>
      <c r="N647" s="52">
        <f>IF(OR(A647="",NOT(ISNUMBER(I647))),"",IF(G647=Lists!$B$5,I647/2,IF(G647=Lists!$B$7,I647,0)))</f>
        <v/>
      </c>
      <c r="O647" s="53">
        <f>IF(COUNTA(A647:K647)=0,"",IF(OR(A647="",B647="",C647="",D647="",E647="",F647="",G647="",NOT(ISNUMBER(I647))),"Incomplete",IF(COUNTIF(Lists!$H$4:$AA$4,C647)=0,"Check category",IF(COUNTIF(INDEX(Lists!$H$6:$AA$45,0,MATCH(C647,Lists!$H$4:$AA$4,0)),D647)=0,"Check sub-category","OK"))))</f>
        <v/>
      </c>
      <c r="P647">
        <f>IF(ISNUMBER(I647),I647+ROW()/10000000,"")</f>
        <v/>
      </c>
      <c r="Q647">
        <f>IF(AND(ISNUMBER(P647),ISNUMBER(A647)),IF(AND(A647&gt;=Dashboard!$Q$3,A647&lt;=Dashboard!$Q$4,OR(J647&lt;&gt;"Yes",Dashboard!$Q$15="Yes")),P647,""),"")</f>
        <v/>
      </c>
    </row>
    <row r="648">
      <c r="A648" s="47" t="n"/>
      <c r="B648" s="48" t="n"/>
      <c r="C648" s="48" t="n"/>
      <c r="D648" s="48" t="n"/>
      <c r="E648" s="48" t="n"/>
      <c r="F648" s="48" t="n"/>
      <c r="G648" s="48" t="n"/>
      <c r="H648" s="48" t="n"/>
      <c r="I648" s="49" t="n"/>
      <c r="J648" s="50" t="n"/>
      <c r="K648" s="48" t="n"/>
      <c r="L648" s="51">
        <f>IF(A648="","",DATE(YEAR(A648),MONTH(A648),1))</f>
        <v/>
      </c>
      <c r="M648" s="52">
        <f>IF(OR(A648="",NOT(ISNUMBER(I648))),"",IF(G648=Lists!$B$5,I648/2,IF(G648=Lists!$B$6,I648,0)))</f>
        <v/>
      </c>
      <c r="N648" s="52">
        <f>IF(OR(A648="",NOT(ISNUMBER(I648))),"",IF(G648=Lists!$B$5,I648/2,IF(G648=Lists!$B$7,I648,0)))</f>
        <v/>
      </c>
      <c r="O648" s="53">
        <f>IF(COUNTA(A648:K648)=0,"",IF(OR(A648="",B648="",C648="",D648="",E648="",F648="",G648="",NOT(ISNUMBER(I648))),"Incomplete",IF(COUNTIF(Lists!$H$4:$AA$4,C648)=0,"Check category",IF(COUNTIF(INDEX(Lists!$H$6:$AA$45,0,MATCH(C648,Lists!$H$4:$AA$4,0)),D648)=0,"Check sub-category","OK"))))</f>
        <v/>
      </c>
      <c r="P648">
        <f>IF(ISNUMBER(I648),I648+ROW()/10000000,"")</f>
        <v/>
      </c>
      <c r="Q648">
        <f>IF(AND(ISNUMBER(P648),ISNUMBER(A648)),IF(AND(A648&gt;=Dashboard!$Q$3,A648&lt;=Dashboard!$Q$4,OR(J648&lt;&gt;"Yes",Dashboard!$Q$15="Yes")),P648,""),"")</f>
        <v/>
      </c>
    </row>
    <row r="649">
      <c r="A649" s="47" t="n"/>
      <c r="B649" s="48" t="n"/>
      <c r="C649" s="48" t="n"/>
      <c r="D649" s="48" t="n"/>
      <c r="E649" s="48" t="n"/>
      <c r="F649" s="48" t="n"/>
      <c r="G649" s="48" t="n"/>
      <c r="H649" s="48" t="n"/>
      <c r="I649" s="49" t="n"/>
      <c r="J649" s="50" t="n"/>
      <c r="K649" s="48" t="n"/>
      <c r="L649" s="51">
        <f>IF(A649="","",DATE(YEAR(A649),MONTH(A649),1))</f>
        <v/>
      </c>
      <c r="M649" s="52">
        <f>IF(OR(A649="",NOT(ISNUMBER(I649))),"",IF(G649=Lists!$B$5,I649/2,IF(G649=Lists!$B$6,I649,0)))</f>
        <v/>
      </c>
      <c r="N649" s="52">
        <f>IF(OR(A649="",NOT(ISNUMBER(I649))),"",IF(G649=Lists!$B$5,I649/2,IF(G649=Lists!$B$7,I649,0)))</f>
        <v/>
      </c>
      <c r="O649" s="53">
        <f>IF(COUNTA(A649:K649)=0,"",IF(OR(A649="",B649="",C649="",D649="",E649="",F649="",G649="",NOT(ISNUMBER(I649))),"Incomplete",IF(COUNTIF(Lists!$H$4:$AA$4,C649)=0,"Check category",IF(COUNTIF(INDEX(Lists!$H$6:$AA$45,0,MATCH(C649,Lists!$H$4:$AA$4,0)),D649)=0,"Check sub-category","OK"))))</f>
        <v/>
      </c>
      <c r="P649">
        <f>IF(ISNUMBER(I649),I649+ROW()/10000000,"")</f>
        <v/>
      </c>
      <c r="Q649">
        <f>IF(AND(ISNUMBER(P649),ISNUMBER(A649)),IF(AND(A649&gt;=Dashboard!$Q$3,A649&lt;=Dashboard!$Q$4,OR(J649&lt;&gt;"Yes",Dashboard!$Q$15="Yes")),P649,""),"")</f>
        <v/>
      </c>
    </row>
    <row r="650">
      <c r="A650" s="47" t="n"/>
      <c r="B650" s="48" t="n"/>
      <c r="C650" s="48" t="n"/>
      <c r="D650" s="48" t="n"/>
      <c r="E650" s="48" t="n"/>
      <c r="F650" s="48" t="n"/>
      <c r="G650" s="48" t="n"/>
      <c r="H650" s="48" t="n"/>
      <c r="I650" s="49" t="n"/>
      <c r="J650" s="50" t="n"/>
      <c r="K650" s="48" t="n"/>
      <c r="L650" s="51">
        <f>IF(A650="","",DATE(YEAR(A650),MONTH(A650),1))</f>
        <v/>
      </c>
      <c r="M650" s="52">
        <f>IF(OR(A650="",NOT(ISNUMBER(I650))),"",IF(G650=Lists!$B$5,I650/2,IF(G650=Lists!$B$6,I650,0)))</f>
        <v/>
      </c>
      <c r="N650" s="52">
        <f>IF(OR(A650="",NOT(ISNUMBER(I650))),"",IF(G650=Lists!$B$5,I650/2,IF(G650=Lists!$B$7,I650,0)))</f>
        <v/>
      </c>
      <c r="O650" s="53">
        <f>IF(COUNTA(A650:K650)=0,"",IF(OR(A650="",B650="",C650="",D650="",E650="",F650="",G650="",NOT(ISNUMBER(I650))),"Incomplete",IF(COUNTIF(Lists!$H$4:$AA$4,C650)=0,"Check category",IF(COUNTIF(INDEX(Lists!$H$6:$AA$45,0,MATCH(C650,Lists!$H$4:$AA$4,0)),D650)=0,"Check sub-category","OK"))))</f>
        <v/>
      </c>
      <c r="P650">
        <f>IF(ISNUMBER(I650),I650+ROW()/10000000,"")</f>
        <v/>
      </c>
      <c r="Q650">
        <f>IF(AND(ISNUMBER(P650),ISNUMBER(A650)),IF(AND(A650&gt;=Dashboard!$Q$3,A650&lt;=Dashboard!$Q$4,OR(J650&lt;&gt;"Yes",Dashboard!$Q$15="Yes")),P650,""),"")</f>
        <v/>
      </c>
    </row>
    <row r="651">
      <c r="A651" s="47" t="n"/>
      <c r="B651" s="48" t="n"/>
      <c r="C651" s="48" t="n"/>
      <c r="D651" s="48" t="n"/>
      <c r="E651" s="48" t="n"/>
      <c r="F651" s="48" t="n"/>
      <c r="G651" s="48" t="n"/>
      <c r="H651" s="48" t="n"/>
      <c r="I651" s="49" t="n"/>
      <c r="J651" s="50" t="n"/>
      <c r="K651" s="48" t="n"/>
      <c r="L651" s="51">
        <f>IF(A651="","",DATE(YEAR(A651),MONTH(A651),1))</f>
        <v/>
      </c>
      <c r="M651" s="52">
        <f>IF(OR(A651="",NOT(ISNUMBER(I651))),"",IF(G651=Lists!$B$5,I651/2,IF(G651=Lists!$B$6,I651,0)))</f>
        <v/>
      </c>
      <c r="N651" s="52">
        <f>IF(OR(A651="",NOT(ISNUMBER(I651))),"",IF(G651=Lists!$B$5,I651/2,IF(G651=Lists!$B$7,I651,0)))</f>
        <v/>
      </c>
      <c r="O651" s="53">
        <f>IF(COUNTA(A651:K651)=0,"",IF(OR(A651="",B651="",C651="",D651="",E651="",F651="",G651="",NOT(ISNUMBER(I651))),"Incomplete",IF(COUNTIF(Lists!$H$4:$AA$4,C651)=0,"Check category",IF(COUNTIF(INDEX(Lists!$H$6:$AA$45,0,MATCH(C651,Lists!$H$4:$AA$4,0)),D651)=0,"Check sub-category","OK"))))</f>
        <v/>
      </c>
      <c r="P651">
        <f>IF(ISNUMBER(I651),I651+ROW()/10000000,"")</f>
        <v/>
      </c>
      <c r="Q651">
        <f>IF(AND(ISNUMBER(P651),ISNUMBER(A651)),IF(AND(A651&gt;=Dashboard!$Q$3,A651&lt;=Dashboard!$Q$4,OR(J651&lt;&gt;"Yes",Dashboard!$Q$15="Yes")),P651,""),"")</f>
        <v/>
      </c>
    </row>
    <row r="652">
      <c r="A652" s="47" t="n"/>
      <c r="B652" s="48" t="n"/>
      <c r="C652" s="48" t="n"/>
      <c r="D652" s="48" t="n"/>
      <c r="E652" s="48" t="n"/>
      <c r="F652" s="48" t="n"/>
      <c r="G652" s="48" t="n"/>
      <c r="H652" s="48" t="n"/>
      <c r="I652" s="49" t="n"/>
      <c r="J652" s="50" t="n"/>
      <c r="K652" s="48" t="n"/>
      <c r="L652" s="51">
        <f>IF(A652="","",DATE(YEAR(A652),MONTH(A652),1))</f>
        <v/>
      </c>
      <c r="M652" s="52">
        <f>IF(OR(A652="",NOT(ISNUMBER(I652))),"",IF(G652=Lists!$B$5,I652/2,IF(G652=Lists!$B$6,I652,0)))</f>
        <v/>
      </c>
      <c r="N652" s="52">
        <f>IF(OR(A652="",NOT(ISNUMBER(I652))),"",IF(G652=Lists!$B$5,I652/2,IF(G652=Lists!$B$7,I652,0)))</f>
        <v/>
      </c>
      <c r="O652" s="53">
        <f>IF(COUNTA(A652:K652)=0,"",IF(OR(A652="",B652="",C652="",D652="",E652="",F652="",G652="",NOT(ISNUMBER(I652))),"Incomplete",IF(COUNTIF(Lists!$H$4:$AA$4,C652)=0,"Check category",IF(COUNTIF(INDEX(Lists!$H$6:$AA$45,0,MATCH(C652,Lists!$H$4:$AA$4,0)),D652)=0,"Check sub-category","OK"))))</f>
        <v/>
      </c>
      <c r="P652">
        <f>IF(ISNUMBER(I652),I652+ROW()/10000000,"")</f>
        <v/>
      </c>
      <c r="Q652">
        <f>IF(AND(ISNUMBER(P652),ISNUMBER(A652)),IF(AND(A652&gt;=Dashboard!$Q$3,A652&lt;=Dashboard!$Q$4,OR(J652&lt;&gt;"Yes",Dashboard!$Q$15="Yes")),P652,""),"")</f>
        <v/>
      </c>
    </row>
    <row r="653">
      <c r="A653" s="47" t="n"/>
      <c r="B653" s="48" t="n"/>
      <c r="C653" s="48" t="n"/>
      <c r="D653" s="48" t="n"/>
      <c r="E653" s="48" t="n"/>
      <c r="F653" s="48" t="n"/>
      <c r="G653" s="48" t="n"/>
      <c r="H653" s="48" t="n"/>
      <c r="I653" s="49" t="n"/>
      <c r="J653" s="50" t="n"/>
      <c r="K653" s="48" t="n"/>
      <c r="L653" s="51">
        <f>IF(A653="","",DATE(YEAR(A653),MONTH(A653),1))</f>
        <v/>
      </c>
      <c r="M653" s="52">
        <f>IF(OR(A653="",NOT(ISNUMBER(I653))),"",IF(G653=Lists!$B$5,I653/2,IF(G653=Lists!$B$6,I653,0)))</f>
        <v/>
      </c>
      <c r="N653" s="52">
        <f>IF(OR(A653="",NOT(ISNUMBER(I653))),"",IF(G653=Lists!$B$5,I653/2,IF(G653=Lists!$B$7,I653,0)))</f>
        <v/>
      </c>
      <c r="O653" s="53">
        <f>IF(COUNTA(A653:K653)=0,"",IF(OR(A653="",B653="",C653="",D653="",E653="",F653="",G653="",NOT(ISNUMBER(I653))),"Incomplete",IF(COUNTIF(Lists!$H$4:$AA$4,C653)=0,"Check category",IF(COUNTIF(INDEX(Lists!$H$6:$AA$45,0,MATCH(C653,Lists!$H$4:$AA$4,0)),D653)=0,"Check sub-category","OK"))))</f>
        <v/>
      </c>
      <c r="P653">
        <f>IF(ISNUMBER(I653),I653+ROW()/10000000,"")</f>
        <v/>
      </c>
      <c r="Q653">
        <f>IF(AND(ISNUMBER(P653),ISNUMBER(A653)),IF(AND(A653&gt;=Dashboard!$Q$3,A653&lt;=Dashboard!$Q$4,OR(J653&lt;&gt;"Yes",Dashboard!$Q$15="Yes")),P653,""),"")</f>
        <v/>
      </c>
    </row>
    <row r="654">
      <c r="A654" s="47" t="n"/>
      <c r="B654" s="48" t="n"/>
      <c r="C654" s="48" t="n"/>
      <c r="D654" s="48" t="n"/>
      <c r="E654" s="48" t="n"/>
      <c r="F654" s="48" t="n"/>
      <c r="G654" s="48" t="n"/>
      <c r="H654" s="48" t="n"/>
      <c r="I654" s="49" t="n"/>
      <c r="J654" s="50" t="n"/>
      <c r="K654" s="48" t="n"/>
      <c r="L654" s="51">
        <f>IF(A654="","",DATE(YEAR(A654),MONTH(A654),1))</f>
        <v/>
      </c>
      <c r="M654" s="52">
        <f>IF(OR(A654="",NOT(ISNUMBER(I654))),"",IF(G654=Lists!$B$5,I654/2,IF(G654=Lists!$B$6,I654,0)))</f>
        <v/>
      </c>
      <c r="N654" s="52">
        <f>IF(OR(A654="",NOT(ISNUMBER(I654))),"",IF(G654=Lists!$B$5,I654/2,IF(G654=Lists!$B$7,I654,0)))</f>
        <v/>
      </c>
      <c r="O654" s="53">
        <f>IF(COUNTA(A654:K654)=0,"",IF(OR(A654="",B654="",C654="",D654="",E654="",F654="",G654="",NOT(ISNUMBER(I654))),"Incomplete",IF(COUNTIF(Lists!$H$4:$AA$4,C654)=0,"Check category",IF(COUNTIF(INDEX(Lists!$H$6:$AA$45,0,MATCH(C654,Lists!$H$4:$AA$4,0)),D654)=0,"Check sub-category","OK"))))</f>
        <v/>
      </c>
      <c r="P654">
        <f>IF(ISNUMBER(I654),I654+ROW()/10000000,"")</f>
        <v/>
      </c>
      <c r="Q654">
        <f>IF(AND(ISNUMBER(P654),ISNUMBER(A654)),IF(AND(A654&gt;=Dashboard!$Q$3,A654&lt;=Dashboard!$Q$4,OR(J654&lt;&gt;"Yes",Dashboard!$Q$15="Yes")),P654,""),"")</f>
        <v/>
      </c>
    </row>
    <row r="655">
      <c r="A655" s="47" t="n"/>
      <c r="B655" s="48" t="n"/>
      <c r="C655" s="48" t="n"/>
      <c r="D655" s="48" t="n"/>
      <c r="E655" s="48" t="n"/>
      <c r="F655" s="48" t="n"/>
      <c r="G655" s="48" t="n"/>
      <c r="H655" s="48" t="n"/>
      <c r="I655" s="49" t="n"/>
      <c r="J655" s="50" t="n"/>
      <c r="K655" s="48" t="n"/>
      <c r="L655" s="51">
        <f>IF(A655="","",DATE(YEAR(A655),MONTH(A655),1))</f>
        <v/>
      </c>
      <c r="M655" s="52">
        <f>IF(OR(A655="",NOT(ISNUMBER(I655))),"",IF(G655=Lists!$B$5,I655/2,IF(G655=Lists!$B$6,I655,0)))</f>
        <v/>
      </c>
      <c r="N655" s="52">
        <f>IF(OR(A655="",NOT(ISNUMBER(I655))),"",IF(G655=Lists!$B$5,I655/2,IF(G655=Lists!$B$7,I655,0)))</f>
        <v/>
      </c>
      <c r="O655" s="53">
        <f>IF(COUNTA(A655:K655)=0,"",IF(OR(A655="",B655="",C655="",D655="",E655="",F655="",G655="",NOT(ISNUMBER(I655))),"Incomplete",IF(COUNTIF(Lists!$H$4:$AA$4,C655)=0,"Check category",IF(COUNTIF(INDEX(Lists!$H$6:$AA$45,0,MATCH(C655,Lists!$H$4:$AA$4,0)),D655)=0,"Check sub-category","OK"))))</f>
        <v/>
      </c>
      <c r="P655">
        <f>IF(ISNUMBER(I655),I655+ROW()/10000000,"")</f>
        <v/>
      </c>
      <c r="Q655">
        <f>IF(AND(ISNUMBER(P655),ISNUMBER(A655)),IF(AND(A655&gt;=Dashboard!$Q$3,A655&lt;=Dashboard!$Q$4,OR(J655&lt;&gt;"Yes",Dashboard!$Q$15="Yes")),P655,""),"")</f>
        <v/>
      </c>
    </row>
    <row r="656">
      <c r="A656" s="47" t="n"/>
      <c r="B656" s="48" t="n"/>
      <c r="C656" s="48" t="n"/>
      <c r="D656" s="48" t="n"/>
      <c r="E656" s="48" t="n"/>
      <c r="F656" s="48" t="n"/>
      <c r="G656" s="48" t="n"/>
      <c r="H656" s="48" t="n"/>
      <c r="I656" s="49" t="n"/>
      <c r="J656" s="50" t="n"/>
      <c r="K656" s="48" t="n"/>
      <c r="L656" s="51">
        <f>IF(A656="","",DATE(YEAR(A656),MONTH(A656),1))</f>
        <v/>
      </c>
      <c r="M656" s="52">
        <f>IF(OR(A656="",NOT(ISNUMBER(I656))),"",IF(G656=Lists!$B$5,I656/2,IF(G656=Lists!$B$6,I656,0)))</f>
        <v/>
      </c>
      <c r="N656" s="52">
        <f>IF(OR(A656="",NOT(ISNUMBER(I656))),"",IF(G656=Lists!$B$5,I656/2,IF(G656=Lists!$B$7,I656,0)))</f>
        <v/>
      </c>
      <c r="O656" s="53">
        <f>IF(COUNTA(A656:K656)=0,"",IF(OR(A656="",B656="",C656="",D656="",E656="",F656="",G656="",NOT(ISNUMBER(I656))),"Incomplete",IF(COUNTIF(Lists!$H$4:$AA$4,C656)=0,"Check category",IF(COUNTIF(INDEX(Lists!$H$6:$AA$45,0,MATCH(C656,Lists!$H$4:$AA$4,0)),D656)=0,"Check sub-category","OK"))))</f>
        <v/>
      </c>
      <c r="P656">
        <f>IF(ISNUMBER(I656),I656+ROW()/10000000,"")</f>
        <v/>
      </c>
      <c r="Q656">
        <f>IF(AND(ISNUMBER(P656),ISNUMBER(A656)),IF(AND(A656&gt;=Dashboard!$Q$3,A656&lt;=Dashboard!$Q$4,OR(J656&lt;&gt;"Yes",Dashboard!$Q$15="Yes")),P656,""),"")</f>
        <v/>
      </c>
    </row>
    <row r="657">
      <c r="A657" s="47" t="n"/>
      <c r="B657" s="48" t="n"/>
      <c r="C657" s="48" t="n"/>
      <c r="D657" s="48" t="n"/>
      <c r="E657" s="48" t="n"/>
      <c r="F657" s="48" t="n"/>
      <c r="G657" s="48" t="n"/>
      <c r="H657" s="48" t="n"/>
      <c r="I657" s="49" t="n"/>
      <c r="J657" s="50" t="n"/>
      <c r="K657" s="48" t="n"/>
      <c r="L657" s="51">
        <f>IF(A657="","",DATE(YEAR(A657),MONTH(A657),1))</f>
        <v/>
      </c>
      <c r="M657" s="52">
        <f>IF(OR(A657="",NOT(ISNUMBER(I657))),"",IF(G657=Lists!$B$5,I657/2,IF(G657=Lists!$B$6,I657,0)))</f>
        <v/>
      </c>
      <c r="N657" s="52">
        <f>IF(OR(A657="",NOT(ISNUMBER(I657))),"",IF(G657=Lists!$B$5,I657/2,IF(G657=Lists!$B$7,I657,0)))</f>
        <v/>
      </c>
      <c r="O657" s="53">
        <f>IF(COUNTA(A657:K657)=0,"",IF(OR(A657="",B657="",C657="",D657="",E657="",F657="",G657="",NOT(ISNUMBER(I657))),"Incomplete",IF(COUNTIF(Lists!$H$4:$AA$4,C657)=0,"Check category",IF(COUNTIF(INDEX(Lists!$H$6:$AA$45,0,MATCH(C657,Lists!$H$4:$AA$4,0)),D657)=0,"Check sub-category","OK"))))</f>
        <v/>
      </c>
      <c r="P657">
        <f>IF(ISNUMBER(I657),I657+ROW()/10000000,"")</f>
        <v/>
      </c>
      <c r="Q657">
        <f>IF(AND(ISNUMBER(P657),ISNUMBER(A657)),IF(AND(A657&gt;=Dashboard!$Q$3,A657&lt;=Dashboard!$Q$4,OR(J657&lt;&gt;"Yes",Dashboard!$Q$15="Yes")),P657,""),"")</f>
        <v/>
      </c>
    </row>
    <row r="658">
      <c r="A658" s="47" t="n"/>
      <c r="B658" s="48" t="n"/>
      <c r="C658" s="48" t="n"/>
      <c r="D658" s="48" t="n"/>
      <c r="E658" s="48" t="n"/>
      <c r="F658" s="48" t="n"/>
      <c r="G658" s="48" t="n"/>
      <c r="H658" s="48" t="n"/>
      <c r="I658" s="49" t="n"/>
      <c r="J658" s="50" t="n"/>
      <c r="K658" s="48" t="n"/>
      <c r="L658" s="51">
        <f>IF(A658="","",DATE(YEAR(A658),MONTH(A658),1))</f>
        <v/>
      </c>
      <c r="M658" s="52">
        <f>IF(OR(A658="",NOT(ISNUMBER(I658))),"",IF(G658=Lists!$B$5,I658/2,IF(G658=Lists!$B$6,I658,0)))</f>
        <v/>
      </c>
      <c r="N658" s="52">
        <f>IF(OR(A658="",NOT(ISNUMBER(I658))),"",IF(G658=Lists!$B$5,I658/2,IF(G658=Lists!$B$7,I658,0)))</f>
        <v/>
      </c>
      <c r="O658" s="53">
        <f>IF(COUNTA(A658:K658)=0,"",IF(OR(A658="",B658="",C658="",D658="",E658="",F658="",G658="",NOT(ISNUMBER(I658))),"Incomplete",IF(COUNTIF(Lists!$H$4:$AA$4,C658)=0,"Check category",IF(COUNTIF(INDEX(Lists!$H$6:$AA$45,0,MATCH(C658,Lists!$H$4:$AA$4,0)),D658)=0,"Check sub-category","OK"))))</f>
        <v/>
      </c>
      <c r="P658">
        <f>IF(ISNUMBER(I658),I658+ROW()/10000000,"")</f>
        <v/>
      </c>
      <c r="Q658">
        <f>IF(AND(ISNUMBER(P658),ISNUMBER(A658)),IF(AND(A658&gt;=Dashboard!$Q$3,A658&lt;=Dashboard!$Q$4,OR(J658&lt;&gt;"Yes",Dashboard!$Q$15="Yes")),P658,""),"")</f>
        <v/>
      </c>
    </row>
    <row r="659">
      <c r="A659" s="47" t="n"/>
      <c r="B659" s="48" t="n"/>
      <c r="C659" s="48" t="n"/>
      <c r="D659" s="48" t="n"/>
      <c r="E659" s="48" t="n"/>
      <c r="F659" s="48" t="n"/>
      <c r="G659" s="48" t="n"/>
      <c r="H659" s="48" t="n"/>
      <c r="I659" s="49" t="n"/>
      <c r="J659" s="50" t="n"/>
      <c r="K659" s="48" t="n"/>
      <c r="L659" s="51">
        <f>IF(A659="","",DATE(YEAR(A659),MONTH(A659),1))</f>
        <v/>
      </c>
      <c r="M659" s="52">
        <f>IF(OR(A659="",NOT(ISNUMBER(I659))),"",IF(G659=Lists!$B$5,I659/2,IF(G659=Lists!$B$6,I659,0)))</f>
        <v/>
      </c>
      <c r="N659" s="52">
        <f>IF(OR(A659="",NOT(ISNUMBER(I659))),"",IF(G659=Lists!$B$5,I659/2,IF(G659=Lists!$B$7,I659,0)))</f>
        <v/>
      </c>
      <c r="O659" s="53">
        <f>IF(COUNTA(A659:K659)=0,"",IF(OR(A659="",B659="",C659="",D659="",E659="",F659="",G659="",NOT(ISNUMBER(I659))),"Incomplete",IF(COUNTIF(Lists!$H$4:$AA$4,C659)=0,"Check category",IF(COUNTIF(INDEX(Lists!$H$6:$AA$45,0,MATCH(C659,Lists!$H$4:$AA$4,0)),D659)=0,"Check sub-category","OK"))))</f>
        <v/>
      </c>
      <c r="P659">
        <f>IF(ISNUMBER(I659),I659+ROW()/10000000,"")</f>
        <v/>
      </c>
      <c r="Q659">
        <f>IF(AND(ISNUMBER(P659),ISNUMBER(A659)),IF(AND(A659&gt;=Dashboard!$Q$3,A659&lt;=Dashboard!$Q$4,OR(J659&lt;&gt;"Yes",Dashboard!$Q$15="Yes")),P659,""),"")</f>
        <v/>
      </c>
    </row>
    <row r="660">
      <c r="A660" s="47" t="n"/>
      <c r="B660" s="48" t="n"/>
      <c r="C660" s="48" t="n"/>
      <c r="D660" s="48" t="n"/>
      <c r="E660" s="48" t="n"/>
      <c r="F660" s="48" t="n"/>
      <c r="G660" s="48" t="n"/>
      <c r="H660" s="48" t="n"/>
      <c r="I660" s="49" t="n"/>
      <c r="J660" s="50" t="n"/>
      <c r="K660" s="48" t="n"/>
      <c r="L660" s="51">
        <f>IF(A660="","",DATE(YEAR(A660),MONTH(A660),1))</f>
        <v/>
      </c>
      <c r="M660" s="52">
        <f>IF(OR(A660="",NOT(ISNUMBER(I660))),"",IF(G660=Lists!$B$5,I660/2,IF(G660=Lists!$B$6,I660,0)))</f>
        <v/>
      </c>
      <c r="N660" s="52">
        <f>IF(OR(A660="",NOT(ISNUMBER(I660))),"",IF(G660=Lists!$B$5,I660/2,IF(G660=Lists!$B$7,I660,0)))</f>
        <v/>
      </c>
      <c r="O660" s="53">
        <f>IF(COUNTA(A660:K660)=0,"",IF(OR(A660="",B660="",C660="",D660="",E660="",F660="",G660="",NOT(ISNUMBER(I660))),"Incomplete",IF(COUNTIF(Lists!$H$4:$AA$4,C660)=0,"Check category",IF(COUNTIF(INDEX(Lists!$H$6:$AA$45,0,MATCH(C660,Lists!$H$4:$AA$4,0)),D660)=0,"Check sub-category","OK"))))</f>
        <v/>
      </c>
      <c r="P660">
        <f>IF(ISNUMBER(I660),I660+ROW()/10000000,"")</f>
        <v/>
      </c>
      <c r="Q660">
        <f>IF(AND(ISNUMBER(P660),ISNUMBER(A660)),IF(AND(A660&gt;=Dashboard!$Q$3,A660&lt;=Dashboard!$Q$4,OR(J660&lt;&gt;"Yes",Dashboard!$Q$15="Yes")),P660,""),"")</f>
        <v/>
      </c>
    </row>
    <row r="661">
      <c r="A661" s="47" t="n"/>
      <c r="B661" s="48" t="n"/>
      <c r="C661" s="48" t="n"/>
      <c r="D661" s="48" t="n"/>
      <c r="E661" s="48" t="n"/>
      <c r="F661" s="48" t="n"/>
      <c r="G661" s="48" t="n"/>
      <c r="H661" s="48" t="n"/>
      <c r="I661" s="49" t="n"/>
      <c r="J661" s="50" t="n"/>
      <c r="K661" s="48" t="n"/>
      <c r="L661" s="51">
        <f>IF(A661="","",DATE(YEAR(A661),MONTH(A661),1))</f>
        <v/>
      </c>
      <c r="M661" s="52">
        <f>IF(OR(A661="",NOT(ISNUMBER(I661))),"",IF(G661=Lists!$B$5,I661/2,IF(G661=Lists!$B$6,I661,0)))</f>
        <v/>
      </c>
      <c r="N661" s="52">
        <f>IF(OR(A661="",NOT(ISNUMBER(I661))),"",IF(G661=Lists!$B$5,I661/2,IF(G661=Lists!$B$7,I661,0)))</f>
        <v/>
      </c>
      <c r="O661" s="53">
        <f>IF(COUNTA(A661:K661)=0,"",IF(OR(A661="",B661="",C661="",D661="",E661="",F661="",G661="",NOT(ISNUMBER(I661))),"Incomplete",IF(COUNTIF(Lists!$H$4:$AA$4,C661)=0,"Check category",IF(COUNTIF(INDEX(Lists!$H$6:$AA$45,0,MATCH(C661,Lists!$H$4:$AA$4,0)),D661)=0,"Check sub-category","OK"))))</f>
        <v/>
      </c>
      <c r="P661">
        <f>IF(ISNUMBER(I661),I661+ROW()/10000000,"")</f>
        <v/>
      </c>
      <c r="Q661">
        <f>IF(AND(ISNUMBER(P661),ISNUMBER(A661)),IF(AND(A661&gt;=Dashboard!$Q$3,A661&lt;=Dashboard!$Q$4,OR(J661&lt;&gt;"Yes",Dashboard!$Q$15="Yes")),P661,""),"")</f>
        <v/>
      </c>
    </row>
    <row r="662">
      <c r="A662" s="47" t="n"/>
      <c r="B662" s="48" t="n"/>
      <c r="C662" s="48" t="n"/>
      <c r="D662" s="48" t="n"/>
      <c r="E662" s="48" t="n"/>
      <c r="F662" s="48" t="n"/>
      <c r="G662" s="48" t="n"/>
      <c r="H662" s="48" t="n"/>
      <c r="I662" s="49" t="n"/>
      <c r="J662" s="50" t="n"/>
      <c r="K662" s="48" t="n"/>
      <c r="L662" s="51">
        <f>IF(A662="","",DATE(YEAR(A662),MONTH(A662),1))</f>
        <v/>
      </c>
      <c r="M662" s="52">
        <f>IF(OR(A662="",NOT(ISNUMBER(I662))),"",IF(G662=Lists!$B$5,I662/2,IF(G662=Lists!$B$6,I662,0)))</f>
        <v/>
      </c>
      <c r="N662" s="52">
        <f>IF(OR(A662="",NOT(ISNUMBER(I662))),"",IF(G662=Lists!$B$5,I662/2,IF(G662=Lists!$B$7,I662,0)))</f>
        <v/>
      </c>
      <c r="O662" s="53">
        <f>IF(COUNTA(A662:K662)=0,"",IF(OR(A662="",B662="",C662="",D662="",E662="",F662="",G662="",NOT(ISNUMBER(I662))),"Incomplete",IF(COUNTIF(Lists!$H$4:$AA$4,C662)=0,"Check category",IF(COUNTIF(INDEX(Lists!$H$6:$AA$45,0,MATCH(C662,Lists!$H$4:$AA$4,0)),D662)=0,"Check sub-category","OK"))))</f>
        <v/>
      </c>
      <c r="P662">
        <f>IF(ISNUMBER(I662),I662+ROW()/10000000,"")</f>
        <v/>
      </c>
      <c r="Q662">
        <f>IF(AND(ISNUMBER(P662),ISNUMBER(A662)),IF(AND(A662&gt;=Dashboard!$Q$3,A662&lt;=Dashboard!$Q$4,OR(J662&lt;&gt;"Yes",Dashboard!$Q$15="Yes")),P662,""),"")</f>
        <v/>
      </c>
    </row>
    <row r="663">
      <c r="A663" s="47" t="n"/>
      <c r="B663" s="48" t="n"/>
      <c r="C663" s="48" t="n"/>
      <c r="D663" s="48" t="n"/>
      <c r="E663" s="48" t="n"/>
      <c r="F663" s="48" t="n"/>
      <c r="G663" s="48" t="n"/>
      <c r="H663" s="48" t="n"/>
      <c r="I663" s="49" t="n"/>
      <c r="J663" s="50" t="n"/>
      <c r="K663" s="48" t="n"/>
      <c r="L663" s="51">
        <f>IF(A663="","",DATE(YEAR(A663),MONTH(A663),1))</f>
        <v/>
      </c>
      <c r="M663" s="52">
        <f>IF(OR(A663="",NOT(ISNUMBER(I663))),"",IF(G663=Lists!$B$5,I663/2,IF(G663=Lists!$B$6,I663,0)))</f>
        <v/>
      </c>
      <c r="N663" s="52">
        <f>IF(OR(A663="",NOT(ISNUMBER(I663))),"",IF(G663=Lists!$B$5,I663/2,IF(G663=Lists!$B$7,I663,0)))</f>
        <v/>
      </c>
      <c r="O663" s="53">
        <f>IF(COUNTA(A663:K663)=0,"",IF(OR(A663="",B663="",C663="",D663="",E663="",F663="",G663="",NOT(ISNUMBER(I663))),"Incomplete",IF(COUNTIF(Lists!$H$4:$AA$4,C663)=0,"Check category",IF(COUNTIF(INDEX(Lists!$H$6:$AA$45,0,MATCH(C663,Lists!$H$4:$AA$4,0)),D663)=0,"Check sub-category","OK"))))</f>
        <v/>
      </c>
      <c r="P663">
        <f>IF(ISNUMBER(I663),I663+ROW()/10000000,"")</f>
        <v/>
      </c>
      <c r="Q663">
        <f>IF(AND(ISNUMBER(P663),ISNUMBER(A663)),IF(AND(A663&gt;=Dashboard!$Q$3,A663&lt;=Dashboard!$Q$4,OR(J663&lt;&gt;"Yes",Dashboard!$Q$15="Yes")),P663,""),"")</f>
        <v/>
      </c>
    </row>
    <row r="664">
      <c r="A664" s="47" t="n"/>
      <c r="B664" s="48" t="n"/>
      <c r="C664" s="48" t="n"/>
      <c r="D664" s="48" t="n"/>
      <c r="E664" s="48" t="n"/>
      <c r="F664" s="48" t="n"/>
      <c r="G664" s="48" t="n"/>
      <c r="H664" s="48" t="n"/>
      <c r="I664" s="49" t="n"/>
      <c r="J664" s="50" t="n"/>
      <c r="K664" s="48" t="n"/>
      <c r="L664" s="51">
        <f>IF(A664="","",DATE(YEAR(A664),MONTH(A664),1))</f>
        <v/>
      </c>
      <c r="M664" s="52">
        <f>IF(OR(A664="",NOT(ISNUMBER(I664))),"",IF(G664=Lists!$B$5,I664/2,IF(G664=Lists!$B$6,I664,0)))</f>
        <v/>
      </c>
      <c r="N664" s="52">
        <f>IF(OR(A664="",NOT(ISNUMBER(I664))),"",IF(G664=Lists!$B$5,I664/2,IF(G664=Lists!$B$7,I664,0)))</f>
        <v/>
      </c>
      <c r="O664" s="53">
        <f>IF(COUNTA(A664:K664)=0,"",IF(OR(A664="",B664="",C664="",D664="",E664="",F664="",G664="",NOT(ISNUMBER(I664))),"Incomplete",IF(COUNTIF(Lists!$H$4:$AA$4,C664)=0,"Check category",IF(COUNTIF(INDEX(Lists!$H$6:$AA$45,0,MATCH(C664,Lists!$H$4:$AA$4,0)),D664)=0,"Check sub-category","OK"))))</f>
        <v/>
      </c>
      <c r="P664">
        <f>IF(ISNUMBER(I664),I664+ROW()/10000000,"")</f>
        <v/>
      </c>
      <c r="Q664">
        <f>IF(AND(ISNUMBER(P664),ISNUMBER(A664)),IF(AND(A664&gt;=Dashboard!$Q$3,A664&lt;=Dashboard!$Q$4,OR(J664&lt;&gt;"Yes",Dashboard!$Q$15="Yes")),P664,""),"")</f>
        <v/>
      </c>
    </row>
    <row r="665">
      <c r="A665" s="47" t="n"/>
      <c r="B665" s="48" t="n"/>
      <c r="C665" s="48" t="n"/>
      <c r="D665" s="48" t="n"/>
      <c r="E665" s="48" t="n"/>
      <c r="F665" s="48" t="n"/>
      <c r="G665" s="48" t="n"/>
      <c r="H665" s="48" t="n"/>
      <c r="I665" s="49" t="n"/>
      <c r="J665" s="50" t="n"/>
      <c r="K665" s="48" t="n"/>
      <c r="L665" s="51">
        <f>IF(A665="","",DATE(YEAR(A665),MONTH(A665),1))</f>
        <v/>
      </c>
      <c r="M665" s="52">
        <f>IF(OR(A665="",NOT(ISNUMBER(I665))),"",IF(G665=Lists!$B$5,I665/2,IF(G665=Lists!$B$6,I665,0)))</f>
        <v/>
      </c>
      <c r="N665" s="52">
        <f>IF(OR(A665="",NOT(ISNUMBER(I665))),"",IF(G665=Lists!$B$5,I665/2,IF(G665=Lists!$B$7,I665,0)))</f>
        <v/>
      </c>
      <c r="O665" s="53">
        <f>IF(COUNTA(A665:K665)=0,"",IF(OR(A665="",B665="",C665="",D665="",E665="",F665="",G665="",NOT(ISNUMBER(I665))),"Incomplete",IF(COUNTIF(Lists!$H$4:$AA$4,C665)=0,"Check category",IF(COUNTIF(INDEX(Lists!$H$6:$AA$45,0,MATCH(C665,Lists!$H$4:$AA$4,0)),D665)=0,"Check sub-category","OK"))))</f>
        <v/>
      </c>
      <c r="P665">
        <f>IF(ISNUMBER(I665),I665+ROW()/10000000,"")</f>
        <v/>
      </c>
      <c r="Q665">
        <f>IF(AND(ISNUMBER(P665),ISNUMBER(A665)),IF(AND(A665&gt;=Dashboard!$Q$3,A665&lt;=Dashboard!$Q$4,OR(J665&lt;&gt;"Yes",Dashboard!$Q$15="Yes")),P665,""),"")</f>
        <v/>
      </c>
    </row>
    <row r="666">
      <c r="A666" s="47" t="n"/>
      <c r="B666" s="48" t="n"/>
      <c r="C666" s="48" t="n"/>
      <c r="D666" s="48" t="n"/>
      <c r="E666" s="48" t="n"/>
      <c r="F666" s="48" t="n"/>
      <c r="G666" s="48" t="n"/>
      <c r="H666" s="48" t="n"/>
      <c r="I666" s="49" t="n"/>
      <c r="J666" s="50" t="n"/>
      <c r="K666" s="48" t="n"/>
      <c r="L666" s="51">
        <f>IF(A666="","",DATE(YEAR(A666),MONTH(A666),1))</f>
        <v/>
      </c>
      <c r="M666" s="52">
        <f>IF(OR(A666="",NOT(ISNUMBER(I666))),"",IF(G666=Lists!$B$5,I666/2,IF(G666=Lists!$B$6,I666,0)))</f>
        <v/>
      </c>
      <c r="N666" s="52">
        <f>IF(OR(A666="",NOT(ISNUMBER(I666))),"",IF(G666=Lists!$B$5,I666/2,IF(G666=Lists!$B$7,I666,0)))</f>
        <v/>
      </c>
      <c r="O666" s="53">
        <f>IF(COUNTA(A666:K666)=0,"",IF(OR(A666="",B666="",C666="",D666="",E666="",F666="",G666="",NOT(ISNUMBER(I666))),"Incomplete",IF(COUNTIF(Lists!$H$4:$AA$4,C666)=0,"Check category",IF(COUNTIF(INDEX(Lists!$H$6:$AA$45,0,MATCH(C666,Lists!$H$4:$AA$4,0)),D666)=0,"Check sub-category","OK"))))</f>
        <v/>
      </c>
      <c r="P666">
        <f>IF(ISNUMBER(I666),I666+ROW()/10000000,"")</f>
        <v/>
      </c>
      <c r="Q666">
        <f>IF(AND(ISNUMBER(P666),ISNUMBER(A666)),IF(AND(A666&gt;=Dashboard!$Q$3,A666&lt;=Dashboard!$Q$4,OR(J666&lt;&gt;"Yes",Dashboard!$Q$15="Yes")),P666,""),"")</f>
        <v/>
      </c>
    </row>
    <row r="667">
      <c r="A667" s="47" t="n"/>
      <c r="B667" s="48" t="n"/>
      <c r="C667" s="48" t="n"/>
      <c r="D667" s="48" t="n"/>
      <c r="E667" s="48" t="n"/>
      <c r="F667" s="48" t="n"/>
      <c r="G667" s="48" t="n"/>
      <c r="H667" s="48" t="n"/>
      <c r="I667" s="49" t="n"/>
      <c r="J667" s="50" t="n"/>
      <c r="K667" s="48" t="n"/>
      <c r="L667" s="51">
        <f>IF(A667="","",DATE(YEAR(A667),MONTH(A667),1))</f>
        <v/>
      </c>
      <c r="M667" s="52">
        <f>IF(OR(A667="",NOT(ISNUMBER(I667))),"",IF(G667=Lists!$B$5,I667/2,IF(G667=Lists!$B$6,I667,0)))</f>
        <v/>
      </c>
      <c r="N667" s="52">
        <f>IF(OR(A667="",NOT(ISNUMBER(I667))),"",IF(G667=Lists!$B$5,I667/2,IF(G667=Lists!$B$7,I667,0)))</f>
        <v/>
      </c>
      <c r="O667" s="53">
        <f>IF(COUNTA(A667:K667)=0,"",IF(OR(A667="",B667="",C667="",D667="",E667="",F667="",G667="",NOT(ISNUMBER(I667))),"Incomplete",IF(COUNTIF(Lists!$H$4:$AA$4,C667)=0,"Check category",IF(COUNTIF(INDEX(Lists!$H$6:$AA$45,0,MATCH(C667,Lists!$H$4:$AA$4,0)),D667)=0,"Check sub-category","OK"))))</f>
        <v/>
      </c>
      <c r="P667">
        <f>IF(ISNUMBER(I667),I667+ROW()/10000000,"")</f>
        <v/>
      </c>
      <c r="Q667">
        <f>IF(AND(ISNUMBER(P667),ISNUMBER(A667)),IF(AND(A667&gt;=Dashboard!$Q$3,A667&lt;=Dashboard!$Q$4,OR(J667&lt;&gt;"Yes",Dashboard!$Q$15="Yes")),P667,""),"")</f>
        <v/>
      </c>
    </row>
    <row r="668">
      <c r="A668" s="47" t="n"/>
      <c r="B668" s="48" t="n"/>
      <c r="C668" s="48" t="n"/>
      <c r="D668" s="48" t="n"/>
      <c r="E668" s="48" t="n"/>
      <c r="F668" s="48" t="n"/>
      <c r="G668" s="48" t="n"/>
      <c r="H668" s="48" t="n"/>
      <c r="I668" s="49" t="n"/>
      <c r="J668" s="50" t="n"/>
      <c r="K668" s="48" t="n"/>
      <c r="L668" s="51">
        <f>IF(A668="","",DATE(YEAR(A668),MONTH(A668),1))</f>
        <v/>
      </c>
      <c r="M668" s="52">
        <f>IF(OR(A668="",NOT(ISNUMBER(I668))),"",IF(G668=Lists!$B$5,I668/2,IF(G668=Lists!$B$6,I668,0)))</f>
        <v/>
      </c>
      <c r="N668" s="52">
        <f>IF(OR(A668="",NOT(ISNUMBER(I668))),"",IF(G668=Lists!$B$5,I668/2,IF(G668=Lists!$B$7,I668,0)))</f>
        <v/>
      </c>
      <c r="O668" s="53">
        <f>IF(COUNTA(A668:K668)=0,"",IF(OR(A668="",B668="",C668="",D668="",E668="",F668="",G668="",NOT(ISNUMBER(I668))),"Incomplete",IF(COUNTIF(Lists!$H$4:$AA$4,C668)=0,"Check category",IF(COUNTIF(INDEX(Lists!$H$6:$AA$45,0,MATCH(C668,Lists!$H$4:$AA$4,0)),D668)=0,"Check sub-category","OK"))))</f>
        <v/>
      </c>
      <c r="P668">
        <f>IF(ISNUMBER(I668),I668+ROW()/10000000,"")</f>
        <v/>
      </c>
      <c r="Q668">
        <f>IF(AND(ISNUMBER(P668),ISNUMBER(A668)),IF(AND(A668&gt;=Dashboard!$Q$3,A668&lt;=Dashboard!$Q$4,OR(J668&lt;&gt;"Yes",Dashboard!$Q$15="Yes")),P668,""),"")</f>
        <v/>
      </c>
    </row>
    <row r="669">
      <c r="A669" s="47" t="n"/>
      <c r="B669" s="48" t="n"/>
      <c r="C669" s="48" t="n"/>
      <c r="D669" s="48" t="n"/>
      <c r="E669" s="48" t="n"/>
      <c r="F669" s="48" t="n"/>
      <c r="G669" s="48" t="n"/>
      <c r="H669" s="48" t="n"/>
      <c r="I669" s="49" t="n"/>
      <c r="J669" s="50" t="n"/>
      <c r="K669" s="48" t="n"/>
      <c r="L669" s="51">
        <f>IF(A669="","",DATE(YEAR(A669),MONTH(A669),1))</f>
        <v/>
      </c>
      <c r="M669" s="52">
        <f>IF(OR(A669="",NOT(ISNUMBER(I669))),"",IF(G669=Lists!$B$5,I669/2,IF(G669=Lists!$B$6,I669,0)))</f>
        <v/>
      </c>
      <c r="N669" s="52">
        <f>IF(OR(A669="",NOT(ISNUMBER(I669))),"",IF(G669=Lists!$B$5,I669/2,IF(G669=Lists!$B$7,I669,0)))</f>
        <v/>
      </c>
      <c r="O669" s="53">
        <f>IF(COUNTA(A669:K669)=0,"",IF(OR(A669="",B669="",C669="",D669="",E669="",F669="",G669="",NOT(ISNUMBER(I669))),"Incomplete",IF(COUNTIF(Lists!$H$4:$AA$4,C669)=0,"Check category",IF(COUNTIF(INDEX(Lists!$H$6:$AA$45,0,MATCH(C669,Lists!$H$4:$AA$4,0)),D669)=0,"Check sub-category","OK"))))</f>
        <v/>
      </c>
      <c r="P669">
        <f>IF(ISNUMBER(I669),I669+ROW()/10000000,"")</f>
        <v/>
      </c>
      <c r="Q669">
        <f>IF(AND(ISNUMBER(P669),ISNUMBER(A669)),IF(AND(A669&gt;=Dashboard!$Q$3,A669&lt;=Dashboard!$Q$4,OR(J669&lt;&gt;"Yes",Dashboard!$Q$15="Yes")),P669,""),"")</f>
        <v/>
      </c>
    </row>
    <row r="670">
      <c r="A670" s="47" t="n"/>
      <c r="B670" s="48" t="n"/>
      <c r="C670" s="48" t="n"/>
      <c r="D670" s="48" t="n"/>
      <c r="E670" s="48" t="n"/>
      <c r="F670" s="48" t="n"/>
      <c r="G670" s="48" t="n"/>
      <c r="H670" s="48" t="n"/>
      <c r="I670" s="49" t="n"/>
      <c r="J670" s="50" t="n"/>
      <c r="K670" s="48" t="n"/>
      <c r="L670" s="51">
        <f>IF(A670="","",DATE(YEAR(A670),MONTH(A670),1))</f>
        <v/>
      </c>
      <c r="M670" s="52">
        <f>IF(OR(A670="",NOT(ISNUMBER(I670))),"",IF(G670=Lists!$B$5,I670/2,IF(G670=Lists!$B$6,I670,0)))</f>
        <v/>
      </c>
      <c r="N670" s="52">
        <f>IF(OR(A670="",NOT(ISNUMBER(I670))),"",IF(G670=Lists!$B$5,I670/2,IF(G670=Lists!$B$7,I670,0)))</f>
        <v/>
      </c>
      <c r="O670" s="53">
        <f>IF(COUNTA(A670:K670)=0,"",IF(OR(A670="",B670="",C670="",D670="",E670="",F670="",G670="",NOT(ISNUMBER(I670))),"Incomplete",IF(COUNTIF(Lists!$H$4:$AA$4,C670)=0,"Check category",IF(COUNTIF(INDEX(Lists!$H$6:$AA$45,0,MATCH(C670,Lists!$H$4:$AA$4,0)),D670)=0,"Check sub-category","OK"))))</f>
        <v/>
      </c>
      <c r="P670">
        <f>IF(ISNUMBER(I670),I670+ROW()/10000000,"")</f>
        <v/>
      </c>
      <c r="Q670">
        <f>IF(AND(ISNUMBER(P670),ISNUMBER(A670)),IF(AND(A670&gt;=Dashboard!$Q$3,A670&lt;=Dashboard!$Q$4,OR(J670&lt;&gt;"Yes",Dashboard!$Q$15="Yes")),P670,""),"")</f>
        <v/>
      </c>
    </row>
    <row r="671">
      <c r="A671" s="47" t="n"/>
      <c r="B671" s="48" t="n"/>
      <c r="C671" s="48" t="n"/>
      <c r="D671" s="48" t="n"/>
      <c r="E671" s="48" t="n"/>
      <c r="F671" s="48" t="n"/>
      <c r="G671" s="48" t="n"/>
      <c r="H671" s="48" t="n"/>
      <c r="I671" s="49" t="n"/>
      <c r="J671" s="50" t="n"/>
      <c r="K671" s="48" t="n"/>
      <c r="L671" s="51">
        <f>IF(A671="","",DATE(YEAR(A671),MONTH(A671),1))</f>
        <v/>
      </c>
      <c r="M671" s="52">
        <f>IF(OR(A671="",NOT(ISNUMBER(I671))),"",IF(G671=Lists!$B$5,I671/2,IF(G671=Lists!$B$6,I671,0)))</f>
        <v/>
      </c>
      <c r="N671" s="52">
        <f>IF(OR(A671="",NOT(ISNUMBER(I671))),"",IF(G671=Lists!$B$5,I671/2,IF(G671=Lists!$B$7,I671,0)))</f>
        <v/>
      </c>
      <c r="O671" s="53">
        <f>IF(COUNTA(A671:K671)=0,"",IF(OR(A671="",B671="",C671="",D671="",E671="",F671="",G671="",NOT(ISNUMBER(I671))),"Incomplete",IF(COUNTIF(Lists!$H$4:$AA$4,C671)=0,"Check category",IF(COUNTIF(INDEX(Lists!$H$6:$AA$45,0,MATCH(C671,Lists!$H$4:$AA$4,0)),D671)=0,"Check sub-category","OK"))))</f>
        <v/>
      </c>
      <c r="P671">
        <f>IF(ISNUMBER(I671),I671+ROW()/10000000,"")</f>
        <v/>
      </c>
      <c r="Q671">
        <f>IF(AND(ISNUMBER(P671),ISNUMBER(A671)),IF(AND(A671&gt;=Dashboard!$Q$3,A671&lt;=Dashboard!$Q$4,OR(J671&lt;&gt;"Yes",Dashboard!$Q$15="Yes")),P671,""),"")</f>
        <v/>
      </c>
    </row>
    <row r="672">
      <c r="A672" s="47" t="n"/>
      <c r="B672" s="48" t="n"/>
      <c r="C672" s="48" t="n"/>
      <c r="D672" s="48" t="n"/>
      <c r="E672" s="48" t="n"/>
      <c r="F672" s="48" t="n"/>
      <c r="G672" s="48" t="n"/>
      <c r="H672" s="48" t="n"/>
      <c r="I672" s="49" t="n"/>
      <c r="J672" s="50" t="n"/>
      <c r="K672" s="48" t="n"/>
      <c r="L672" s="51">
        <f>IF(A672="","",DATE(YEAR(A672),MONTH(A672),1))</f>
        <v/>
      </c>
      <c r="M672" s="52">
        <f>IF(OR(A672="",NOT(ISNUMBER(I672))),"",IF(G672=Lists!$B$5,I672/2,IF(G672=Lists!$B$6,I672,0)))</f>
        <v/>
      </c>
      <c r="N672" s="52">
        <f>IF(OR(A672="",NOT(ISNUMBER(I672))),"",IF(G672=Lists!$B$5,I672/2,IF(G672=Lists!$B$7,I672,0)))</f>
        <v/>
      </c>
      <c r="O672" s="53">
        <f>IF(COUNTA(A672:K672)=0,"",IF(OR(A672="",B672="",C672="",D672="",E672="",F672="",G672="",NOT(ISNUMBER(I672))),"Incomplete",IF(COUNTIF(Lists!$H$4:$AA$4,C672)=0,"Check category",IF(COUNTIF(INDEX(Lists!$H$6:$AA$45,0,MATCH(C672,Lists!$H$4:$AA$4,0)),D672)=0,"Check sub-category","OK"))))</f>
        <v/>
      </c>
      <c r="P672">
        <f>IF(ISNUMBER(I672),I672+ROW()/10000000,"")</f>
        <v/>
      </c>
      <c r="Q672">
        <f>IF(AND(ISNUMBER(P672),ISNUMBER(A672)),IF(AND(A672&gt;=Dashboard!$Q$3,A672&lt;=Dashboard!$Q$4,OR(J672&lt;&gt;"Yes",Dashboard!$Q$15="Yes")),P672,""),"")</f>
        <v/>
      </c>
    </row>
    <row r="673">
      <c r="A673" s="47" t="n"/>
      <c r="B673" s="48" t="n"/>
      <c r="C673" s="48" t="n"/>
      <c r="D673" s="48" t="n"/>
      <c r="E673" s="48" t="n"/>
      <c r="F673" s="48" t="n"/>
      <c r="G673" s="48" t="n"/>
      <c r="H673" s="48" t="n"/>
      <c r="I673" s="49" t="n"/>
      <c r="J673" s="50" t="n"/>
      <c r="K673" s="48" t="n"/>
      <c r="L673" s="51">
        <f>IF(A673="","",DATE(YEAR(A673),MONTH(A673),1))</f>
        <v/>
      </c>
      <c r="M673" s="52">
        <f>IF(OR(A673="",NOT(ISNUMBER(I673))),"",IF(G673=Lists!$B$5,I673/2,IF(G673=Lists!$B$6,I673,0)))</f>
        <v/>
      </c>
      <c r="N673" s="52">
        <f>IF(OR(A673="",NOT(ISNUMBER(I673))),"",IF(G673=Lists!$B$5,I673/2,IF(G673=Lists!$B$7,I673,0)))</f>
        <v/>
      </c>
      <c r="O673" s="53">
        <f>IF(COUNTA(A673:K673)=0,"",IF(OR(A673="",B673="",C673="",D673="",E673="",F673="",G673="",NOT(ISNUMBER(I673))),"Incomplete",IF(COUNTIF(Lists!$H$4:$AA$4,C673)=0,"Check category",IF(COUNTIF(INDEX(Lists!$H$6:$AA$45,0,MATCH(C673,Lists!$H$4:$AA$4,0)),D673)=0,"Check sub-category","OK"))))</f>
        <v/>
      </c>
      <c r="P673">
        <f>IF(ISNUMBER(I673),I673+ROW()/10000000,"")</f>
        <v/>
      </c>
      <c r="Q673">
        <f>IF(AND(ISNUMBER(P673),ISNUMBER(A673)),IF(AND(A673&gt;=Dashboard!$Q$3,A673&lt;=Dashboard!$Q$4,OR(J673&lt;&gt;"Yes",Dashboard!$Q$15="Yes")),P673,""),"")</f>
        <v/>
      </c>
    </row>
    <row r="674">
      <c r="A674" s="47" t="n"/>
      <c r="B674" s="48" t="n"/>
      <c r="C674" s="48" t="n"/>
      <c r="D674" s="48" t="n"/>
      <c r="E674" s="48" t="n"/>
      <c r="F674" s="48" t="n"/>
      <c r="G674" s="48" t="n"/>
      <c r="H674" s="48" t="n"/>
      <c r="I674" s="49" t="n"/>
      <c r="J674" s="50" t="n"/>
      <c r="K674" s="48" t="n"/>
      <c r="L674" s="51">
        <f>IF(A674="","",DATE(YEAR(A674),MONTH(A674),1))</f>
        <v/>
      </c>
      <c r="M674" s="52">
        <f>IF(OR(A674="",NOT(ISNUMBER(I674))),"",IF(G674=Lists!$B$5,I674/2,IF(G674=Lists!$B$6,I674,0)))</f>
        <v/>
      </c>
      <c r="N674" s="52">
        <f>IF(OR(A674="",NOT(ISNUMBER(I674))),"",IF(G674=Lists!$B$5,I674/2,IF(G674=Lists!$B$7,I674,0)))</f>
        <v/>
      </c>
      <c r="O674" s="53">
        <f>IF(COUNTA(A674:K674)=0,"",IF(OR(A674="",B674="",C674="",D674="",E674="",F674="",G674="",NOT(ISNUMBER(I674))),"Incomplete",IF(COUNTIF(Lists!$H$4:$AA$4,C674)=0,"Check category",IF(COUNTIF(INDEX(Lists!$H$6:$AA$45,0,MATCH(C674,Lists!$H$4:$AA$4,0)),D674)=0,"Check sub-category","OK"))))</f>
        <v/>
      </c>
      <c r="P674">
        <f>IF(ISNUMBER(I674),I674+ROW()/10000000,"")</f>
        <v/>
      </c>
      <c r="Q674">
        <f>IF(AND(ISNUMBER(P674),ISNUMBER(A674)),IF(AND(A674&gt;=Dashboard!$Q$3,A674&lt;=Dashboard!$Q$4,OR(J674&lt;&gt;"Yes",Dashboard!$Q$15="Yes")),P674,""),"")</f>
        <v/>
      </c>
    </row>
    <row r="675">
      <c r="A675" s="47" t="n"/>
      <c r="B675" s="48" t="n"/>
      <c r="C675" s="48" t="n"/>
      <c r="D675" s="48" t="n"/>
      <c r="E675" s="48" t="n"/>
      <c r="F675" s="48" t="n"/>
      <c r="G675" s="48" t="n"/>
      <c r="H675" s="48" t="n"/>
      <c r="I675" s="49" t="n"/>
      <c r="J675" s="50" t="n"/>
      <c r="K675" s="48" t="n"/>
      <c r="L675" s="51">
        <f>IF(A675="","",DATE(YEAR(A675),MONTH(A675),1))</f>
        <v/>
      </c>
      <c r="M675" s="52">
        <f>IF(OR(A675="",NOT(ISNUMBER(I675))),"",IF(G675=Lists!$B$5,I675/2,IF(G675=Lists!$B$6,I675,0)))</f>
        <v/>
      </c>
      <c r="N675" s="52">
        <f>IF(OR(A675="",NOT(ISNUMBER(I675))),"",IF(G675=Lists!$B$5,I675/2,IF(G675=Lists!$B$7,I675,0)))</f>
        <v/>
      </c>
      <c r="O675" s="53">
        <f>IF(COUNTA(A675:K675)=0,"",IF(OR(A675="",B675="",C675="",D675="",E675="",F675="",G675="",NOT(ISNUMBER(I675))),"Incomplete",IF(COUNTIF(Lists!$H$4:$AA$4,C675)=0,"Check category",IF(COUNTIF(INDEX(Lists!$H$6:$AA$45,0,MATCH(C675,Lists!$H$4:$AA$4,0)),D675)=0,"Check sub-category","OK"))))</f>
        <v/>
      </c>
      <c r="P675">
        <f>IF(ISNUMBER(I675),I675+ROW()/10000000,"")</f>
        <v/>
      </c>
      <c r="Q675">
        <f>IF(AND(ISNUMBER(P675),ISNUMBER(A675)),IF(AND(A675&gt;=Dashboard!$Q$3,A675&lt;=Dashboard!$Q$4,OR(J675&lt;&gt;"Yes",Dashboard!$Q$15="Yes")),P675,""),"")</f>
        <v/>
      </c>
    </row>
    <row r="676">
      <c r="A676" s="47" t="n"/>
      <c r="B676" s="48" t="n"/>
      <c r="C676" s="48" t="n"/>
      <c r="D676" s="48" t="n"/>
      <c r="E676" s="48" t="n"/>
      <c r="F676" s="48" t="n"/>
      <c r="G676" s="48" t="n"/>
      <c r="H676" s="48" t="n"/>
      <c r="I676" s="49" t="n"/>
      <c r="J676" s="50" t="n"/>
      <c r="K676" s="48" t="n"/>
      <c r="L676" s="51">
        <f>IF(A676="","",DATE(YEAR(A676),MONTH(A676),1))</f>
        <v/>
      </c>
      <c r="M676" s="52">
        <f>IF(OR(A676="",NOT(ISNUMBER(I676))),"",IF(G676=Lists!$B$5,I676/2,IF(G676=Lists!$B$6,I676,0)))</f>
        <v/>
      </c>
      <c r="N676" s="52">
        <f>IF(OR(A676="",NOT(ISNUMBER(I676))),"",IF(G676=Lists!$B$5,I676/2,IF(G676=Lists!$B$7,I676,0)))</f>
        <v/>
      </c>
      <c r="O676" s="53">
        <f>IF(COUNTA(A676:K676)=0,"",IF(OR(A676="",B676="",C676="",D676="",E676="",F676="",G676="",NOT(ISNUMBER(I676))),"Incomplete",IF(COUNTIF(Lists!$H$4:$AA$4,C676)=0,"Check category",IF(COUNTIF(INDEX(Lists!$H$6:$AA$45,0,MATCH(C676,Lists!$H$4:$AA$4,0)),D676)=0,"Check sub-category","OK"))))</f>
        <v/>
      </c>
      <c r="P676">
        <f>IF(ISNUMBER(I676),I676+ROW()/10000000,"")</f>
        <v/>
      </c>
      <c r="Q676">
        <f>IF(AND(ISNUMBER(P676),ISNUMBER(A676)),IF(AND(A676&gt;=Dashboard!$Q$3,A676&lt;=Dashboard!$Q$4,OR(J676&lt;&gt;"Yes",Dashboard!$Q$15="Yes")),P676,""),"")</f>
        <v/>
      </c>
    </row>
    <row r="677">
      <c r="A677" s="47" t="n"/>
      <c r="B677" s="48" t="n"/>
      <c r="C677" s="48" t="n"/>
      <c r="D677" s="48" t="n"/>
      <c r="E677" s="48" t="n"/>
      <c r="F677" s="48" t="n"/>
      <c r="G677" s="48" t="n"/>
      <c r="H677" s="48" t="n"/>
      <c r="I677" s="49" t="n"/>
      <c r="J677" s="50" t="n"/>
      <c r="K677" s="48" t="n"/>
      <c r="L677" s="51">
        <f>IF(A677="","",DATE(YEAR(A677),MONTH(A677),1))</f>
        <v/>
      </c>
      <c r="M677" s="52">
        <f>IF(OR(A677="",NOT(ISNUMBER(I677))),"",IF(G677=Lists!$B$5,I677/2,IF(G677=Lists!$B$6,I677,0)))</f>
        <v/>
      </c>
      <c r="N677" s="52">
        <f>IF(OR(A677="",NOT(ISNUMBER(I677))),"",IF(G677=Lists!$B$5,I677/2,IF(G677=Lists!$B$7,I677,0)))</f>
        <v/>
      </c>
      <c r="O677" s="53">
        <f>IF(COUNTA(A677:K677)=0,"",IF(OR(A677="",B677="",C677="",D677="",E677="",F677="",G677="",NOT(ISNUMBER(I677))),"Incomplete",IF(COUNTIF(Lists!$H$4:$AA$4,C677)=0,"Check category",IF(COUNTIF(INDEX(Lists!$H$6:$AA$45,0,MATCH(C677,Lists!$H$4:$AA$4,0)),D677)=0,"Check sub-category","OK"))))</f>
        <v/>
      </c>
      <c r="P677">
        <f>IF(ISNUMBER(I677),I677+ROW()/10000000,"")</f>
        <v/>
      </c>
      <c r="Q677">
        <f>IF(AND(ISNUMBER(P677),ISNUMBER(A677)),IF(AND(A677&gt;=Dashboard!$Q$3,A677&lt;=Dashboard!$Q$4,OR(J677&lt;&gt;"Yes",Dashboard!$Q$15="Yes")),P677,""),"")</f>
        <v/>
      </c>
    </row>
    <row r="678">
      <c r="A678" s="47" t="n"/>
      <c r="B678" s="48" t="n"/>
      <c r="C678" s="48" t="n"/>
      <c r="D678" s="48" t="n"/>
      <c r="E678" s="48" t="n"/>
      <c r="F678" s="48" t="n"/>
      <c r="G678" s="48" t="n"/>
      <c r="H678" s="48" t="n"/>
      <c r="I678" s="49" t="n"/>
      <c r="J678" s="50" t="n"/>
      <c r="K678" s="48" t="n"/>
      <c r="L678" s="51">
        <f>IF(A678="","",DATE(YEAR(A678),MONTH(A678),1))</f>
        <v/>
      </c>
      <c r="M678" s="52">
        <f>IF(OR(A678="",NOT(ISNUMBER(I678))),"",IF(G678=Lists!$B$5,I678/2,IF(G678=Lists!$B$6,I678,0)))</f>
        <v/>
      </c>
      <c r="N678" s="52">
        <f>IF(OR(A678="",NOT(ISNUMBER(I678))),"",IF(G678=Lists!$B$5,I678/2,IF(G678=Lists!$B$7,I678,0)))</f>
        <v/>
      </c>
      <c r="O678" s="53">
        <f>IF(COUNTA(A678:K678)=0,"",IF(OR(A678="",B678="",C678="",D678="",E678="",F678="",G678="",NOT(ISNUMBER(I678))),"Incomplete",IF(COUNTIF(Lists!$H$4:$AA$4,C678)=0,"Check category",IF(COUNTIF(INDEX(Lists!$H$6:$AA$45,0,MATCH(C678,Lists!$H$4:$AA$4,0)),D678)=0,"Check sub-category","OK"))))</f>
        <v/>
      </c>
      <c r="P678">
        <f>IF(ISNUMBER(I678),I678+ROW()/10000000,"")</f>
        <v/>
      </c>
      <c r="Q678">
        <f>IF(AND(ISNUMBER(P678),ISNUMBER(A678)),IF(AND(A678&gt;=Dashboard!$Q$3,A678&lt;=Dashboard!$Q$4,OR(J678&lt;&gt;"Yes",Dashboard!$Q$15="Yes")),P678,""),"")</f>
        <v/>
      </c>
    </row>
    <row r="679">
      <c r="A679" s="47" t="n"/>
      <c r="B679" s="48" t="n"/>
      <c r="C679" s="48" t="n"/>
      <c r="D679" s="48" t="n"/>
      <c r="E679" s="48" t="n"/>
      <c r="F679" s="48" t="n"/>
      <c r="G679" s="48" t="n"/>
      <c r="H679" s="48" t="n"/>
      <c r="I679" s="49" t="n"/>
      <c r="J679" s="50" t="n"/>
      <c r="K679" s="48" t="n"/>
      <c r="L679" s="51">
        <f>IF(A679="","",DATE(YEAR(A679),MONTH(A679),1))</f>
        <v/>
      </c>
      <c r="M679" s="52">
        <f>IF(OR(A679="",NOT(ISNUMBER(I679))),"",IF(G679=Lists!$B$5,I679/2,IF(G679=Lists!$B$6,I679,0)))</f>
        <v/>
      </c>
      <c r="N679" s="52">
        <f>IF(OR(A679="",NOT(ISNUMBER(I679))),"",IF(G679=Lists!$B$5,I679/2,IF(G679=Lists!$B$7,I679,0)))</f>
        <v/>
      </c>
      <c r="O679" s="53">
        <f>IF(COUNTA(A679:K679)=0,"",IF(OR(A679="",B679="",C679="",D679="",E679="",F679="",G679="",NOT(ISNUMBER(I679))),"Incomplete",IF(COUNTIF(Lists!$H$4:$AA$4,C679)=0,"Check category",IF(COUNTIF(INDEX(Lists!$H$6:$AA$45,0,MATCH(C679,Lists!$H$4:$AA$4,0)),D679)=0,"Check sub-category","OK"))))</f>
        <v/>
      </c>
      <c r="P679">
        <f>IF(ISNUMBER(I679),I679+ROW()/10000000,"")</f>
        <v/>
      </c>
      <c r="Q679">
        <f>IF(AND(ISNUMBER(P679),ISNUMBER(A679)),IF(AND(A679&gt;=Dashboard!$Q$3,A679&lt;=Dashboard!$Q$4,OR(J679&lt;&gt;"Yes",Dashboard!$Q$15="Yes")),P679,""),"")</f>
        <v/>
      </c>
    </row>
    <row r="680">
      <c r="A680" s="47" t="n"/>
      <c r="B680" s="48" t="n"/>
      <c r="C680" s="48" t="n"/>
      <c r="D680" s="48" t="n"/>
      <c r="E680" s="48" t="n"/>
      <c r="F680" s="48" t="n"/>
      <c r="G680" s="48" t="n"/>
      <c r="H680" s="48" t="n"/>
      <c r="I680" s="49" t="n"/>
      <c r="J680" s="50" t="n"/>
      <c r="K680" s="48" t="n"/>
      <c r="L680" s="51">
        <f>IF(A680="","",DATE(YEAR(A680),MONTH(A680),1))</f>
        <v/>
      </c>
      <c r="M680" s="52">
        <f>IF(OR(A680="",NOT(ISNUMBER(I680))),"",IF(G680=Lists!$B$5,I680/2,IF(G680=Lists!$B$6,I680,0)))</f>
        <v/>
      </c>
      <c r="N680" s="52">
        <f>IF(OR(A680="",NOT(ISNUMBER(I680))),"",IF(G680=Lists!$B$5,I680/2,IF(G680=Lists!$B$7,I680,0)))</f>
        <v/>
      </c>
      <c r="O680" s="53">
        <f>IF(COUNTA(A680:K680)=0,"",IF(OR(A680="",B680="",C680="",D680="",E680="",F680="",G680="",NOT(ISNUMBER(I680))),"Incomplete",IF(COUNTIF(Lists!$H$4:$AA$4,C680)=0,"Check category",IF(COUNTIF(INDEX(Lists!$H$6:$AA$45,0,MATCH(C680,Lists!$H$4:$AA$4,0)),D680)=0,"Check sub-category","OK"))))</f>
        <v/>
      </c>
      <c r="P680">
        <f>IF(ISNUMBER(I680),I680+ROW()/10000000,"")</f>
        <v/>
      </c>
      <c r="Q680">
        <f>IF(AND(ISNUMBER(P680),ISNUMBER(A680)),IF(AND(A680&gt;=Dashboard!$Q$3,A680&lt;=Dashboard!$Q$4,OR(J680&lt;&gt;"Yes",Dashboard!$Q$15="Yes")),P680,""),"")</f>
        <v/>
      </c>
    </row>
    <row r="681">
      <c r="A681" s="47" t="n"/>
      <c r="B681" s="48" t="n"/>
      <c r="C681" s="48" t="n"/>
      <c r="D681" s="48" t="n"/>
      <c r="E681" s="48" t="n"/>
      <c r="F681" s="48" t="n"/>
      <c r="G681" s="48" t="n"/>
      <c r="H681" s="48" t="n"/>
      <c r="I681" s="49" t="n"/>
      <c r="J681" s="50" t="n"/>
      <c r="K681" s="48" t="n"/>
      <c r="L681" s="51">
        <f>IF(A681="","",DATE(YEAR(A681),MONTH(A681),1))</f>
        <v/>
      </c>
      <c r="M681" s="52">
        <f>IF(OR(A681="",NOT(ISNUMBER(I681))),"",IF(G681=Lists!$B$5,I681/2,IF(G681=Lists!$B$6,I681,0)))</f>
        <v/>
      </c>
      <c r="N681" s="52">
        <f>IF(OR(A681="",NOT(ISNUMBER(I681))),"",IF(G681=Lists!$B$5,I681/2,IF(G681=Lists!$B$7,I681,0)))</f>
        <v/>
      </c>
      <c r="O681" s="53">
        <f>IF(COUNTA(A681:K681)=0,"",IF(OR(A681="",B681="",C681="",D681="",E681="",F681="",G681="",NOT(ISNUMBER(I681))),"Incomplete",IF(COUNTIF(Lists!$H$4:$AA$4,C681)=0,"Check category",IF(COUNTIF(INDEX(Lists!$H$6:$AA$45,0,MATCH(C681,Lists!$H$4:$AA$4,0)),D681)=0,"Check sub-category","OK"))))</f>
        <v/>
      </c>
      <c r="P681">
        <f>IF(ISNUMBER(I681),I681+ROW()/10000000,"")</f>
        <v/>
      </c>
      <c r="Q681">
        <f>IF(AND(ISNUMBER(P681),ISNUMBER(A681)),IF(AND(A681&gt;=Dashboard!$Q$3,A681&lt;=Dashboard!$Q$4,OR(J681&lt;&gt;"Yes",Dashboard!$Q$15="Yes")),P681,""),"")</f>
        <v/>
      </c>
    </row>
    <row r="682">
      <c r="A682" s="47" t="n"/>
      <c r="B682" s="48" t="n"/>
      <c r="C682" s="48" t="n"/>
      <c r="D682" s="48" t="n"/>
      <c r="E682" s="48" t="n"/>
      <c r="F682" s="48" t="n"/>
      <c r="G682" s="48" t="n"/>
      <c r="H682" s="48" t="n"/>
      <c r="I682" s="49" t="n"/>
      <c r="J682" s="50" t="n"/>
      <c r="K682" s="48" t="n"/>
      <c r="L682" s="51">
        <f>IF(A682="","",DATE(YEAR(A682),MONTH(A682),1))</f>
        <v/>
      </c>
      <c r="M682" s="52">
        <f>IF(OR(A682="",NOT(ISNUMBER(I682))),"",IF(G682=Lists!$B$5,I682/2,IF(G682=Lists!$B$6,I682,0)))</f>
        <v/>
      </c>
      <c r="N682" s="52">
        <f>IF(OR(A682="",NOT(ISNUMBER(I682))),"",IF(G682=Lists!$B$5,I682/2,IF(G682=Lists!$B$7,I682,0)))</f>
        <v/>
      </c>
      <c r="O682" s="53">
        <f>IF(COUNTA(A682:K682)=0,"",IF(OR(A682="",B682="",C682="",D682="",E682="",F682="",G682="",NOT(ISNUMBER(I682))),"Incomplete",IF(COUNTIF(Lists!$H$4:$AA$4,C682)=0,"Check category",IF(COUNTIF(INDEX(Lists!$H$6:$AA$45,0,MATCH(C682,Lists!$H$4:$AA$4,0)),D682)=0,"Check sub-category","OK"))))</f>
        <v/>
      </c>
      <c r="P682">
        <f>IF(ISNUMBER(I682),I682+ROW()/10000000,"")</f>
        <v/>
      </c>
      <c r="Q682">
        <f>IF(AND(ISNUMBER(P682),ISNUMBER(A682)),IF(AND(A682&gt;=Dashboard!$Q$3,A682&lt;=Dashboard!$Q$4,OR(J682&lt;&gt;"Yes",Dashboard!$Q$15="Yes")),P682,""),"")</f>
        <v/>
      </c>
    </row>
    <row r="683">
      <c r="A683" s="47" t="n"/>
      <c r="B683" s="48" t="n"/>
      <c r="C683" s="48" t="n"/>
      <c r="D683" s="48" t="n"/>
      <c r="E683" s="48" t="n"/>
      <c r="F683" s="48" t="n"/>
      <c r="G683" s="48" t="n"/>
      <c r="H683" s="48" t="n"/>
      <c r="I683" s="49" t="n"/>
      <c r="J683" s="50" t="n"/>
      <c r="K683" s="48" t="n"/>
      <c r="L683" s="51">
        <f>IF(A683="","",DATE(YEAR(A683),MONTH(A683),1))</f>
        <v/>
      </c>
      <c r="M683" s="52">
        <f>IF(OR(A683="",NOT(ISNUMBER(I683))),"",IF(G683=Lists!$B$5,I683/2,IF(G683=Lists!$B$6,I683,0)))</f>
        <v/>
      </c>
      <c r="N683" s="52">
        <f>IF(OR(A683="",NOT(ISNUMBER(I683))),"",IF(G683=Lists!$B$5,I683/2,IF(G683=Lists!$B$7,I683,0)))</f>
        <v/>
      </c>
      <c r="O683" s="53">
        <f>IF(COUNTA(A683:K683)=0,"",IF(OR(A683="",B683="",C683="",D683="",E683="",F683="",G683="",NOT(ISNUMBER(I683))),"Incomplete",IF(COUNTIF(Lists!$H$4:$AA$4,C683)=0,"Check category",IF(COUNTIF(INDEX(Lists!$H$6:$AA$45,0,MATCH(C683,Lists!$H$4:$AA$4,0)),D683)=0,"Check sub-category","OK"))))</f>
        <v/>
      </c>
      <c r="P683">
        <f>IF(ISNUMBER(I683),I683+ROW()/10000000,"")</f>
        <v/>
      </c>
      <c r="Q683">
        <f>IF(AND(ISNUMBER(P683),ISNUMBER(A683)),IF(AND(A683&gt;=Dashboard!$Q$3,A683&lt;=Dashboard!$Q$4,OR(J683&lt;&gt;"Yes",Dashboard!$Q$15="Yes")),P683,""),"")</f>
        <v/>
      </c>
    </row>
    <row r="684">
      <c r="A684" s="47" t="n"/>
      <c r="B684" s="48" t="n"/>
      <c r="C684" s="48" t="n"/>
      <c r="D684" s="48" t="n"/>
      <c r="E684" s="48" t="n"/>
      <c r="F684" s="48" t="n"/>
      <c r="G684" s="48" t="n"/>
      <c r="H684" s="48" t="n"/>
      <c r="I684" s="49" t="n"/>
      <c r="J684" s="50" t="n"/>
      <c r="K684" s="48" t="n"/>
      <c r="L684" s="51">
        <f>IF(A684="","",DATE(YEAR(A684),MONTH(A684),1))</f>
        <v/>
      </c>
      <c r="M684" s="52">
        <f>IF(OR(A684="",NOT(ISNUMBER(I684))),"",IF(G684=Lists!$B$5,I684/2,IF(G684=Lists!$B$6,I684,0)))</f>
        <v/>
      </c>
      <c r="N684" s="52">
        <f>IF(OR(A684="",NOT(ISNUMBER(I684))),"",IF(G684=Lists!$B$5,I684/2,IF(G684=Lists!$B$7,I684,0)))</f>
        <v/>
      </c>
      <c r="O684" s="53">
        <f>IF(COUNTA(A684:K684)=0,"",IF(OR(A684="",B684="",C684="",D684="",E684="",F684="",G684="",NOT(ISNUMBER(I684))),"Incomplete",IF(COUNTIF(Lists!$H$4:$AA$4,C684)=0,"Check category",IF(COUNTIF(INDEX(Lists!$H$6:$AA$45,0,MATCH(C684,Lists!$H$4:$AA$4,0)),D684)=0,"Check sub-category","OK"))))</f>
        <v/>
      </c>
      <c r="P684">
        <f>IF(ISNUMBER(I684),I684+ROW()/10000000,"")</f>
        <v/>
      </c>
      <c r="Q684">
        <f>IF(AND(ISNUMBER(P684),ISNUMBER(A684)),IF(AND(A684&gt;=Dashboard!$Q$3,A684&lt;=Dashboard!$Q$4,OR(J684&lt;&gt;"Yes",Dashboard!$Q$15="Yes")),P684,""),"")</f>
        <v/>
      </c>
    </row>
    <row r="685">
      <c r="A685" s="47" t="n"/>
      <c r="B685" s="48" t="n"/>
      <c r="C685" s="48" t="n"/>
      <c r="D685" s="48" t="n"/>
      <c r="E685" s="48" t="n"/>
      <c r="F685" s="48" t="n"/>
      <c r="G685" s="48" t="n"/>
      <c r="H685" s="48" t="n"/>
      <c r="I685" s="49" t="n"/>
      <c r="J685" s="50" t="n"/>
      <c r="K685" s="48" t="n"/>
      <c r="L685" s="51">
        <f>IF(A685="","",DATE(YEAR(A685),MONTH(A685),1))</f>
        <v/>
      </c>
      <c r="M685" s="52">
        <f>IF(OR(A685="",NOT(ISNUMBER(I685))),"",IF(G685=Lists!$B$5,I685/2,IF(G685=Lists!$B$6,I685,0)))</f>
        <v/>
      </c>
      <c r="N685" s="52">
        <f>IF(OR(A685="",NOT(ISNUMBER(I685))),"",IF(G685=Lists!$B$5,I685/2,IF(G685=Lists!$B$7,I685,0)))</f>
        <v/>
      </c>
      <c r="O685" s="53">
        <f>IF(COUNTA(A685:K685)=0,"",IF(OR(A685="",B685="",C685="",D685="",E685="",F685="",G685="",NOT(ISNUMBER(I685))),"Incomplete",IF(COUNTIF(Lists!$H$4:$AA$4,C685)=0,"Check category",IF(COUNTIF(INDEX(Lists!$H$6:$AA$45,0,MATCH(C685,Lists!$H$4:$AA$4,0)),D685)=0,"Check sub-category","OK"))))</f>
        <v/>
      </c>
      <c r="P685">
        <f>IF(ISNUMBER(I685),I685+ROW()/10000000,"")</f>
        <v/>
      </c>
      <c r="Q685">
        <f>IF(AND(ISNUMBER(P685),ISNUMBER(A685)),IF(AND(A685&gt;=Dashboard!$Q$3,A685&lt;=Dashboard!$Q$4,OR(J685&lt;&gt;"Yes",Dashboard!$Q$15="Yes")),P685,""),"")</f>
        <v/>
      </c>
    </row>
    <row r="686">
      <c r="A686" s="47" t="n"/>
      <c r="B686" s="48" t="n"/>
      <c r="C686" s="48" t="n"/>
      <c r="D686" s="48" t="n"/>
      <c r="E686" s="48" t="n"/>
      <c r="F686" s="48" t="n"/>
      <c r="G686" s="48" t="n"/>
      <c r="H686" s="48" t="n"/>
      <c r="I686" s="49" t="n"/>
      <c r="J686" s="50" t="n"/>
      <c r="K686" s="48" t="n"/>
      <c r="L686" s="51">
        <f>IF(A686="","",DATE(YEAR(A686),MONTH(A686),1))</f>
        <v/>
      </c>
      <c r="M686" s="52">
        <f>IF(OR(A686="",NOT(ISNUMBER(I686))),"",IF(G686=Lists!$B$5,I686/2,IF(G686=Lists!$B$6,I686,0)))</f>
        <v/>
      </c>
      <c r="N686" s="52">
        <f>IF(OR(A686="",NOT(ISNUMBER(I686))),"",IF(G686=Lists!$B$5,I686/2,IF(G686=Lists!$B$7,I686,0)))</f>
        <v/>
      </c>
      <c r="O686" s="53">
        <f>IF(COUNTA(A686:K686)=0,"",IF(OR(A686="",B686="",C686="",D686="",E686="",F686="",G686="",NOT(ISNUMBER(I686))),"Incomplete",IF(COUNTIF(Lists!$H$4:$AA$4,C686)=0,"Check category",IF(COUNTIF(INDEX(Lists!$H$6:$AA$45,0,MATCH(C686,Lists!$H$4:$AA$4,0)),D686)=0,"Check sub-category","OK"))))</f>
        <v/>
      </c>
      <c r="P686">
        <f>IF(ISNUMBER(I686),I686+ROW()/10000000,"")</f>
        <v/>
      </c>
      <c r="Q686">
        <f>IF(AND(ISNUMBER(P686),ISNUMBER(A686)),IF(AND(A686&gt;=Dashboard!$Q$3,A686&lt;=Dashboard!$Q$4,OR(J686&lt;&gt;"Yes",Dashboard!$Q$15="Yes")),P686,""),"")</f>
        <v/>
      </c>
    </row>
    <row r="687">
      <c r="A687" s="47" t="n"/>
      <c r="B687" s="48" t="n"/>
      <c r="C687" s="48" t="n"/>
      <c r="D687" s="48" t="n"/>
      <c r="E687" s="48" t="n"/>
      <c r="F687" s="48" t="n"/>
      <c r="G687" s="48" t="n"/>
      <c r="H687" s="48" t="n"/>
      <c r="I687" s="49" t="n"/>
      <c r="J687" s="50" t="n"/>
      <c r="K687" s="48" t="n"/>
      <c r="L687" s="51">
        <f>IF(A687="","",DATE(YEAR(A687),MONTH(A687),1))</f>
        <v/>
      </c>
      <c r="M687" s="52">
        <f>IF(OR(A687="",NOT(ISNUMBER(I687))),"",IF(G687=Lists!$B$5,I687/2,IF(G687=Lists!$B$6,I687,0)))</f>
        <v/>
      </c>
      <c r="N687" s="52">
        <f>IF(OR(A687="",NOT(ISNUMBER(I687))),"",IF(G687=Lists!$B$5,I687/2,IF(G687=Lists!$B$7,I687,0)))</f>
        <v/>
      </c>
      <c r="O687" s="53">
        <f>IF(COUNTA(A687:K687)=0,"",IF(OR(A687="",B687="",C687="",D687="",E687="",F687="",G687="",NOT(ISNUMBER(I687))),"Incomplete",IF(COUNTIF(Lists!$H$4:$AA$4,C687)=0,"Check category",IF(COUNTIF(INDEX(Lists!$H$6:$AA$45,0,MATCH(C687,Lists!$H$4:$AA$4,0)),D687)=0,"Check sub-category","OK"))))</f>
        <v/>
      </c>
      <c r="P687">
        <f>IF(ISNUMBER(I687),I687+ROW()/10000000,"")</f>
        <v/>
      </c>
      <c r="Q687">
        <f>IF(AND(ISNUMBER(P687),ISNUMBER(A687)),IF(AND(A687&gt;=Dashboard!$Q$3,A687&lt;=Dashboard!$Q$4,OR(J687&lt;&gt;"Yes",Dashboard!$Q$15="Yes")),P687,""),"")</f>
        <v/>
      </c>
    </row>
    <row r="688">
      <c r="A688" s="47" t="n"/>
      <c r="B688" s="48" t="n"/>
      <c r="C688" s="48" t="n"/>
      <c r="D688" s="48" t="n"/>
      <c r="E688" s="48" t="n"/>
      <c r="F688" s="48" t="n"/>
      <c r="G688" s="48" t="n"/>
      <c r="H688" s="48" t="n"/>
      <c r="I688" s="49" t="n"/>
      <c r="J688" s="50" t="n"/>
      <c r="K688" s="48" t="n"/>
      <c r="L688" s="51">
        <f>IF(A688="","",DATE(YEAR(A688),MONTH(A688),1))</f>
        <v/>
      </c>
      <c r="M688" s="52">
        <f>IF(OR(A688="",NOT(ISNUMBER(I688))),"",IF(G688=Lists!$B$5,I688/2,IF(G688=Lists!$B$6,I688,0)))</f>
        <v/>
      </c>
      <c r="N688" s="52">
        <f>IF(OR(A688="",NOT(ISNUMBER(I688))),"",IF(G688=Lists!$B$5,I688/2,IF(G688=Lists!$B$7,I688,0)))</f>
        <v/>
      </c>
      <c r="O688" s="53">
        <f>IF(COUNTA(A688:K688)=0,"",IF(OR(A688="",B688="",C688="",D688="",E688="",F688="",G688="",NOT(ISNUMBER(I688))),"Incomplete",IF(COUNTIF(Lists!$H$4:$AA$4,C688)=0,"Check category",IF(COUNTIF(INDEX(Lists!$H$6:$AA$45,0,MATCH(C688,Lists!$H$4:$AA$4,0)),D688)=0,"Check sub-category","OK"))))</f>
        <v/>
      </c>
      <c r="P688">
        <f>IF(ISNUMBER(I688),I688+ROW()/10000000,"")</f>
        <v/>
      </c>
      <c r="Q688">
        <f>IF(AND(ISNUMBER(P688),ISNUMBER(A688)),IF(AND(A688&gt;=Dashboard!$Q$3,A688&lt;=Dashboard!$Q$4,OR(J688&lt;&gt;"Yes",Dashboard!$Q$15="Yes")),P688,""),"")</f>
        <v/>
      </c>
    </row>
    <row r="689">
      <c r="A689" s="47" t="n"/>
      <c r="B689" s="48" t="n"/>
      <c r="C689" s="48" t="n"/>
      <c r="D689" s="48" t="n"/>
      <c r="E689" s="48" t="n"/>
      <c r="F689" s="48" t="n"/>
      <c r="G689" s="48" t="n"/>
      <c r="H689" s="48" t="n"/>
      <c r="I689" s="49" t="n"/>
      <c r="J689" s="50" t="n"/>
      <c r="K689" s="48" t="n"/>
      <c r="L689" s="51">
        <f>IF(A689="","",DATE(YEAR(A689),MONTH(A689),1))</f>
        <v/>
      </c>
      <c r="M689" s="52">
        <f>IF(OR(A689="",NOT(ISNUMBER(I689))),"",IF(G689=Lists!$B$5,I689/2,IF(G689=Lists!$B$6,I689,0)))</f>
        <v/>
      </c>
      <c r="N689" s="52">
        <f>IF(OR(A689="",NOT(ISNUMBER(I689))),"",IF(G689=Lists!$B$5,I689/2,IF(G689=Lists!$B$7,I689,0)))</f>
        <v/>
      </c>
      <c r="O689" s="53">
        <f>IF(COUNTA(A689:K689)=0,"",IF(OR(A689="",B689="",C689="",D689="",E689="",F689="",G689="",NOT(ISNUMBER(I689))),"Incomplete",IF(COUNTIF(Lists!$H$4:$AA$4,C689)=0,"Check category",IF(COUNTIF(INDEX(Lists!$H$6:$AA$45,0,MATCH(C689,Lists!$H$4:$AA$4,0)),D689)=0,"Check sub-category","OK"))))</f>
        <v/>
      </c>
      <c r="P689">
        <f>IF(ISNUMBER(I689),I689+ROW()/10000000,"")</f>
        <v/>
      </c>
      <c r="Q689">
        <f>IF(AND(ISNUMBER(P689),ISNUMBER(A689)),IF(AND(A689&gt;=Dashboard!$Q$3,A689&lt;=Dashboard!$Q$4,OR(J689&lt;&gt;"Yes",Dashboard!$Q$15="Yes")),P689,""),"")</f>
        <v/>
      </c>
    </row>
    <row r="690">
      <c r="A690" s="47" t="n"/>
      <c r="B690" s="48" t="n"/>
      <c r="C690" s="48" t="n"/>
      <c r="D690" s="48" t="n"/>
      <c r="E690" s="48" t="n"/>
      <c r="F690" s="48" t="n"/>
      <c r="G690" s="48" t="n"/>
      <c r="H690" s="48" t="n"/>
      <c r="I690" s="49" t="n"/>
      <c r="J690" s="50" t="n"/>
      <c r="K690" s="48" t="n"/>
      <c r="L690" s="51">
        <f>IF(A690="","",DATE(YEAR(A690),MONTH(A690),1))</f>
        <v/>
      </c>
      <c r="M690" s="52">
        <f>IF(OR(A690="",NOT(ISNUMBER(I690))),"",IF(G690=Lists!$B$5,I690/2,IF(G690=Lists!$B$6,I690,0)))</f>
        <v/>
      </c>
      <c r="N690" s="52">
        <f>IF(OR(A690="",NOT(ISNUMBER(I690))),"",IF(G690=Lists!$B$5,I690/2,IF(G690=Lists!$B$7,I690,0)))</f>
        <v/>
      </c>
      <c r="O690" s="53">
        <f>IF(COUNTA(A690:K690)=0,"",IF(OR(A690="",B690="",C690="",D690="",E690="",F690="",G690="",NOT(ISNUMBER(I690))),"Incomplete",IF(COUNTIF(Lists!$H$4:$AA$4,C690)=0,"Check category",IF(COUNTIF(INDEX(Lists!$H$6:$AA$45,0,MATCH(C690,Lists!$H$4:$AA$4,0)),D690)=0,"Check sub-category","OK"))))</f>
        <v/>
      </c>
      <c r="P690">
        <f>IF(ISNUMBER(I690),I690+ROW()/10000000,"")</f>
        <v/>
      </c>
      <c r="Q690">
        <f>IF(AND(ISNUMBER(P690),ISNUMBER(A690)),IF(AND(A690&gt;=Dashboard!$Q$3,A690&lt;=Dashboard!$Q$4,OR(J690&lt;&gt;"Yes",Dashboard!$Q$15="Yes")),P690,""),"")</f>
        <v/>
      </c>
    </row>
    <row r="691">
      <c r="A691" s="47" t="n"/>
      <c r="B691" s="48" t="n"/>
      <c r="C691" s="48" t="n"/>
      <c r="D691" s="48" t="n"/>
      <c r="E691" s="48" t="n"/>
      <c r="F691" s="48" t="n"/>
      <c r="G691" s="48" t="n"/>
      <c r="H691" s="48" t="n"/>
      <c r="I691" s="49" t="n"/>
      <c r="J691" s="50" t="n"/>
      <c r="K691" s="48" t="n"/>
      <c r="L691" s="51">
        <f>IF(A691="","",DATE(YEAR(A691),MONTH(A691),1))</f>
        <v/>
      </c>
      <c r="M691" s="52">
        <f>IF(OR(A691="",NOT(ISNUMBER(I691))),"",IF(G691=Lists!$B$5,I691/2,IF(G691=Lists!$B$6,I691,0)))</f>
        <v/>
      </c>
      <c r="N691" s="52">
        <f>IF(OR(A691="",NOT(ISNUMBER(I691))),"",IF(G691=Lists!$B$5,I691/2,IF(G691=Lists!$B$7,I691,0)))</f>
        <v/>
      </c>
      <c r="O691" s="53">
        <f>IF(COUNTA(A691:K691)=0,"",IF(OR(A691="",B691="",C691="",D691="",E691="",F691="",G691="",NOT(ISNUMBER(I691))),"Incomplete",IF(COUNTIF(Lists!$H$4:$AA$4,C691)=0,"Check category",IF(COUNTIF(INDEX(Lists!$H$6:$AA$45,0,MATCH(C691,Lists!$H$4:$AA$4,0)),D691)=0,"Check sub-category","OK"))))</f>
        <v/>
      </c>
      <c r="P691">
        <f>IF(ISNUMBER(I691),I691+ROW()/10000000,"")</f>
        <v/>
      </c>
      <c r="Q691">
        <f>IF(AND(ISNUMBER(P691),ISNUMBER(A691)),IF(AND(A691&gt;=Dashboard!$Q$3,A691&lt;=Dashboard!$Q$4,OR(J691&lt;&gt;"Yes",Dashboard!$Q$15="Yes")),P691,""),"")</f>
        <v/>
      </c>
    </row>
    <row r="692">
      <c r="A692" s="47" t="n"/>
      <c r="B692" s="48" t="n"/>
      <c r="C692" s="48" t="n"/>
      <c r="D692" s="48" t="n"/>
      <c r="E692" s="48" t="n"/>
      <c r="F692" s="48" t="n"/>
      <c r="G692" s="48" t="n"/>
      <c r="H692" s="48" t="n"/>
      <c r="I692" s="49" t="n"/>
      <c r="J692" s="50" t="n"/>
      <c r="K692" s="48" t="n"/>
      <c r="L692" s="51">
        <f>IF(A692="","",DATE(YEAR(A692),MONTH(A692),1))</f>
        <v/>
      </c>
      <c r="M692" s="52">
        <f>IF(OR(A692="",NOT(ISNUMBER(I692))),"",IF(G692=Lists!$B$5,I692/2,IF(G692=Lists!$B$6,I692,0)))</f>
        <v/>
      </c>
      <c r="N692" s="52">
        <f>IF(OR(A692="",NOT(ISNUMBER(I692))),"",IF(G692=Lists!$B$5,I692/2,IF(G692=Lists!$B$7,I692,0)))</f>
        <v/>
      </c>
      <c r="O692" s="53">
        <f>IF(COUNTA(A692:K692)=0,"",IF(OR(A692="",B692="",C692="",D692="",E692="",F692="",G692="",NOT(ISNUMBER(I692))),"Incomplete",IF(COUNTIF(Lists!$H$4:$AA$4,C692)=0,"Check category",IF(COUNTIF(INDEX(Lists!$H$6:$AA$45,0,MATCH(C692,Lists!$H$4:$AA$4,0)),D692)=0,"Check sub-category","OK"))))</f>
        <v/>
      </c>
      <c r="P692">
        <f>IF(ISNUMBER(I692),I692+ROW()/10000000,"")</f>
        <v/>
      </c>
      <c r="Q692">
        <f>IF(AND(ISNUMBER(P692),ISNUMBER(A692)),IF(AND(A692&gt;=Dashboard!$Q$3,A692&lt;=Dashboard!$Q$4,OR(J692&lt;&gt;"Yes",Dashboard!$Q$15="Yes")),P692,""),"")</f>
        <v/>
      </c>
    </row>
    <row r="693">
      <c r="A693" s="47" t="n"/>
      <c r="B693" s="48" t="n"/>
      <c r="C693" s="48" t="n"/>
      <c r="D693" s="48" t="n"/>
      <c r="E693" s="48" t="n"/>
      <c r="F693" s="48" t="n"/>
      <c r="G693" s="48" t="n"/>
      <c r="H693" s="48" t="n"/>
      <c r="I693" s="49" t="n"/>
      <c r="J693" s="50" t="n"/>
      <c r="K693" s="48" t="n"/>
      <c r="L693" s="51">
        <f>IF(A693="","",DATE(YEAR(A693),MONTH(A693),1))</f>
        <v/>
      </c>
      <c r="M693" s="52">
        <f>IF(OR(A693="",NOT(ISNUMBER(I693))),"",IF(G693=Lists!$B$5,I693/2,IF(G693=Lists!$B$6,I693,0)))</f>
        <v/>
      </c>
      <c r="N693" s="52">
        <f>IF(OR(A693="",NOT(ISNUMBER(I693))),"",IF(G693=Lists!$B$5,I693/2,IF(G693=Lists!$B$7,I693,0)))</f>
        <v/>
      </c>
      <c r="O693" s="53">
        <f>IF(COUNTA(A693:K693)=0,"",IF(OR(A693="",B693="",C693="",D693="",E693="",F693="",G693="",NOT(ISNUMBER(I693))),"Incomplete",IF(COUNTIF(Lists!$H$4:$AA$4,C693)=0,"Check category",IF(COUNTIF(INDEX(Lists!$H$6:$AA$45,0,MATCH(C693,Lists!$H$4:$AA$4,0)),D693)=0,"Check sub-category","OK"))))</f>
        <v/>
      </c>
      <c r="P693">
        <f>IF(ISNUMBER(I693),I693+ROW()/10000000,"")</f>
        <v/>
      </c>
      <c r="Q693">
        <f>IF(AND(ISNUMBER(P693),ISNUMBER(A693)),IF(AND(A693&gt;=Dashboard!$Q$3,A693&lt;=Dashboard!$Q$4,OR(J693&lt;&gt;"Yes",Dashboard!$Q$15="Yes")),P693,""),"")</f>
        <v/>
      </c>
    </row>
    <row r="694">
      <c r="A694" s="47" t="n"/>
      <c r="B694" s="48" t="n"/>
      <c r="C694" s="48" t="n"/>
      <c r="D694" s="48" t="n"/>
      <c r="E694" s="48" t="n"/>
      <c r="F694" s="48" t="n"/>
      <c r="G694" s="48" t="n"/>
      <c r="H694" s="48" t="n"/>
      <c r="I694" s="49" t="n"/>
      <c r="J694" s="50" t="n"/>
      <c r="K694" s="48" t="n"/>
      <c r="L694" s="51">
        <f>IF(A694="","",DATE(YEAR(A694),MONTH(A694),1))</f>
        <v/>
      </c>
      <c r="M694" s="52">
        <f>IF(OR(A694="",NOT(ISNUMBER(I694))),"",IF(G694=Lists!$B$5,I694/2,IF(G694=Lists!$B$6,I694,0)))</f>
        <v/>
      </c>
      <c r="N694" s="52">
        <f>IF(OR(A694="",NOT(ISNUMBER(I694))),"",IF(G694=Lists!$B$5,I694/2,IF(G694=Lists!$B$7,I694,0)))</f>
        <v/>
      </c>
      <c r="O694" s="53">
        <f>IF(COUNTA(A694:K694)=0,"",IF(OR(A694="",B694="",C694="",D694="",E694="",F694="",G694="",NOT(ISNUMBER(I694))),"Incomplete",IF(COUNTIF(Lists!$H$4:$AA$4,C694)=0,"Check category",IF(COUNTIF(INDEX(Lists!$H$6:$AA$45,0,MATCH(C694,Lists!$H$4:$AA$4,0)),D694)=0,"Check sub-category","OK"))))</f>
        <v/>
      </c>
      <c r="P694">
        <f>IF(ISNUMBER(I694),I694+ROW()/10000000,"")</f>
        <v/>
      </c>
      <c r="Q694">
        <f>IF(AND(ISNUMBER(P694),ISNUMBER(A694)),IF(AND(A694&gt;=Dashboard!$Q$3,A694&lt;=Dashboard!$Q$4,OR(J694&lt;&gt;"Yes",Dashboard!$Q$15="Yes")),P694,""),"")</f>
        <v/>
      </c>
    </row>
    <row r="695">
      <c r="A695" s="47" t="n"/>
      <c r="B695" s="48" t="n"/>
      <c r="C695" s="48" t="n"/>
      <c r="D695" s="48" t="n"/>
      <c r="E695" s="48" t="n"/>
      <c r="F695" s="48" t="n"/>
      <c r="G695" s="48" t="n"/>
      <c r="H695" s="48" t="n"/>
      <c r="I695" s="49" t="n"/>
      <c r="J695" s="50" t="n"/>
      <c r="K695" s="48" t="n"/>
      <c r="L695" s="51">
        <f>IF(A695="","",DATE(YEAR(A695),MONTH(A695),1))</f>
        <v/>
      </c>
      <c r="M695" s="52">
        <f>IF(OR(A695="",NOT(ISNUMBER(I695))),"",IF(G695=Lists!$B$5,I695/2,IF(G695=Lists!$B$6,I695,0)))</f>
        <v/>
      </c>
      <c r="N695" s="52">
        <f>IF(OR(A695="",NOT(ISNUMBER(I695))),"",IF(G695=Lists!$B$5,I695/2,IF(G695=Lists!$B$7,I695,0)))</f>
        <v/>
      </c>
      <c r="O695" s="53">
        <f>IF(COUNTA(A695:K695)=0,"",IF(OR(A695="",B695="",C695="",D695="",E695="",F695="",G695="",NOT(ISNUMBER(I695))),"Incomplete",IF(COUNTIF(Lists!$H$4:$AA$4,C695)=0,"Check category",IF(COUNTIF(INDEX(Lists!$H$6:$AA$45,0,MATCH(C695,Lists!$H$4:$AA$4,0)),D695)=0,"Check sub-category","OK"))))</f>
        <v/>
      </c>
      <c r="P695">
        <f>IF(ISNUMBER(I695),I695+ROW()/10000000,"")</f>
        <v/>
      </c>
      <c r="Q695">
        <f>IF(AND(ISNUMBER(P695),ISNUMBER(A695)),IF(AND(A695&gt;=Dashboard!$Q$3,A695&lt;=Dashboard!$Q$4,OR(J695&lt;&gt;"Yes",Dashboard!$Q$15="Yes")),P695,""),"")</f>
        <v/>
      </c>
    </row>
    <row r="696">
      <c r="A696" s="47" t="n"/>
      <c r="B696" s="48" t="n"/>
      <c r="C696" s="48" t="n"/>
      <c r="D696" s="48" t="n"/>
      <c r="E696" s="48" t="n"/>
      <c r="F696" s="48" t="n"/>
      <c r="G696" s="48" t="n"/>
      <c r="H696" s="48" t="n"/>
      <c r="I696" s="49" t="n"/>
      <c r="J696" s="50" t="n"/>
      <c r="K696" s="48" t="n"/>
      <c r="L696" s="51">
        <f>IF(A696="","",DATE(YEAR(A696),MONTH(A696),1))</f>
        <v/>
      </c>
      <c r="M696" s="52">
        <f>IF(OR(A696="",NOT(ISNUMBER(I696))),"",IF(G696=Lists!$B$5,I696/2,IF(G696=Lists!$B$6,I696,0)))</f>
        <v/>
      </c>
      <c r="N696" s="52">
        <f>IF(OR(A696="",NOT(ISNUMBER(I696))),"",IF(G696=Lists!$B$5,I696/2,IF(G696=Lists!$B$7,I696,0)))</f>
        <v/>
      </c>
      <c r="O696" s="53">
        <f>IF(COUNTA(A696:K696)=0,"",IF(OR(A696="",B696="",C696="",D696="",E696="",F696="",G696="",NOT(ISNUMBER(I696))),"Incomplete",IF(COUNTIF(Lists!$H$4:$AA$4,C696)=0,"Check category",IF(COUNTIF(INDEX(Lists!$H$6:$AA$45,0,MATCH(C696,Lists!$H$4:$AA$4,0)),D696)=0,"Check sub-category","OK"))))</f>
        <v/>
      </c>
      <c r="P696">
        <f>IF(ISNUMBER(I696),I696+ROW()/10000000,"")</f>
        <v/>
      </c>
      <c r="Q696">
        <f>IF(AND(ISNUMBER(P696),ISNUMBER(A696)),IF(AND(A696&gt;=Dashboard!$Q$3,A696&lt;=Dashboard!$Q$4,OR(J696&lt;&gt;"Yes",Dashboard!$Q$15="Yes")),P696,""),"")</f>
        <v/>
      </c>
    </row>
    <row r="697">
      <c r="A697" s="47" t="n"/>
      <c r="B697" s="48" t="n"/>
      <c r="C697" s="48" t="n"/>
      <c r="D697" s="48" t="n"/>
      <c r="E697" s="48" t="n"/>
      <c r="F697" s="48" t="n"/>
      <c r="G697" s="48" t="n"/>
      <c r="H697" s="48" t="n"/>
      <c r="I697" s="49" t="n"/>
      <c r="J697" s="50" t="n"/>
      <c r="K697" s="48" t="n"/>
      <c r="L697" s="51">
        <f>IF(A697="","",DATE(YEAR(A697),MONTH(A697),1))</f>
        <v/>
      </c>
      <c r="M697" s="52">
        <f>IF(OR(A697="",NOT(ISNUMBER(I697))),"",IF(G697=Lists!$B$5,I697/2,IF(G697=Lists!$B$6,I697,0)))</f>
        <v/>
      </c>
      <c r="N697" s="52">
        <f>IF(OR(A697="",NOT(ISNUMBER(I697))),"",IF(G697=Lists!$B$5,I697/2,IF(G697=Lists!$B$7,I697,0)))</f>
        <v/>
      </c>
      <c r="O697" s="53">
        <f>IF(COUNTA(A697:K697)=0,"",IF(OR(A697="",B697="",C697="",D697="",E697="",F697="",G697="",NOT(ISNUMBER(I697))),"Incomplete",IF(COUNTIF(Lists!$H$4:$AA$4,C697)=0,"Check category",IF(COUNTIF(INDEX(Lists!$H$6:$AA$45,0,MATCH(C697,Lists!$H$4:$AA$4,0)),D697)=0,"Check sub-category","OK"))))</f>
        <v/>
      </c>
      <c r="P697">
        <f>IF(ISNUMBER(I697),I697+ROW()/10000000,"")</f>
        <v/>
      </c>
      <c r="Q697">
        <f>IF(AND(ISNUMBER(P697),ISNUMBER(A697)),IF(AND(A697&gt;=Dashboard!$Q$3,A697&lt;=Dashboard!$Q$4,OR(J697&lt;&gt;"Yes",Dashboard!$Q$15="Yes")),P697,""),"")</f>
        <v/>
      </c>
    </row>
    <row r="698">
      <c r="A698" s="47" t="n"/>
      <c r="B698" s="48" t="n"/>
      <c r="C698" s="48" t="n"/>
      <c r="D698" s="48" t="n"/>
      <c r="E698" s="48" t="n"/>
      <c r="F698" s="48" t="n"/>
      <c r="G698" s="48" t="n"/>
      <c r="H698" s="48" t="n"/>
      <c r="I698" s="49" t="n"/>
      <c r="J698" s="50" t="n"/>
      <c r="K698" s="48" t="n"/>
      <c r="L698" s="51">
        <f>IF(A698="","",DATE(YEAR(A698),MONTH(A698),1))</f>
        <v/>
      </c>
      <c r="M698" s="52">
        <f>IF(OR(A698="",NOT(ISNUMBER(I698))),"",IF(G698=Lists!$B$5,I698/2,IF(G698=Lists!$B$6,I698,0)))</f>
        <v/>
      </c>
      <c r="N698" s="52">
        <f>IF(OR(A698="",NOT(ISNUMBER(I698))),"",IF(G698=Lists!$B$5,I698/2,IF(G698=Lists!$B$7,I698,0)))</f>
        <v/>
      </c>
      <c r="O698" s="53">
        <f>IF(COUNTA(A698:K698)=0,"",IF(OR(A698="",B698="",C698="",D698="",E698="",F698="",G698="",NOT(ISNUMBER(I698))),"Incomplete",IF(COUNTIF(Lists!$H$4:$AA$4,C698)=0,"Check category",IF(COUNTIF(INDEX(Lists!$H$6:$AA$45,0,MATCH(C698,Lists!$H$4:$AA$4,0)),D698)=0,"Check sub-category","OK"))))</f>
        <v/>
      </c>
      <c r="P698">
        <f>IF(ISNUMBER(I698),I698+ROW()/10000000,"")</f>
        <v/>
      </c>
      <c r="Q698">
        <f>IF(AND(ISNUMBER(P698),ISNUMBER(A698)),IF(AND(A698&gt;=Dashboard!$Q$3,A698&lt;=Dashboard!$Q$4,OR(J698&lt;&gt;"Yes",Dashboard!$Q$15="Yes")),P698,""),"")</f>
        <v/>
      </c>
    </row>
    <row r="699">
      <c r="A699" s="47" t="n"/>
      <c r="B699" s="48" t="n"/>
      <c r="C699" s="48" t="n"/>
      <c r="D699" s="48" t="n"/>
      <c r="E699" s="48" t="n"/>
      <c r="F699" s="48" t="n"/>
      <c r="G699" s="48" t="n"/>
      <c r="H699" s="48" t="n"/>
      <c r="I699" s="49" t="n"/>
      <c r="J699" s="50" t="n"/>
      <c r="K699" s="48" t="n"/>
      <c r="L699" s="51">
        <f>IF(A699="","",DATE(YEAR(A699),MONTH(A699),1))</f>
        <v/>
      </c>
      <c r="M699" s="52">
        <f>IF(OR(A699="",NOT(ISNUMBER(I699))),"",IF(G699=Lists!$B$5,I699/2,IF(G699=Lists!$B$6,I699,0)))</f>
        <v/>
      </c>
      <c r="N699" s="52">
        <f>IF(OR(A699="",NOT(ISNUMBER(I699))),"",IF(G699=Lists!$B$5,I699/2,IF(G699=Lists!$B$7,I699,0)))</f>
        <v/>
      </c>
      <c r="O699" s="53">
        <f>IF(COUNTA(A699:K699)=0,"",IF(OR(A699="",B699="",C699="",D699="",E699="",F699="",G699="",NOT(ISNUMBER(I699))),"Incomplete",IF(COUNTIF(Lists!$H$4:$AA$4,C699)=0,"Check category",IF(COUNTIF(INDEX(Lists!$H$6:$AA$45,0,MATCH(C699,Lists!$H$4:$AA$4,0)),D699)=0,"Check sub-category","OK"))))</f>
        <v/>
      </c>
      <c r="P699">
        <f>IF(ISNUMBER(I699),I699+ROW()/10000000,"")</f>
        <v/>
      </c>
      <c r="Q699">
        <f>IF(AND(ISNUMBER(P699),ISNUMBER(A699)),IF(AND(A699&gt;=Dashboard!$Q$3,A699&lt;=Dashboard!$Q$4,OR(J699&lt;&gt;"Yes",Dashboard!$Q$15="Yes")),P699,""),"")</f>
        <v/>
      </c>
    </row>
    <row r="700">
      <c r="A700" s="47" t="n"/>
      <c r="B700" s="48" t="n"/>
      <c r="C700" s="48" t="n"/>
      <c r="D700" s="48" t="n"/>
      <c r="E700" s="48" t="n"/>
      <c r="F700" s="48" t="n"/>
      <c r="G700" s="48" t="n"/>
      <c r="H700" s="48" t="n"/>
      <c r="I700" s="49" t="n"/>
      <c r="J700" s="50" t="n"/>
      <c r="K700" s="48" t="n"/>
      <c r="L700" s="51">
        <f>IF(A700="","",DATE(YEAR(A700),MONTH(A700),1))</f>
        <v/>
      </c>
      <c r="M700" s="52">
        <f>IF(OR(A700="",NOT(ISNUMBER(I700))),"",IF(G700=Lists!$B$5,I700/2,IF(G700=Lists!$B$6,I700,0)))</f>
        <v/>
      </c>
      <c r="N700" s="52">
        <f>IF(OR(A700="",NOT(ISNUMBER(I700))),"",IF(G700=Lists!$B$5,I700/2,IF(G700=Lists!$B$7,I700,0)))</f>
        <v/>
      </c>
      <c r="O700" s="53">
        <f>IF(COUNTA(A700:K700)=0,"",IF(OR(A700="",B700="",C700="",D700="",E700="",F700="",G700="",NOT(ISNUMBER(I700))),"Incomplete",IF(COUNTIF(Lists!$H$4:$AA$4,C700)=0,"Check category",IF(COUNTIF(INDEX(Lists!$H$6:$AA$45,0,MATCH(C700,Lists!$H$4:$AA$4,0)),D700)=0,"Check sub-category","OK"))))</f>
        <v/>
      </c>
      <c r="P700">
        <f>IF(ISNUMBER(I700),I700+ROW()/10000000,"")</f>
        <v/>
      </c>
      <c r="Q700">
        <f>IF(AND(ISNUMBER(P700),ISNUMBER(A700)),IF(AND(A700&gt;=Dashboard!$Q$3,A700&lt;=Dashboard!$Q$4,OR(J700&lt;&gt;"Yes",Dashboard!$Q$15="Yes")),P700,""),"")</f>
        <v/>
      </c>
    </row>
    <row r="701">
      <c r="A701" s="47" t="n"/>
      <c r="B701" s="48" t="n"/>
      <c r="C701" s="48" t="n"/>
      <c r="D701" s="48" t="n"/>
      <c r="E701" s="48" t="n"/>
      <c r="F701" s="48" t="n"/>
      <c r="G701" s="48" t="n"/>
      <c r="H701" s="48" t="n"/>
      <c r="I701" s="49" t="n"/>
      <c r="J701" s="50" t="n"/>
      <c r="K701" s="48" t="n"/>
      <c r="L701" s="51">
        <f>IF(A701="","",DATE(YEAR(A701),MONTH(A701),1))</f>
        <v/>
      </c>
      <c r="M701" s="52">
        <f>IF(OR(A701="",NOT(ISNUMBER(I701))),"",IF(G701=Lists!$B$5,I701/2,IF(G701=Lists!$B$6,I701,0)))</f>
        <v/>
      </c>
      <c r="N701" s="52">
        <f>IF(OR(A701="",NOT(ISNUMBER(I701))),"",IF(G701=Lists!$B$5,I701/2,IF(G701=Lists!$B$7,I701,0)))</f>
        <v/>
      </c>
      <c r="O701" s="53">
        <f>IF(COUNTA(A701:K701)=0,"",IF(OR(A701="",B701="",C701="",D701="",E701="",F701="",G701="",NOT(ISNUMBER(I701))),"Incomplete",IF(COUNTIF(Lists!$H$4:$AA$4,C701)=0,"Check category",IF(COUNTIF(INDEX(Lists!$H$6:$AA$45,0,MATCH(C701,Lists!$H$4:$AA$4,0)),D701)=0,"Check sub-category","OK"))))</f>
        <v/>
      </c>
      <c r="P701">
        <f>IF(ISNUMBER(I701),I701+ROW()/10000000,"")</f>
        <v/>
      </c>
      <c r="Q701">
        <f>IF(AND(ISNUMBER(P701),ISNUMBER(A701)),IF(AND(A701&gt;=Dashboard!$Q$3,A701&lt;=Dashboard!$Q$4,OR(J701&lt;&gt;"Yes",Dashboard!$Q$15="Yes")),P701,""),"")</f>
        <v/>
      </c>
    </row>
    <row r="702">
      <c r="A702" s="47" t="n"/>
      <c r="B702" s="48" t="n"/>
      <c r="C702" s="48" t="n"/>
      <c r="D702" s="48" t="n"/>
      <c r="E702" s="48" t="n"/>
      <c r="F702" s="48" t="n"/>
      <c r="G702" s="48" t="n"/>
      <c r="H702" s="48" t="n"/>
      <c r="I702" s="49" t="n"/>
      <c r="J702" s="50" t="n"/>
      <c r="K702" s="48" t="n"/>
      <c r="L702" s="51">
        <f>IF(A702="","",DATE(YEAR(A702),MONTH(A702),1))</f>
        <v/>
      </c>
      <c r="M702" s="52">
        <f>IF(OR(A702="",NOT(ISNUMBER(I702))),"",IF(G702=Lists!$B$5,I702/2,IF(G702=Lists!$B$6,I702,0)))</f>
        <v/>
      </c>
      <c r="N702" s="52">
        <f>IF(OR(A702="",NOT(ISNUMBER(I702))),"",IF(G702=Lists!$B$5,I702/2,IF(G702=Lists!$B$7,I702,0)))</f>
        <v/>
      </c>
      <c r="O702" s="53">
        <f>IF(COUNTA(A702:K702)=0,"",IF(OR(A702="",B702="",C702="",D702="",E702="",F702="",G702="",NOT(ISNUMBER(I702))),"Incomplete",IF(COUNTIF(Lists!$H$4:$AA$4,C702)=0,"Check category",IF(COUNTIF(INDEX(Lists!$H$6:$AA$45,0,MATCH(C702,Lists!$H$4:$AA$4,0)),D702)=0,"Check sub-category","OK"))))</f>
        <v/>
      </c>
      <c r="P702">
        <f>IF(ISNUMBER(I702),I702+ROW()/10000000,"")</f>
        <v/>
      </c>
      <c r="Q702">
        <f>IF(AND(ISNUMBER(P702),ISNUMBER(A702)),IF(AND(A702&gt;=Dashboard!$Q$3,A702&lt;=Dashboard!$Q$4,OR(J702&lt;&gt;"Yes",Dashboard!$Q$15="Yes")),P702,""),"")</f>
        <v/>
      </c>
    </row>
    <row r="703">
      <c r="A703" s="47" t="n"/>
      <c r="B703" s="48" t="n"/>
      <c r="C703" s="48" t="n"/>
      <c r="D703" s="48" t="n"/>
      <c r="E703" s="48" t="n"/>
      <c r="F703" s="48" t="n"/>
      <c r="G703" s="48" t="n"/>
      <c r="H703" s="48" t="n"/>
      <c r="I703" s="49" t="n"/>
      <c r="J703" s="50" t="n"/>
      <c r="K703" s="48" t="n"/>
      <c r="L703" s="51">
        <f>IF(A703="","",DATE(YEAR(A703),MONTH(A703),1))</f>
        <v/>
      </c>
      <c r="M703" s="52">
        <f>IF(OR(A703="",NOT(ISNUMBER(I703))),"",IF(G703=Lists!$B$5,I703/2,IF(G703=Lists!$B$6,I703,0)))</f>
        <v/>
      </c>
      <c r="N703" s="52">
        <f>IF(OR(A703="",NOT(ISNUMBER(I703))),"",IF(G703=Lists!$B$5,I703/2,IF(G703=Lists!$B$7,I703,0)))</f>
        <v/>
      </c>
      <c r="O703" s="53">
        <f>IF(COUNTA(A703:K703)=0,"",IF(OR(A703="",B703="",C703="",D703="",E703="",F703="",G703="",NOT(ISNUMBER(I703))),"Incomplete",IF(COUNTIF(Lists!$H$4:$AA$4,C703)=0,"Check category",IF(COUNTIF(INDEX(Lists!$H$6:$AA$45,0,MATCH(C703,Lists!$H$4:$AA$4,0)),D703)=0,"Check sub-category","OK"))))</f>
        <v/>
      </c>
      <c r="P703">
        <f>IF(ISNUMBER(I703),I703+ROW()/10000000,"")</f>
        <v/>
      </c>
      <c r="Q703">
        <f>IF(AND(ISNUMBER(P703),ISNUMBER(A703)),IF(AND(A703&gt;=Dashboard!$Q$3,A703&lt;=Dashboard!$Q$4,OR(J703&lt;&gt;"Yes",Dashboard!$Q$15="Yes")),P703,""),"")</f>
        <v/>
      </c>
    </row>
    <row r="704">
      <c r="A704" s="47" t="n"/>
      <c r="B704" s="48" t="n"/>
      <c r="C704" s="48" t="n"/>
      <c r="D704" s="48" t="n"/>
      <c r="E704" s="48" t="n"/>
      <c r="F704" s="48" t="n"/>
      <c r="G704" s="48" t="n"/>
      <c r="H704" s="48" t="n"/>
      <c r="I704" s="49" t="n"/>
      <c r="J704" s="50" t="n"/>
      <c r="K704" s="48" t="n"/>
      <c r="L704" s="51">
        <f>IF(A704="","",DATE(YEAR(A704),MONTH(A704),1))</f>
        <v/>
      </c>
      <c r="M704" s="52">
        <f>IF(OR(A704="",NOT(ISNUMBER(I704))),"",IF(G704=Lists!$B$5,I704/2,IF(G704=Lists!$B$6,I704,0)))</f>
        <v/>
      </c>
      <c r="N704" s="52">
        <f>IF(OR(A704="",NOT(ISNUMBER(I704))),"",IF(G704=Lists!$B$5,I704/2,IF(G704=Lists!$B$7,I704,0)))</f>
        <v/>
      </c>
      <c r="O704" s="53">
        <f>IF(COUNTA(A704:K704)=0,"",IF(OR(A704="",B704="",C704="",D704="",E704="",F704="",G704="",NOT(ISNUMBER(I704))),"Incomplete",IF(COUNTIF(Lists!$H$4:$AA$4,C704)=0,"Check category",IF(COUNTIF(INDEX(Lists!$H$6:$AA$45,0,MATCH(C704,Lists!$H$4:$AA$4,0)),D704)=0,"Check sub-category","OK"))))</f>
        <v/>
      </c>
      <c r="P704">
        <f>IF(ISNUMBER(I704),I704+ROW()/10000000,"")</f>
        <v/>
      </c>
      <c r="Q704">
        <f>IF(AND(ISNUMBER(P704),ISNUMBER(A704)),IF(AND(A704&gt;=Dashboard!$Q$3,A704&lt;=Dashboard!$Q$4,OR(J704&lt;&gt;"Yes",Dashboard!$Q$15="Yes")),P704,""),"")</f>
        <v/>
      </c>
    </row>
    <row r="705">
      <c r="A705" s="47" t="n"/>
      <c r="B705" s="48" t="n"/>
      <c r="C705" s="48" t="n"/>
      <c r="D705" s="48" t="n"/>
      <c r="E705" s="48" t="n"/>
      <c r="F705" s="48" t="n"/>
      <c r="G705" s="48" t="n"/>
      <c r="H705" s="48" t="n"/>
      <c r="I705" s="49" t="n"/>
      <c r="J705" s="50" t="n"/>
      <c r="K705" s="48" t="n"/>
      <c r="L705" s="51">
        <f>IF(A705="","",DATE(YEAR(A705),MONTH(A705),1))</f>
        <v/>
      </c>
      <c r="M705" s="52">
        <f>IF(OR(A705="",NOT(ISNUMBER(I705))),"",IF(G705=Lists!$B$5,I705/2,IF(G705=Lists!$B$6,I705,0)))</f>
        <v/>
      </c>
      <c r="N705" s="52">
        <f>IF(OR(A705="",NOT(ISNUMBER(I705))),"",IF(G705=Lists!$B$5,I705/2,IF(G705=Lists!$B$7,I705,0)))</f>
        <v/>
      </c>
      <c r="O705" s="53">
        <f>IF(COUNTA(A705:K705)=0,"",IF(OR(A705="",B705="",C705="",D705="",E705="",F705="",G705="",NOT(ISNUMBER(I705))),"Incomplete",IF(COUNTIF(Lists!$H$4:$AA$4,C705)=0,"Check category",IF(COUNTIF(INDEX(Lists!$H$6:$AA$45,0,MATCH(C705,Lists!$H$4:$AA$4,0)),D705)=0,"Check sub-category","OK"))))</f>
        <v/>
      </c>
      <c r="P705">
        <f>IF(ISNUMBER(I705),I705+ROW()/10000000,"")</f>
        <v/>
      </c>
      <c r="Q705">
        <f>IF(AND(ISNUMBER(P705),ISNUMBER(A705)),IF(AND(A705&gt;=Dashboard!$Q$3,A705&lt;=Dashboard!$Q$4,OR(J705&lt;&gt;"Yes",Dashboard!$Q$15="Yes")),P705,""),"")</f>
        <v/>
      </c>
    </row>
    <row r="706">
      <c r="A706" s="47" t="n"/>
      <c r="B706" s="48" t="n"/>
      <c r="C706" s="48" t="n"/>
      <c r="D706" s="48" t="n"/>
      <c r="E706" s="48" t="n"/>
      <c r="F706" s="48" t="n"/>
      <c r="G706" s="48" t="n"/>
      <c r="H706" s="48" t="n"/>
      <c r="I706" s="49" t="n"/>
      <c r="J706" s="50" t="n"/>
      <c r="K706" s="48" t="n"/>
      <c r="L706" s="51">
        <f>IF(A706="","",DATE(YEAR(A706),MONTH(A706),1))</f>
        <v/>
      </c>
      <c r="M706" s="52">
        <f>IF(OR(A706="",NOT(ISNUMBER(I706))),"",IF(G706=Lists!$B$5,I706/2,IF(G706=Lists!$B$6,I706,0)))</f>
        <v/>
      </c>
      <c r="N706" s="52">
        <f>IF(OR(A706="",NOT(ISNUMBER(I706))),"",IF(G706=Lists!$B$5,I706/2,IF(G706=Lists!$B$7,I706,0)))</f>
        <v/>
      </c>
      <c r="O706" s="53">
        <f>IF(COUNTA(A706:K706)=0,"",IF(OR(A706="",B706="",C706="",D706="",E706="",F706="",G706="",NOT(ISNUMBER(I706))),"Incomplete",IF(COUNTIF(Lists!$H$4:$AA$4,C706)=0,"Check category",IF(COUNTIF(INDEX(Lists!$H$6:$AA$45,0,MATCH(C706,Lists!$H$4:$AA$4,0)),D706)=0,"Check sub-category","OK"))))</f>
        <v/>
      </c>
      <c r="P706">
        <f>IF(ISNUMBER(I706),I706+ROW()/10000000,"")</f>
        <v/>
      </c>
      <c r="Q706">
        <f>IF(AND(ISNUMBER(P706),ISNUMBER(A706)),IF(AND(A706&gt;=Dashboard!$Q$3,A706&lt;=Dashboard!$Q$4,OR(J706&lt;&gt;"Yes",Dashboard!$Q$15="Yes")),P706,""),"")</f>
        <v/>
      </c>
    </row>
    <row r="707">
      <c r="A707" s="47" t="n"/>
      <c r="B707" s="48" t="n"/>
      <c r="C707" s="48" t="n"/>
      <c r="D707" s="48" t="n"/>
      <c r="E707" s="48" t="n"/>
      <c r="F707" s="48" t="n"/>
      <c r="G707" s="48" t="n"/>
      <c r="H707" s="48" t="n"/>
      <c r="I707" s="49" t="n"/>
      <c r="J707" s="50" t="n"/>
      <c r="K707" s="48" t="n"/>
      <c r="L707" s="51">
        <f>IF(A707="","",DATE(YEAR(A707),MONTH(A707),1))</f>
        <v/>
      </c>
      <c r="M707" s="52">
        <f>IF(OR(A707="",NOT(ISNUMBER(I707))),"",IF(G707=Lists!$B$5,I707/2,IF(G707=Lists!$B$6,I707,0)))</f>
        <v/>
      </c>
      <c r="N707" s="52">
        <f>IF(OR(A707="",NOT(ISNUMBER(I707))),"",IF(G707=Lists!$B$5,I707/2,IF(G707=Lists!$B$7,I707,0)))</f>
        <v/>
      </c>
      <c r="O707" s="53">
        <f>IF(COUNTA(A707:K707)=0,"",IF(OR(A707="",B707="",C707="",D707="",E707="",F707="",G707="",NOT(ISNUMBER(I707))),"Incomplete",IF(COUNTIF(Lists!$H$4:$AA$4,C707)=0,"Check category",IF(COUNTIF(INDEX(Lists!$H$6:$AA$45,0,MATCH(C707,Lists!$H$4:$AA$4,0)),D707)=0,"Check sub-category","OK"))))</f>
        <v/>
      </c>
      <c r="P707">
        <f>IF(ISNUMBER(I707),I707+ROW()/10000000,"")</f>
        <v/>
      </c>
      <c r="Q707">
        <f>IF(AND(ISNUMBER(P707),ISNUMBER(A707)),IF(AND(A707&gt;=Dashboard!$Q$3,A707&lt;=Dashboard!$Q$4,OR(J707&lt;&gt;"Yes",Dashboard!$Q$15="Yes")),P707,""),"")</f>
        <v/>
      </c>
    </row>
    <row r="708">
      <c r="A708" s="47" t="n"/>
      <c r="B708" s="48" t="n"/>
      <c r="C708" s="48" t="n"/>
      <c r="D708" s="48" t="n"/>
      <c r="E708" s="48" t="n"/>
      <c r="F708" s="48" t="n"/>
      <c r="G708" s="48" t="n"/>
      <c r="H708" s="48" t="n"/>
      <c r="I708" s="49" t="n"/>
      <c r="J708" s="50" t="n"/>
      <c r="K708" s="48" t="n"/>
      <c r="L708" s="51">
        <f>IF(A708="","",DATE(YEAR(A708),MONTH(A708),1))</f>
        <v/>
      </c>
      <c r="M708" s="52">
        <f>IF(OR(A708="",NOT(ISNUMBER(I708))),"",IF(G708=Lists!$B$5,I708/2,IF(G708=Lists!$B$6,I708,0)))</f>
        <v/>
      </c>
      <c r="N708" s="52">
        <f>IF(OR(A708="",NOT(ISNUMBER(I708))),"",IF(G708=Lists!$B$5,I708/2,IF(G708=Lists!$B$7,I708,0)))</f>
        <v/>
      </c>
      <c r="O708" s="53">
        <f>IF(COUNTA(A708:K708)=0,"",IF(OR(A708="",B708="",C708="",D708="",E708="",F708="",G708="",NOT(ISNUMBER(I708))),"Incomplete",IF(COUNTIF(Lists!$H$4:$AA$4,C708)=0,"Check category",IF(COUNTIF(INDEX(Lists!$H$6:$AA$45,0,MATCH(C708,Lists!$H$4:$AA$4,0)),D708)=0,"Check sub-category","OK"))))</f>
        <v/>
      </c>
      <c r="P708">
        <f>IF(ISNUMBER(I708),I708+ROW()/10000000,"")</f>
        <v/>
      </c>
      <c r="Q708">
        <f>IF(AND(ISNUMBER(P708),ISNUMBER(A708)),IF(AND(A708&gt;=Dashboard!$Q$3,A708&lt;=Dashboard!$Q$4,OR(J708&lt;&gt;"Yes",Dashboard!$Q$15="Yes")),P708,""),"")</f>
        <v/>
      </c>
    </row>
    <row r="709">
      <c r="A709" s="47" t="n"/>
      <c r="B709" s="48" t="n"/>
      <c r="C709" s="48" t="n"/>
      <c r="D709" s="48" t="n"/>
      <c r="E709" s="48" t="n"/>
      <c r="F709" s="48" t="n"/>
      <c r="G709" s="48" t="n"/>
      <c r="H709" s="48" t="n"/>
      <c r="I709" s="49" t="n"/>
      <c r="J709" s="50" t="n"/>
      <c r="K709" s="48" t="n"/>
      <c r="L709" s="51">
        <f>IF(A709="","",DATE(YEAR(A709),MONTH(A709),1))</f>
        <v/>
      </c>
      <c r="M709" s="52">
        <f>IF(OR(A709="",NOT(ISNUMBER(I709))),"",IF(G709=Lists!$B$5,I709/2,IF(G709=Lists!$B$6,I709,0)))</f>
        <v/>
      </c>
      <c r="N709" s="52">
        <f>IF(OR(A709="",NOT(ISNUMBER(I709))),"",IF(G709=Lists!$B$5,I709/2,IF(G709=Lists!$B$7,I709,0)))</f>
        <v/>
      </c>
      <c r="O709" s="53">
        <f>IF(COUNTA(A709:K709)=0,"",IF(OR(A709="",B709="",C709="",D709="",E709="",F709="",G709="",NOT(ISNUMBER(I709))),"Incomplete",IF(COUNTIF(Lists!$H$4:$AA$4,C709)=0,"Check category",IF(COUNTIF(INDEX(Lists!$H$6:$AA$45,0,MATCH(C709,Lists!$H$4:$AA$4,0)),D709)=0,"Check sub-category","OK"))))</f>
        <v/>
      </c>
      <c r="P709">
        <f>IF(ISNUMBER(I709),I709+ROW()/10000000,"")</f>
        <v/>
      </c>
      <c r="Q709">
        <f>IF(AND(ISNUMBER(P709),ISNUMBER(A709)),IF(AND(A709&gt;=Dashboard!$Q$3,A709&lt;=Dashboard!$Q$4,OR(J709&lt;&gt;"Yes",Dashboard!$Q$15="Yes")),P709,""),"")</f>
        <v/>
      </c>
    </row>
    <row r="710">
      <c r="A710" s="47" t="n"/>
      <c r="B710" s="48" t="n"/>
      <c r="C710" s="48" t="n"/>
      <c r="D710" s="48" t="n"/>
      <c r="E710" s="48" t="n"/>
      <c r="F710" s="48" t="n"/>
      <c r="G710" s="48" t="n"/>
      <c r="H710" s="48" t="n"/>
      <c r="I710" s="49" t="n"/>
      <c r="J710" s="50" t="n"/>
      <c r="K710" s="48" t="n"/>
      <c r="L710" s="51">
        <f>IF(A710="","",DATE(YEAR(A710),MONTH(A710),1))</f>
        <v/>
      </c>
      <c r="M710" s="52">
        <f>IF(OR(A710="",NOT(ISNUMBER(I710))),"",IF(G710=Lists!$B$5,I710/2,IF(G710=Lists!$B$6,I710,0)))</f>
        <v/>
      </c>
      <c r="N710" s="52">
        <f>IF(OR(A710="",NOT(ISNUMBER(I710))),"",IF(G710=Lists!$B$5,I710/2,IF(G710=Lists!$B$7,I710,0)))</f>
        <v/>
      </c>
      <c r="O710" s="53">
        <f>IF(COUNTA(A710:K710)=0,"",IF(OR(A710="",B710="",C710="",D710="",E710="",F710="",G710="",NOT(ISNUMBER(I710))),"Incomplete",IF(COUNTIF(Lists!$H$4:$AA$4,C710)=0,"Check category",IF(COUNTIF(INDEX(Lists!$H$6:$AA$45,0,MATCH(C710,Lists!$H$4:$AA$4,0)),D710)=0,"Check sub-category","OK"))))</f>
        <v/>
      </c>
      <c r="P710">
        <f>IF(ISNUMBER(I710),I710+ROW()/10000000,"")</f>
        <v/>
      </c>
      <c r="Q710">
        <f>IF(AND(ISNUMBER(P710),ISNUMBER(A710)),IF(AND(A710&gt;=Dashboard!$Q$3,A710&lt;=Dashboard!$Q$4,OR(J710&lt;&gt;"Yes",Dashboard!$Q$15="Yes")),P710,""),"")</f>
        <v/>
      </c>
    </row>
    <row r="711">
      <c r="A711" s="47" t="n"/>
      <c r="B711" s="48" t="n"/>
      <c r="C711" s="48" t="n"/>
      <c r="D711" s="48" t="n"/>
      <c r="E711" s="48" t="n"/>
      <c r="F711" s="48" t="n"/>
      <c r="G711" s="48" t="n"/>
      <c r="H711" s="48" t="n"/>
      <c r="I711" s="49" t="n"/>
      <c r="J711" s="50" t="n"/>
      <c r="K711" s="48" t="n"/>
      <c r="L711" s="51">
        <f>IF(A711="","",DATE(YEAR(A711),MONTH(A711),1))</f>
        <v/>
      </c>
      <c r="M711" s="52">
        <f>IF(OR(A711="",NOT(ISNUMBER(I711))),"",IF(G711=Lists!$B$5,I711/2,IF(G711=Lists!$B$6,I711,0)))</f>
        <v/>
      </c>
      <c r="N711" s="52">
        <f>IF(OR(A711="",NOT(ISNUMBER(I711))),"",IF(G711=Lists!$B$5,I711/2,IF(G711=Lists!$B$7,I711,0)))</f>
        <v/>
      </c>
      <c r="O711" s="53">
        <f>IF(COUNTA(A711:K711)=0,"",IF(OR(A711="",B711="",C711="",D711="",E711="",F711="",G711="",NOT(ISNUMBER(I711))),"Incomplete",IF(COUNTIF(Lists!$H$4:$AA$4,C711)=0,"Check category",IF(COUNTIF(INDEX(Lists!$H$6:$AA$45,0,MATCH(C711,Lists!$H$4:$AA$4,0)),D711)=0,"Check sub-category","OK"))))</f>
        <v/>
      </c>
      <c r="P711">
        <f>IF(ISNUMBER(I711),I711+ROW()/10000000,"")</f>
        <v/>
      </c>
      <c r="Q711">
        <f>IF(AND(ISNUMBER(P711),ISNUMBER(A711)),IF(AND(A711&gt;=Dashboard!$Q$3,A711&lt;=Dashboard!$Q$4,OR(J711&lt;&gt;"Yes",Dashboard!$Q$15="Yes")),P711,""),"")</f>
        <v/>
      </c>
    </row>
    <row r="712">
      <c r="A712" s="47" t="n"/>
      <c r="B712" s="48" t="n"/>
      <c r="C712" s="48" t="n"/>
      <c r="D712" s="48" t="n"/>
      <c r="E712" s="48" t="n"/>
      <c r="F712" s="48" t="n"/>
      <c r="G712" s="48" t="n"/>
      <c r="H712" s="48" t="n"/>
      <c r="I712" s="49" t="n"/>
      <c r="J712" s="50" t="n"/>
      <c r="K712" s="48" t="n"/>
      <c r="L712" s="51">
        <f>IF(A712="","",DATE(YEAR(A712),MONTH(A712),1))</f>
        <v/>
      </c>
      <c r="M712" s="52">
        <f>IF(OR(A712="",NOT(ISNUMBER(I712))),"",IF(G712=Lists!$B$5,I712/2,IF(G712=Lists!$B$6,I712,0)))</f>
        <v/>
      </c>
      <c r="N712" s="52">
        <f>IF(OR(A712="",NOT(ISNUMBER(I712))),"",IF(G712=Lists!$B$5,I712/2,IF(G712=Lists!$B$7,I712,0)))</f>
        <v/>
      </c>
      <c r="O712" s="53">
        <f>IF(COUNTA(A712:K712)=0,"",IF(OR(A712="",B712="",C712="",D712="",E712="",F712="",G712="",NOT(ISNUMBER(I712))),"Incomplete",IF(COUNTIF(Lists!$H$4:$AA$4,C712)=0,"Check category",IF(COUNTIF(INDEX(Lists!$H$6:$AA$45,0,MATCH(C712,Lists!$H$4:$AA$4,0)),D712)=0,"Check sub-category","OK"))))</f>
        <v/>
      </c>
      <c r="P712">
        <f>IF(ISNUMBER(I712),I712+ROW()/10000000,"")</f>
        <v/>
      </c>
      <c r="Q712">
        <f>IF(AND(ISNUMBER(P712),ISNUMBER(A712)),IF(AND(A712&gt;=Dashboard!$Q$3,A712&lt;=Dashboard!$Q$4,OR(J712&lt;&gt;"Yes",Dashboard!$Q$15="Yes")),P712,""),"")</f>
        <v/>
      </c>
    </row>
    <row r="713">
      <c r="A713" s="47" t="n"/>
      <c r="B713" s="48" t="n"/>
      <c r="C713" s="48" t="n"/>
      <c r="D713" s="48" t="n"/>
      <c r="E713" s="48" t="n"/>
      <c r="F713" s="48" t="n"/>
      <c r="G713" s="48" t="n"/>
      <c r="H713" s="48" t="n"/>
      <c r="I713" s="49" t="n"/>
      <c r="J713" s="50" t="n"/>
      <c r="K713" s="48" t="n"/>
      <c r="L713" s="51">
        <f>IF(A713="","",DATE(YEAR(A713),MONTH(A713),1))</f>
        <v/>
      </c>
      <c r="M713" s="52">
        <f>IF(OR(A713="",NOT(ISNUMBER(I713))),"",IF(G713=Lists!$B$5,I713/2,IF(G713=Lists!$B$6,I713,0)))</f>
        <v/>
      </c>
      <c r="N713" s="52">
        <f>IF(OR(A713="",NOT(ISNUMBER(I713))),"",IF(G713=Lists!$B$5,I713/2,IF(G713=Lists!$B$7,I713,0)))</f>
        <v/>
      </c>
      <c r="O713" s="53">
        <f>IF(COUNTA(A713:K713)=0,"",IF(OR(A713="",B713="",C713="",D713="",E713="",F713="",G713="",NOT(ISNUMBER(I713))),"Incomplete",IF(COUNTIF(Lists!$H$4:$AA$4,C713)=0,"Check category",IF(COUNTIF(INDEX(Lists!$H$6:$AA$45,0,MATCH(C713,Lists!$H$4:$AA$4,0)),D713)=0,"Check sub-category","OK"))))</f>
        <v/>
      </c>
      <c r="P713">
        <f>IF(ISNUMBER(I713),I713+ROW()/10000000,"")</f>
        <v/>
      </c>
      <c r="Q713">
        <f>IF(AND(ISNUMBER(P713),ISNUMBER(A713)),IF(AND(A713&gt;=Dashboard!$Q$3,A713&lt;=Dashboard!$Q$4,OR(J713&lt;&gt;"Yes",Dashboard!$Q$15="Yes")),P713,""),"")</f>
        <v/>
      </c>
    </row>
    <row r="714">
      <c r="A714" s="47" t="n"/>
      <c r="B714" s="48" t="n"/>
      <c r="C714" s="48" t="n"/>
      <c r="D714" s="48" t="n"/>
      <c r="E714" s="48" t="n"/>
      <c r="F714" s="48" t="n"/>
      <c r="G714" s="48" t="n"/>
      <c r="H714" s="48" t="n"/>
      <c r="I714" s="49" t="n"/>
      <c r="J714" s="50" t="n"/>
      <c r="K714" s="48" t="n"/>
      <c r="L714" s="51">
        <f>IF(A714="","",DATE(YEAR(A714),MONTH(A714),1))</f>
        <v/>
      </c>
      <c r="M714" s="52">
        <f>IF(OR(A714="",NOT(ISNUMBER(I714))),"",IF(G714=Lists!$B$5,I714/2,IF(G714=Lists!$B$6,I714,0)))</f>
        <v/>
      </c>
      <c r="N714" s="52">
        <f>IF(OR(A714="",NOT(ISNUMBER(I714))),"",IF(G714=Lists!$B$5,I714/2,IF(G714=Lists!$B$7,I714,0)))</f>
        <v/>
      </c>
      <c r="O714" s="53">
        <f>IF(COUNTA(A714:K714)=0,"",IF(OR(A714="",B714="",C714="",D714="",E714="",F714="",G714="",NOT(ISNUMBER(I714))),"Incomplete",IF(COUNTIF(Lists!$H$4:$AA$4,C714)=0,"Check category",IF(COUNTIF(INDEX(Lists!$H$6:$AA$45,0,MATCH(C714,Lists!$H$4:$AA$4,0)),D714)=0,"Check sub-category","OK"))))</f>
        <v/>
      </c>
      <c r="P714">
        <f>IF(ISNUMBER(I714),I714+ROW()/10000000,"")</f>
        <v/>
      </c>
      <c r="Q714">
        <f>IF(AND(ISNUMBER(P714),ISNUMBER(A714)),IF(AND(A714&gt;=Dashboard!$Q$3,A714&lt;=Dashboard!$Q$4,OR(J714&lt;&gt;"Yes",Dashboard!$Q$15="Yes")),P714,""),"")</f>
        <v/>
      </c>
    </row>
    <row r="715">
      <c r="A715" s="47" t="n"/>
      <c r="B715" s="48" t="n"/>
      <c r="C715" s="48" t="n"/>
      <c r="D715" s="48" t="n"/>
      <c r="E715" s="48" t="n"/>
      <c r="F715" s="48" t="n"/>
      <c r="G715" s="48" t="n"/>
      <c r="H715" s="48" t="n"/>
      <c r="I715" s="49" t="n"/>
      <c r="J715" s="50" t="n"/>
      <c r="K715" s="48" t="n"/>
      <c r="L715" s="51">
        <f>IF(A715="","",DATE(YEAR(A715),MONTH(A715),1))</f>
        <v/>
      </c>
      <c r="M715" s="52">
        <f>IF(OR(A715="",NOT(ISNUMBER(I715))),"",IF(G715=Lists!$B$5,I715/2,IF(G715=Lists!$B$6,I715,0)))</f>
        <v/>
      </c>
      <c r="N715" s="52">
        <f>IF(OR(A715="",NOT(ISNUMBER(I715))),"",IF(G715=Lists!$B$5,I715/2,IF(G715=Lists!$B$7,I715,0)))</f>
        <v/>
      </c>
      <c r="O715" s="53">
        <f>IF(COUNTA(A715:K715)=0,"",IF(OR(A715="",B715="",C715="",D715="",E715="",F715="",G715="",NOT(ISNUMBER(I715))),"Incomplete",IF(COUNTIF(Lists!$H$4:$AA$4,C715)=0,"Check category",IF(COUNTIF(INDEX(Lists!$H$6:$AA$45,0,MATCH(C715,Lists!$H$4:$AA$4,0)),D715)=0,"Check sub-category","OK"))))</f>
        <v/>
      </c>
      <c r="P715">
        <f>IF(ISNUMBER(I715),I715+ROW()/10000000,"")</f>
        <v/>
      </c>
      <c r="Q715">
        <f>IF(AND(ISNUMBER(P715),ISNUMBER(A715)),IF(AND(A715&gt;=Dashboard!$Q$3,A715&lt;=Dashboard!$Q$4,OR(J715&lt;&gt;"Yes",Dashboard!$Q$15="Yes")),P715,""),"")</f>
        <v/>
      </c>
    </row>
    <row r="716">
      <c r="A716" s="47" t="n"/>
      <c r="B716" s="48" t="n"/>
      <c r="C716" s="48" t="n"/>
      <c r="D716" s="48" t="n"/>
      <c r="E716" s="48" t="n"/>
      <c r="F716" s="48" t="n"/>
      <c r="G716" s="48" t="n"/>
      <c r="H716" s="48" t="n"/>
      <c r="I716" s="49" t="n"/>
      <c r="J716" s="50" t="n"/>
      <c r="K716" s="48" t="n"/>
      <c r="L716" s="51">
        <f>IF(A716="","",DATE(YEAR(A716),MONTH(A716),1))</f>
        <v/>
      </c>
      <c r="M716" s="52">
        <f>IF(OR(A716="",NOT(ISNUMBER(I716))),"",IF(G716=Lists!$B$5,I716/2,IF(G716=Lists!$B$6,I716,0)))</f>
        <v/>
      </c>
      <c r="N716" s="52">
        <f>IF(OR(A716="",NOT(ISNUMBER(I716))),"",IF(G716=Lists!$B$5,I716/2,IF(G716=Lists!$B$7,I716,0)))</f>
        <v/>
      </c>
      <c r="O716" s="53">
        <f>IF(COUNTA(A716:K716)=0,"",IF(OR(A716="",B716="",C716="",D716="",E716="",F716="",G716="",NOT(ISNUMBER(I716))),"Incomplete",IF(COUNTIF(Lists!$H$4:$AA$4,C716)=0,"Check category",IF(COUNTIF(INDEX(Lists!$H$6:$AA$45,0,MATCH(C716,Lists!$H$4:$AA$4,0)),D716)=0,"Check sub-category","OK"))))</f>
        <v/>
      </c>
      <c r="P716">
        <f>IF(ISNUMBER(I716),I716+ROW()/10000000,"")</f>
        <v/>
      </c>
      <c r="Q716">
        <f>IF(AND(ISNUMBER(P716),ISNUMBER(A716)),IF(AND(A716&gt;=Dashboard!$Q$3,A716&lt;=Dashboard!$Q$4,OR(J716&lt;&gt;"Yes",Dashboard!$Q$15="Yes")),P716,""),"")</f>
        <v/>
      </c>
    </row>
    <row r="717">
      <c r="A717" s="47" t="n"/>
      <c r="B717" s="48" t="n"/>
      <c r="C717" s="48" t="n"/>
      <c r="D717" s="48" t="n"/>
      <c r="E717" s="48" t="n"/>
      <c r="F717" s="48" t="n"/>
      <c r="G717" s="48" t="n"/>
      <c r="H717" s="48" t="n"/>
      <c r="I717" s="49" t="n"/>
      <c r="J717" s="50" t="n"/>
      <c r="K717" s="48" t="n"/>
      <c r="L717" s="51">
        <f>IF(A717="","",DATE(YEAR(A717),MONTH(A717),1))</f>
        <v/>
      </c>
      <c r="M717" s="52">
        <f>IF(OR(A717="",NOT(ISNUMBER(I717))),"",IF(G717=Lists!$B$5,I717/2,IF(G717=Lists!$B$6,I717,0)))</f>
        <v/>
      </c>
      <c r="N717" s="52">
        <f>IF(OR(A717="",NOT(ISNUMBER(I717))),"",IF(G717=Lists!$B$5,I717/2,IF(G717=Lists!$B$7,I717,0)))</f>
        <v/>
      </c>
      <c r="O717" s="53">
        <f>IF(COUNTA(A717:K717)=0,"",IF(OR(A717="",B717="",C717="",D717="",E717="",F717="",G717="",NOT(ISNUMBER(I717))),"Incomplete",IF(COUNTIF(Lists!$H$4:$AA$4,C717)=0,"Check category",IF(COUNTIF(INDEX(Lists!$H$6:$AA$45,0,MATCH(C717,Lists!$H$4:$AA$4,0)),D717)=0,"Check sub-category","OK"))))</f>
        <v/>
      </c>
      <c r="P717">
        <f>IF(ISNUMBER(I717),I717+ROW()/10000000,"")</f>
        <v/>
      </c>
      <c r="Q717">
        <f>IF(AND(ISNUMBER(P717),ISNUMBER(A717)),IF(AND(A717&gt;=Dashboard!$Q$3,A717&lt;=Dashboard!$Q$4,OR(J717&lt;&gt;"Yes",Dashboard!$Q$15="Yes")),P717,""),"")</f>
        <v/>
      </c>
    </row>
    <row r="718">
      <c r="A718" s="47" t="n"/>
      <c r="B718" s="48" t="n"/>
      <c r="C718" s="48" t="n"/>
      <c r="D718" s="48" t="n"/>
      <c r="E718" s="48" t="n"/>
      <c r="F718" s="48" t="n"/>
      <c r="G718" s="48" t="n"/>
      <c r="H718" s="48" t="n"/>
      <c r="I718" s="49" t="n"/>
      <c r="J718" s="50" t="n"/>
      <c r="K718" s="48" t="n"/>
      <c r="L718" s="51">
        <f>IF(A718="","",DATE(YEAR(A718),MONTH(A718),1))</f>
        <v/>
      </c>
      <c r="M718" s="52">
        <f>IF(OR(A718="",NOT(ISNUMBER(I718))),"",IF(G718=Lists!$B$5,I718/2,IF(G718=Lists!$B$6,I718,0)))</f>
        <v/>
      </c>
      <c r="N718" s="52">
        <f>IF(OR(A718="",NOT(ISNUMBER(I718))),"",IF(G718=Lists!$B$5,I718/2,IF(G718=Lists!$B$7,I718,0)))</f>
        <v/>
      </c>
      <c r="O718" s="53">
        <f>IF(COUNTA(A718:K718)=0,"",IF(OR(A718="",B718="",C718="",D718="",E718="",F718="",G718="",NOT(ISNUMBER(I718))),"Incomplete",IF(COUNTIF(Lists!$H$4:$AA$4,C718)=0,"Check category",IF(COUNTIF(INDEX(Lists!$H$6:$AA$45,0,MATCH(C718,Lists!$H$4:$AA$4,0)),D718)=0,"Check sub-category","OK"))))</f>
        <v/>
      </c>
      <c r="P718">
        <f>IF(ISNUMBER(I718),I718+ROW()/10000000,"")</f>
        <v/>
      </c>
      <c r="Q718">
        <f>IF(AND(ISNUMBER(P718),ISNUMBER(A718)),IF(AND(A718&gt;=Dashboard!$Q$3,A718&lt;=Dashboard!$Q$4,OR(J718&lt;&gt;"Yes",Dashboard!$Q$15="Yes")),P718,""),"")</f>
        <v/>
      </c>
    </row>
    <row r="719">
      <c r="A719" s="47" t="n"/>
      <c r="B719" s="48" t="n"/>
      <c r="C719" s="48" t="n"/>
      <c r="D719" s="48" t="n"/>
      <c r="E719" s="48" t="n"/>
      <c r="F719" s="48" t="n"/>
      <c r="G719" s="48" t="n"/>
      <c r="H719" s="48" t="n"/>
      <c r="I719" s="49" t="n"/>
      <c r="J719" s="50" t="n"/>
      <c r="K719" s="48" t="n"/>
      <c r="L719" s="51">
        <f>IF(A719="","",DATE(YEAR(A719),MONTH(A719),1))</f>
        <v/>
      </c>
      <c r="M719" s="52">
        <f>IF(OR(A719="",NOT(ISNUMBER(I719))),"",IF(G719=Lists!$B$5,I719/2,IF(G719=Lists!$B$6,I719,0)))</f>
        <v/>
      </c>
      <c r="N719" s="52">
        <f>IF(OR(A719="",NOT(ISNUMBER(I719))),"",IF(G719=Lists!$B$5,I719/2,IF(G719=Lists!$B$7,I719,0)))</f>
        <v/>
      </c>
      <c r="O719" s="53">
        <f>IF(COUNTA(A719:K719)=0,"",IF(OR(A719="",B719="",C719="",D719="",E719="",F719="",G719="",NOT(ISNUMBER(I719))),"Incomplete",IF(COUNTIF(Lists!$H$4:$AA$4,C719)=0,"Check category",IF(COUNTIF(INDEX(Lists!$H$6:$AA$45,0,MATCH(C719,Lists!$H$4:$AA$4,0)),D719)=0,"Check sub-category","OK"))))</f>
        <v/>
      </c>
      <c r="P719">
        <f>IF(ISNUMBER(I719),I719+ROW()/10000000,"")</f>
        <v/>
      </c>
      <c r="Q719">
        <f>IF(AND(ISNUMBER(P719),ISNUMBER(A719)),IF(AND(A719&gt;=Dashboard!$Q$3,A719&lt;=Dashboard!$Q$4,OR(J719&lt;&gt;"Yes",Dashboard!$Q$15="Yes")),P719,""),"")</f>
        <v/>
      </c>
    </row>
    <row r="720">
      <c r="A720" s="47" t="n"/>
      <c r="B720" s="48" t="n"/>
      <c r="C720" s="48" t="n"/>
      <c r="D720" s="48" t="n"/>
      <c r="E720" s="48" t="n"/>
      <c r="F720" s="48" t="n"/>
      <c r="G720" s="48" t="n"/>
      <c r="H720" s="48" t="n"/>
      <c r="I720" s="49" t="n"/>
      <c r="J720" s="50" t="n"/>
      <c r="K720" s="48" t="n"/>
      <c r="L720" s="51">
        <f>IF(A720="","",DATE(YEAR(A720),MONTH(A720),1))</f>
        <v/>
      </c>
      <c r="M720" s="52">
        <f>IF(OR(A720="",NOT(ISNUMBER(I720))),"",IF(G720=Lists!$B$5,I720/2,IF(G720=Lists!$B$6,I720,0)))</f>
        <v/>
      </c>
      <c r="N720" s="52">
        <f>IF(OR(A720="",NOT(ISNUMBER(I720))),"",IF(G720=Lists!$B$5,I720/2,IF(G720=Lists!$B$7,I720,0)))</f>
        <v/>
      </c>
      <c r="O720" s="53">
        <f>IF(COUNTA(A720:K720)=0,"",IF(OR(A720="",B720="",C720="",D720="",E720="",F720="",G720="",NOT(ISNUMBER(I720))),"Incomplete",IF(COUNTIF(Lists!$H$4:$AA$4,C720)=0,"Check category",IF(COUNTIF(INDEX(Lists!$H$6:$AA$45,0,MATCH(C720,Lists!$H$4:$AA$4,0)),D720)=0,"Check sub-category","OK"))))</f>
        <v/>
      </c>
      <c r="P720">
        <f>IF(ISNUMBER(I720),I720+ROW()/10000000,"")</f>
        <v/>
      </c>
      <c r="Q720">
        <f>IF(AND(ISNUMBER(P720),ISNUMBER(A720)),IF(AND(A720&gt;=Dashboard!$Q$3,A720&lt;=Dashboard!$Q$4,OR(J720&lt;&gt;"Yes",Dashboard!$Q$15="Yes")),P720,""),"")</f>
        <v/>
      </c>
    </row>
    <row r="721">
      <c r="A721" s="47" t="n"/>
      <c r="B721" s="48" t="n"/>
      <c r="C721" s="48" t="n"/>
      <c r="D721" s="48" t="n"/>
      <c r="E721" s="48" t="n"/>
      <c r="F721" s="48" t="n"/>
      <c r="G721" s="48" t="n"/>
      <c r="H721" s="48" t="n"/>
      <c r="I721" s="49" t="n"/>
      <c r="J721" s="50" t="n"/>
      <c r="K721" s="48" t="n"/>
      <c r="L721" s="51">
        <f>IF(A721="","",DATE(YEAR(A721),MONTH(A721),1))</f>
        <v/>
      </c>
      <c r="M721" s="52">
        <f>IF(OR(A721="",NOT(ISNUMBER(I721))),"",IF(G721=Lists!$B$5,I721/2,IF(G721=Lists!$B$6,I721,0)))</f>
        <v/>
      </c>
      <c r="N721" s="52">
        <f>IF(OR(A721="",NOT(ISNUMBER(I721))),"",IF(G721=Lists!$B$5,I721/2,IF(G721=Lists!$B$7,I721,0)))</f>
        <v/>
      </c>
      <c r="O721" s="53">
        <f>IF(COUNTA(A721:K721)=0,"",IF(OR(A721="",B721="",C721="",D721="",E721="",F721="",G721="",NOT(ISNUMBER(I721))),"Incomplete",IF(COUNTIF(Lists!$H$4:$AA$4,C721)=0,"Check category",IF(COUNTIF(INDEX(Lists!$H$6:$AA$45,0,MATCH(C721,Lists!$H$4:$AA$4,0)),D721)=0,"Check sub-category","OK"))))</f>
        <v/>
      </c>
      <c r="P721">
        <f>IF(ISNUMBER(I721),I721+ROW()/10000000,"")</f>
        <v/>
      </c>
      <c r="Q721">
        <f>IF(AND(ISNUMBER(P721),ISNUMBER(A721)),IF(AND(A721&gt;=Dashboard!$Q$3,A721&lt;=Dashboard!$Q$4,OR(J721&lt;&gt;"Yes",Dashboard!$Q$15="Yes")),P721,""),"")</f>
        <v/>
      </c>
    </row>
    <row r="722">
      <c r="A722" s="47" t="n"/>
      <c r="B722" s="48" t="n"/>
      <c r="C722" s="48" t="n"/>
      <c r="D722" s="48" t="n"/>
      <c r="E722" s="48" t="n"/>
      <c r="F722" s="48" t="n"/>
      <c r="G722" s="48" t="n"/>
      <c r="H722" s="48" t="n"/>
      <c r="I722" s="49" t="n"/>
      <c r="J722" s="50" t="n"/>
      <c r="K722" s="48" t="n"/>
      <c r="L722" s="51">
        <f>IF(A722="","",DATE(YEAR(A722),MONTH(A722),1))</f>
        <v/>
      </c>
      <c r="M722" s="52">
        <f>IF(OR(A722="",NOT(ISNUMBER(I722))),"",IF(G722=Lists!$B$5,I722/2,IF(G722=Lists!$B$6,I722,0)))</f>
        <v/>
      </c>
      <c r="N722" s="52">
        <f>IF(OR(A722="",NOT(ISNUMBER(I722))),"",IF(G722=Lists!$B$5,I722/2,IF(G722=Lists!$B$7,I722,0)))</f>
        <v/>
      </c>
      <c r="O722" s="53">
        <f>IF(COUNTA(A722:K722)=0,"",IF(OR(A722="",B722="",C722="",D722="",E722="",F722="",G722="",NOT(ISNUMBER(I722))),"Incomplete",IF(COUNTIF(Lists!$H$4:$AA$4,C722)=0,"Check category",IF(COUNTIF(INDEX(Lists!$H$6:$AA$45,0,MATCH(C722,Lists!$H$4:$AA$4,0)),D722)=0,"Check sub-category","OK"))))</f>
        <v/>
      </c>
      <c r="P722">
        <f>IF(ISNUMBER(I722),I722+ROW()/10000000,"")</f>
        <v/>
      </c>
      <c r="Q722">
        <f>IF(AND(ISNUMBER(P722),ISNUMBER(A722)),IF(AND(A722&gt;=Dashboard!$Q$3,A722&lt;=Dashboard!$Q$4,OR(J722&lt;&gt;"Yes",Dashboard!$Q$15="Yes")),P722,""),"")</f>
        <v/>
      </c>
    </row>
    <row r="723">
      <c r="A723" s="47" t="n"/>
      <c r="B723" s="48" t="n"/>
      <c r="C723" s="48" t="n"/>
      <c r="D723" s="48" t="n"/>
      <c r="E723" s="48" t="n"/>
      <c r="F723" s="48" t="n"/>
      <c r="G723" s="48" t="n"/>
      <c r="H723" s="48" t="n"/>
      <c r="I723" s="49" t="n"/>
      <c r="J723" s="50" t="n"/>
      <c r="K723" s="48" t="n"/>
      <c r="L723" s="51">
        <f>IF(A723="","",DATE(YEAR(A723),MONTH(A723),1))</f>
        <v/>
      </c>
      <c r="M723" s="52">
        <f>IF(OR(A723="",NOT(ISNUMBER(I723))),"",IF(G723=Lists!$B$5,I723/2,IF(G723=Lists!$B$6,I723,0)))</f>
        <v/>
      </c>
      <c r="N723" s="52">
        <f>IF(OR(A723="",NOT(ISNUMBER(I723))),"",IF(G723=Lists!$B$5,I723/2,IF(G723=Lists!$B$7,I723,0)))</f>
        <v/>
      </c>
      <c r="O723" s="53">
        <f>IF(COUNTA(A723:K723)=0,"",IF(OR(A723="",B723="",C723="",D723="",E723="",F723="",G723="",NOT(ISNUMBER(I723))),"Incomplete",IF(COUNTIF(Lists!$H$4:$AA$4,C723)=0,"Check category",IF(COUNTIF(INDEX(Lists!$H$6:$AA$45,0,MATCH(C723,Lists!$H$4:$AA$4,0)),D723)=0,"Check sub-category","OK"))))</f>
        <v/>
      </c>
      <c r="P723">
        <f>IF(ISNUMBER(I723),I723+ROW()/10000000,"")</f>
        <v/>
      </c>
      <c r="Q723">
        <f>IF(AND(ISNUMBER(P723),ISNUMBER(A723)),IF(AND(A723&gt;=Dashboard!$Q$3,A723&lt;=Dashboard!$Q$4,OR(J723&lt;&gt;"Yes",Dashboard!$Q$15="Yes")),P723,""),"")</f>
        <v/>
      </c>
    </row>
    <row r="724">
      <c r="A724" s="47" t="n"/>
      <c r="B724" s="48" t="n"/>
      <c r="C724" s="48" t="n"/>
      <c r="D724" s="48" t="n"/>
      <c r="E724" s="48" t="n"/>
      <c r="F724" s="48" t="n"/>
      <c r="G724" s="48" t="n"/>
      <c r="H724" s="48" t="n"/>
      <c r="I724" s="49" t="n"/>
      <c r="J724" s="50" t="n"/>
      <c r="K724" s="48" t="n"/>
      <c r="L724" s="51">
        <f>IF(A724="","",DATE(YEAR(A724),MONTH(A724),1))</f>
        <v/>
      </c>
      <c r="M724" s="52">
        <f>IF(OR(A724="",NOT(ISNUMBER(I724))),"",IF(G724=Lists!$B$5,I724/2,IF(G724=Lists!$B$6,I724,0)))</f>
        <v/>
      </c>
      <c r="N724" s="52">
        <f>IF(OR(A724="",NOT(ISNUMBER(I724))),"",IF(G724=Lists!$B$5,I724/2,IF(G724=Lists!$B$7,I724,0)))</f>
        <v/>
      </c>
      <c r="O724" s="53">
        <f>IF(COUNTA(A724:K724)=0,"",IF(OR(A724="",B724="",C724="",D724="",E724="",F724="",G724="",NOT(ISNUMBER(I724))),"Incomplete",IF(COUNTIF(Lists!$H$4:$AA$4,C724)=0,"Check category",IF(COUNTIF(INDEX(Lists!$H$6:$AA$45,0,MATCH(C724,Lists!$H$4:$AA$4,0)),D724)=0,"Check sub-category","OK"))))</f>
        <v/>
      </c>
      <c r="P724">
        <f>IF(ISNUMBER(I724),I724+ROW()/10000000,"")</f>
        <v/>
      </c>
      <c r="Q724">
        <f>IF(AND(ISNUMBER(P724),ISNUMBER(A724)),IF(AND(A724&gt;=Dashboard!$Q$3,A724&lt;=Dashboard!$Q$4,OR(J724&lt;&gt;"Yes",Dashboard!$Q$15="Yes")),P724,""),"")</f>
        <v/>
      </c>
    </row>
    <row r="725">
      <c r="A725" s="47" t="n"/>
      <c r="B725" s="48" t="n"/>
      <c r="C725" s="48" t="n"/>
      <c r="D725" s="48" t="n"/>
      <c r="E725" s="48" t="n"/>
      <c r="F725" s="48" t="n"/>
      <c r="G725" s="48" t="n"/>
      <c r="H725" s="48" t="n"/>
      <c r="I725" s="49" t="n"/>
      <c r="J725" s="50" t="n"/>
      <c r="K725" s="48" t="n"/>
      <c r="L725" s="51">
        <f>IF(A725="","",DATE(YEAR(A725),MONTH(A725),1))</f>
        <v/>
      </c>
      <c r="M725" s="52">
        <f>IF(OR(A725="",NOT(ISNUMBER(I725))),"",IF(G725=Lists!$B$5,I725/2,IF(G725=Lists!$B$6,I725,0)))</f>
        <v/>
      </c>
      <c r="N725" s="52">
        <f>IF(OR(A725="",NOT(ISNUMBER(I725))),"",IF(G725=Lists!$B$5,I725/2,IF(G725=Lists!$B$7,I725,0)))</f>
        <v/>
      </c>
      <c r="O725" s="53">
        <f>IF(COUNTA(A725:K725)=0,"",IF(OR(A725="",B725="",C725="",D725="",E725="",F725="",G725="",NOT(ISNUMBER(I725))),"Incomplete",IF(COUNTIF(Lists!$H$4:$AA$4,C725)=0,"Check category",IF(COUNTIF(INDEX(Lists!$H$6:$AA$45,0,MATCH(C725,Lists!$H$4:$AA$4,0)),D725)=0,"Check sub-category","OK"))))</f>
        <v/>
      </c>
      <c r="P725">
        <f>IF(ISNUMBER(I725),I725+ROW()/10000000,"")</f>
        <v/>
      </c>
      <c r="Q725">
        <f>IF(AND(ISNUMBER(P725),ISNUMBER(A725)),IF(AND(A725&gt;=Dashboard!$Q$3,A725&lt;=Dashboard!$Q$4,OR(J725&lt;&gt;"Yes",Dashboard!$Q$15="Yes")),P725,""),"")</f>
        <v/>
      </c>
    </row>
    <row r="726">
      <c r="A726" s="47" t="n"/>
      <c r="B726" s="48" t="n"/>
      <c r="C726" s="48" t="n"/>
      <c r="D726" s="48" t="n"/>
      <c r="E726" s="48" t="n"/>
      <c r="F726" s="48" t="n"/>
      <c r="G726" s="48" t="n"/>
      <c r="H726" s="48" t="n"/>
      <c r="I726" s="49" t="n"/>
      <c r="J726" s="50" t="n"/>
      <c r="K726" s="48" t="n"/>
      <c r="L726" s="51">
        <f>IF(A726="","",DATE(YEAR(A726),MONTH(A726),1))</f>
        <v/>
      </c>
      <c r="M726" s="52">
        <f>IF(OR(A726="",NOT(ISNUMBER(I726))),"",IF(G726=Lists!$B$5,I726/2,IF(G726=Lists!$B$6,I726,0)))</f>
        <v/>
      </c>
      <c r="N726" s="52">
        <f>IF(OR(A726="",NOT(ISNUMBER(I726))),"",IF(G726=Lists!$B$5,I726/2,IF(G726=Lists!$B$7,I726,0)))</f>
        <v/>
      </c>
      <c r="O726" s="53">
        <f>IF(COUNTA(A726:K726)=0,"",IF(OR(A726="",B726="",C726="",D726="",E726="",F726="",G726="",NOT(ISNUMBER(I726))),"Incomplete",IF(COUNTIF(Lists!$H$4:$AA$4,C726)=0,"Check category",IF(COUNTIF(INDEX(Lists!$H$6:$AA$45,0,MATCH(C726,Lists!$H$4:$AA$4,0)),D726)=0,"Check sub-category","OK"))))</f>
        <v/>
      </c>
      <c r="P726">
        <f>IF(ISNUMBER(I726),I726+ROW()/10000000,"")</f>
        <v/>
      </c>
      <c r="Q726">
        <f>IF(AND(ISNUMBER(P726),ISNUMBER(A726)),IF(AND(A726&gt;=Dashboard!$Q$3,A726&lt;=Dashboard!$Q$4,OR(J726&lt;&gt;"Yes",Dashboard!$Q$15="Yes")),P726,""),"")</f>
        <v/>
      </c>
    </row>
    <row r="727">
      <c r="A727" s="47" t="n"/>
      <c r="B727" s="48" t="n"/>
      <c r="C727" s="48" t="n"/>
      <c r="D727" s="48" t="n"/>
      <c r="E727" s="48" t="n"/>
      <c r="F727" s="48" t="n"/>
      <c r="G727" s="48" t="n"/>
      <c r="H727" s="48" t="n"/>
      <c r="I727" s="49" t="n"/>
      <c r="J727" s="50" t="n"/>
      <c r="K727" s="48" t="n"/>
      <c r="L727" s="51">
        <f>IF(A727="","",DATE(YEAR(A727),MONTH(A727),1))</f>
        <v/>
      </c>
      <c r="M727" s="52">
        <f>IF(OR(A727="",NOT(ISNUMBER(I727))),"",IF(G727=Lists!$B$5,I727/2,IF(G727=Lists!$B$6,I727,0)))</f>
        <v/>
      </c>
      <c r="N727" s="52">
        <f>IF(OR(A727="",NOT(ISNUMBER(I727))),"",IF(G727=Lists!$B$5,I727/2,IF(G727=Lists!$B$7,I727,0)))</f>
        <v/>
      </c>
      <c r="O727" s="53">
        <f>IF(COUNTA(A727:K727)=0,"",IF(OR(A727="",B727="",C727="",D727="",E727="",F727="",G727="",NOT(ISNUMBER(I727))),"Incomplete",IF(COUNTIF(Lists!$H$4:$AA$4,C727)=0,"Check category",IF(COUNTIF(INDEX(Lists!$H$6:$AA$45,0,MATCH(C727,Lists!$H$4:$AA$4,0)),D727)=0,"Check sub-category","OK"))))</f>
        <v/>
      </c>
      <c r="P727">
        <f>IF(ISNUMBER(I727),I727+ROW()/10000000,"")</f>
        <v/>
      </c>
      <c r="Q727">
        <f>IF(AND(ISNUMBER(P727),ISNUMBER(A727)),IF(AND(A727&gt;=Dashboard!$Q$3,A727&lt;=Dashboard!$Q$4,OR(J727&lt;&gt;"Yes",Dashboard!$Q$15="Yes")),P727,""),"")</f>
        <v/>
      </c>
    </row>
    <row r="728">
      <c r="A728" s="47" t="n"/>
      <c r="B728" s="48" t="n"/>
      <c r="C728" s="48" t="n"/>
      <c r="D728" s="48" t="n"/>
      <c r="E728" s="48" t="n"/>
      <c r="F728" s="48" t="n"/>
      <c r="G728" s="48" t="n"/>
      <c r="H728" s="48" t="n"/>
      <c r="I728" s="49" t="n"/>
      <c r="J728" s="50" t="n"/>
      <c r="K728" s="48" t="n"/>
      <c r="L728" s="51">
        <f>IF(A728="","",DATE(YEAR(A728),MONTH(A728),1))</f>
        <v/>
      </c>
      <c r="M728" s="52">
        <f>IF(OR(A728="",NOT(ISNUMBER(I728))),"",IF(G728=Lists!$B$5,I728/2,IF(G728=Lists!$B$6,I728,0)))</f>
        <v/>
      </c>
      <c r="N728" s="52">
        <f>IF(OR(A728="",NOT(ISNUMBER(I728))),"",IF(G728=Lists!$B$5,I728/2,IF(G728=Lists!$B$7,I728,0)))</f>
        <v/>
      </c>
      <c r="O728" s="53">
        <f>IF(COUNTA(A728:K728)=0,"",IF(OR(A728="",B728="",C728="",D728="",E728="",F728="",G728="",NOT(ISNUMBER(I728))),"Incomplete",IF(COUNTIF(Lists!$H$4:$AA$4,C728)=0,"Check category",IF(COUNTIF(INDEX(Lists!$H$6:$AA$45,0,MATCH(C728,Lists!$H$4:$AA$4,0)),D728)=0,"Check sub-category","OK"))))</f>
        <v/>
      </c>
      <c r="P728">
        <f>IF(ISNUMBER(I728),I728+ROW()/10000000,"")</f>
        <v/>
      </c>
      <c r="Q728">
        <f>IF(AND(ISNUMBER(P728),ISNUMBER(A728)),IF(AND(A728&gt;=Dashboard!$Q$3,A728&lt;=Dashboard!$Q$4,OR(J728&lt;&gt;"Yes",Dashboard!$Q$15="Yes")),P728,""),"")</f>
        <v/>
      </c>
    </row>
    <row r="729">
      <c r="A729" s="47" t="n"/>
      <c r="B729" s="48" t="n"/>
      <c r="C729" s="48" t="n"/>
      <c r="D729" s="48" t="n"/>
      <c r="E729" s="48" t="n"/>
      <c r="F729" s="48" t="n"/>
      <c r="G729" s="48" t="n"/>
      <c r="H729" s="48" t="n"/>
      <c r="I729" s="49" t="n"/>
      <c r="J729" s="50" t="n"/>
      <c r="K729" s="48" t="n"/>
      <c r="L729" s="51">
        <f>IF(A729="","",DATE(YEAR(A729),MONTH(A729),1))</f>
        <v/>
      </c>
      <c r="M729" s="52">
        <f>IF(OR(A729="",NOT(ISNUMBER(I729))),"",IF(G729=Lists!$B$5,I729/2,IF(G729=Lists!$B$6,I729,0)))</f>
        <v/>
      </c>
      <c r="N729" s="52">
        <f>IF(OR(A729="",NOT(ISNUMBER(I729))),"",IF(G729=Lists!$B$5,I729/2,IF(G729=Lists!$B$7,I729,0)))</f>
        <v/>
      </c>
      <c r="O729" s="53">
        <f>IF(COUNTA(A729:K729)=0,"",IF(OR(A729="",B729="",C729="",D729="",E729="",F729="",G729="",NOT(ISNUMBER(I729))),"Incomplete",IF(COUNTIF(Lists!$H$4:$AA$4,C729)=0,"Check category",IF(COUNTIF(INDEX(Lists!$H$6:$AA$45,0,MATCH(C729,Lists!$H$4:$AA$4,0)),D729)=0,"Check sub-category","OK"))))</f>
        <v/>
      </c>
      <c r="P729">
        <f>IF(ISNUMBER(I729),I729+ROW()/10000000,"")</f>
        <v/>
      </c>
      <c r="Q729">
        <f>IF(AND(ISNUMBER(P729),ISNUMBER(A729)),IF(AND(A729&gt;=Dashboard!$Q$3,A729&lt;=Dashboard!$Q$4,OR(J729&lt;&gt;"Yes",Dashboard!$Q$15="Yes")),P729,""),"")</f>
        <v/>
      </c>
    </row>
    <row r="730">
      <c r="A730" s="47" t="n"/>
      <c r="B730" s="48" t="n"/>
      <c r="C730" s="48" t="n"/>
      <c r="D730" s="48" t="n"/>
      <c r="E730" s="48" t="n"/>
      <c r="F730" s="48" t="n"/>
      <c r="G730" s="48" t="n"/>
      <c r="H730" s="48" t="n"/>
      <c r="I730" s="49" t="n"/>
      <c r="J730" s="50" t="n"/>
      <c r="K730" s="48" t="n"/>
      <c r="L730" s="51">
        <f>IF(A730="","",DATE(YEAR(A730),MONTH(A730),1))</f>
        <v/>
      </c>
      <c r="M730" s="52">
        <f>IF(OR(A730="",NOT(ISNUMBER(I730))),"",IF(G730=Lists!$B$5,I730/2,IF(G730=Lists!$B$6,I730,0)))</f>
        <v/>
      </c>
      <c r="N730" s="52">
        <f>IF(OR(A730="",NOT(ISNUMBER(I730))),"",IF(G730=Lists!$B$5,I730/2,IF(G730=Lists!$B$7,I730,0)))</f>
        <v/>
      </c>
      <c r="O730" s="53">
        <f>IF(COUNTA(A730:K730)=0,"",IF(OR(A730="",B730="",C730="",D730="",E730="",F730="",G730="",NOT(ISNUMBER(I730))),"Incomplete",IF(COUNTIF(Lists!$H$4:$AA$4,C730)=0,"Check category",IF(COUNTIF(INDEX(Lists!$H$6:$AA$45,0,MATCH(C730,Lists!$H$4:$AA$4,0)),D730)=0,"Check sub-category","OK"))))</f>
        <v/>
      </c>
      <c r="P730">
        <f>IF(ISNUMBER(I730),I730+ROW()/10000000,"")</f>
        <v/>
      </c>
      <c r="Q730">
        <f>IF(AND(ISNUMBER(P730),ISNUMBER(A730)),IF(AND(A730&gt;=Dashboard!$Q$3,A730&lt;=Dashboard!$Q$4,OR(J730&lt;&gt;"Yes",Dashboard!$Q$15="Yes")),P730,""),"")</f>
        <v/>
      </c>
    </row>
    <row r="731">
      <c r="A731" s="47" t="n"/>
      <c r="B731" s="48" t="n"/>
      <c r="C731" s="48" t="n"/>
      <c r="D731" s="48" t="n"/>
      <c r="E731" s="48" t="n"/>
      <c r="F731" s="48" t="n"/>
      <c r="G731" s="48" t="n"/>
      <c r="H731" s="48" t="n"/>
      <c r="I731" s="49" t="n"/>
      <c r="J731" s="50" t="n"/>
      <c r="K731" s="48" t="n"/>
      <c r="L731" s="51">
        <f>IF(A731="","",DATE(YEAR(A731),MONTH(A731),1))</f>
        <v/>
      </c>
      <c r="M731" s="52">
        <f>IF(OR(A731="",NOT(ISNUMBER(I731))),"",IF(G731=Lists!$B$5,I731/2,IF(G731=Lists!$B$6,I731,0)))</f>
        <v/>
      </c>
      <c r="N731" s="52">
        <f>IF(OR(A731="",NOT(ISNUMBER(I731))),"",IF(G731=Lists!$B$5,I731/2,IF(G731=Lists!$B$7,I731,0)))</f>
        <v/>
      </c>
      <c r="O731" s="53">
        <f>IF(COUNTA(A731:K731)=0,"",IF(OR(A731="",B731="",C731="",D731="",E731="",F731="",G731="",NOT(ISNUMBER(I731))),"Incomplete",IF(COUNTIF(Lists!$H$4:$AA$4,C731)=0,"Check category",IF(COUNTIF(INDEX(Lists!$H$6:$AA$45,0,MATCH(C731,Lists!$H$4:$AA$4,0)),D731)=0,"Check sub-category","OK"))))</f>
        <v/>
      </c>
      <c r="P731">
        <f>IF(ISNUMBER(I731),I731+ROW()/10000000,"")</f>
        <v/>
      </c>
      <c r="Q731">
        <f>IF(AND(ISNUMBER(P731),ISNUMBER(A731)),IF(AND(A731&gt;=Dashboard!$Q$3,A731&lt;=Dashboard!$Q$4,OR(J731&lt;&gt;"Yes",Dashboard!$Q$15="Yes")),P731,""),"")</f>
        <v/>
      </c>
    </row>
    <row r="732">
      <c r="A732" s="47" t="n"/>
      <c r="B732" s="48" t="n"/>
      <c r="C732" s="48" t="n"/>
      <c r="D732" s="48" t="n"/>
      <c r="E732" s="48" t="n"/>
      <c r="F732" s="48" t="n"/>
      <c r="G732" s="48" t="n"/>
      <c r="H732" s="48" t="n"/>
      <c r="I732" s="49" t="n"/>
      <c r="J732" s="50" t="n"/>
      <c r="K732" s="48" t="n"/>
      <c r="L732" s="51">
        <f>IF(A732="","",DATE(YEAR(A732),MONTH(A732),1))</f>
        <v/>
      </c>
      <c r="M732" s="52">
        <f>IF(OR(A732="",NOT(ISNUMBER(I732))),"",IF(G732=Lists!$B$5,I732/2,IF(G732=Lists!$B$6,I732,0)))</f>
        <v/>
      </c>
      <c r="N732" s="52">
        <f>IF(OR(A732="",NOT(ISNUMBER(I732))),"",IF(G732=Lists!$B$5,I732/2,IF(G732=Lists!$B$7,I732,0)))</f>
        <v/>
      </c>
      <c r="O732" s="53">
        <f>IF(COUNTA(A732:K732)=0,"",IF(OR(A732="",B732="",C732="",D732="",E732="",F732="",G732="",NOT(ISNUMBER(I732))),"Incomplete",IF(COUNTIF(Lists!$H$4:$AA$4,C732)=0,"Check category",IF(COUNTIF(INDEX(Lists!$H$6:$AA$45,0,MATCH(C732,Lists!$H$4:$AA$4,0)),D732)=0,"Check sub-category","OK"))))</f>
        <v/>
      </c>
      <c r="P732">
        <f>IF(ISNUMBER(I732),I732+ROW()/10000000,"")</f>
        <v/>
      </c>
      <c r="Q732">
        <f>IF(AND(ISNUMBER(P732),ISNUMBER(A732)),IF(AND(A732&gt;=Dashboard!$Q$3,A732&lt;=Dashboard!$Q$4,OR(J732&lt;&gt;"Yes",Dashboard!$Q$15="Yes")),P732,""),"")</f>
        <v/>
      </c>
    </row>
    <row r="733">
      <c r="A733" s="47" t="n"/>
      <c r="B733" s="48" t="n"/>
      <c r="C733" s="48" t="n"/>
      <c r="D733" s="48" t="n"/>
      <c r="E733" s="48" t="n"/>
      <c r="F733" s="48" t="n"/>
      <c r="G733" s="48" t="n"/>
      <c r="H733" s="48" t="n"/>
      <c r="I733" s="49" t="n"/>
      <c r="J733" s="50" t="n"/>
      <c r="K733" s="48" t="n"/>
      <c r="L733" s="51">
        <f>IF(A733="","",DATE(YEAR(A733),MONTH(A733),1))</f>
        <v/>
      </c>
      <c r="M733" s="52">
        <f>IF(OR(A733="",NOT(ISNUMBER(I733))),"",IF(G733=Lists!$B$5,I733/2,IF(G733=Lists!$B$6,I733,0)))</f>
        <v/>
      </c>
      <c r="N733" s="52">
        <f>IF(OR(A733="",NOT(ISNUMBER(I733))),"",IF(G733=Lists!$B$5,I733/2,IF(G733=Lists!$B$7,I733,0)))</f>
        <v/>
      </c>
      <c r="O733" s="53">
        <f>IF(COUNTA(A733:K733)=0,"",IF(OR(A733="",B733="",C733="",D733="",E733="",F733="",G733="",NOT(ISNUMBER(I733))),"Incomplete",IF(COUNTIF(Lists!$H$4:$AA$4,C733)=0,"Check category",IF(COUNTIF(INDEX(Lists!$H$6:$AA$45,0,MATCH(C733,Lists!$H$4:$AA$4,0)),D733)=0,"Check sub-category","OK"))))</f>
        <v/>
      </c>
      <c r="P733">
        <f>IF(ISNUMBER(I733),I733+ROW()/10000000,"")</f>
        <v/>
      </c>
      <c r="Q733">
        <f>IF(AND(ISNUMBER(P733),ISNUMBER(A733)),IF(AND(A733&gt;=Dashboard!$Q$3,A733&lt;=Dashboard!$Q$4,OR(J733&lt;&gt;"Yes",Dashboard!$Q$15="Yes")),P733,""),"")</f>
        <v/>
      </c>
    </row>
    <row r="734">
      <c r="A734" s="47" t="n"/>
      <c r="B734" s="48" t="n"/>
      <c r="C734" s="48" t="n"/>
      <c r="D734" s="48" t="n"/>
      <c r="E734" s="48" t="n"/>
      <c r="F734" s="48" t="n"/>
      <c r="G734" s="48" t="n"/>
      <c r="H734" s="48" t="n"/>
      <c r="I734" s="49" t="n"/>
      <c r="J734" s="50" t="n"/>
      <c r="K734" s="48" t="n"/>
      <c r="L734" s="51">
        <f>IF(A734="","",DATE(YEAR(A734),MONTH(A734),1))</f>
        <v/>
      </c>
      <c r="M734" s="52">
        <f>IF(OR(A734="",NOT(ISNUMBER(I734))),"",IF(G734=Lists!$B$5,I734/2,IF(G734=Lists!$B$6,I734,0)))</f>
        <v/>
      </c>
      <c r="N734" s="52">
        <f>IF(OR(A734="",NOT(ISNUMBER(I734))),"",IF(G734=Lists!$B$5,I734/2,IF(G734=Lists!$B$7,I734,0)))</f>
        <v/>
      </c>
      <c r="O734" s="53">
        <f>IF(COUNTA(A734:K734)=0,"",IF(OR(A734="",B734="",C734="",D734="",E734="",F734="",G734="",NOT(ISNUMBER(I734))),"Incomplete",IF(COUNTIF(Lists!$H$4:$AA$4,C734)=0,"Check category",IF(COUNTIF(INDEX(Lists!$H$6:$AA$45,0,MATCH(C734,Lists!$H$4:$AA$4,0)),D734)=0,"Check sub-category","OK"))))</f>
        <v/>
      </c>
      <c r="P734">
        <f>IF(ISNUMBER(I734),I734+ROW()/10000000,"")</f>
        <v/>
      </c>
      <c r="Q734">
        <f>IF(AND(ISNUMBER(P734),ISNUMBER(A734)),IF(AND(A734&gt;=Dashboard!$Q$3,A734&lt;=Dashboard!$Q$4,OR(J734&lt;&gt;"Yes",Dashboard!$Q$15="Yes")),P734,""),"")</f>
        <v/>
      </c>
    </row>
    <row r="735">
      <c r="A735" s="47" t="n"/>
      <c r="B735" s="48" t="n"/>
      <c r="C735" s="48" t="n"/>
      <c r="D735" s="48" t="n"/>
      <c r="E735" s="48" t="n"/>
      <c r="F735" s="48" t="n"/>
      <c r="G735" s="48" t="n"/>
      <c r="H735" s="48" t="n"/>
      <c r="I735" s="49" t="n"/>
      <c r="J735" s="50" t="n"/>
      <c r="K735" s="48" t="n"/>
      <c r="L735" s="51">
        <f>IF(A735="","",DATE(YEAR(A735),MONTH(A735),1))</f>
        <v/>
      </c>
      <c r="M735" s="52">
        <f>IF(OR(A735="",NOT(ISNUMBER(I735))),"",IF(G735=Lists!$B$5,I735/2,IF(G735=Lists!$B$6,I735,0)))</f>
        <v/>
      </c>
      <c r="N735" s="52">
        <f>IF(OR(A735="",NOT(ISNUMBER(I735))),"",IF(G735=Lists!$B$5,I735/2,IF(G735=Lists!$B$7,I735,0)))</f>
        <v/>
      </c>
      <c r="O735" s="53">
        <f>IF(COUNTA(A735:K735)=0,"",IF(OR(A735="",B735="",C735="",D735="",E735="",F735="",G735="",NOT(ISNUMBER(I735))),"Incomplete",IF(COUNTIF(Lists!$H$4:$AA$4,C735)=0,"Check category",IF(COUNTIF(INDEX(Lists!$H$6:$AA$45,0,MATCH(C735,Lists!$H$4:$AA$4,0)),D735)=0,"Check sub-category","OK"))))</f>
        <v/>
      </c>
      <c r="P735">
        <f>IF(ISNUMBER(I735),I735+ROW()/10000000,"")</f>
        <v/>
      </c>
      <c r="Q735">
        <f>IF(AND(ISNUMBER(P735),ISNUMBER(A735)),IF(AND(A735&gt;=Dashboard!$Q$3,A735&lt;=Dashboard!$Q$4,OR(J735&lt;&gt;"Yes",Dashboard!$Q$15="Yes")),P735,""),"")</f>
        <v/>
      </c>
    </row>
    <row r="736">
      <c r="A736" s="47" t="n"/>
      <c r="B736" s="48" t="n"/>
      <c r="C736" s="48" t="n"/>
      <c r="D736" s="48" t="n"/>
      <c r="E736" s="48" t="n"/>
      <c r="F736" s="48" t="n"/>
      <c r="G736" s="48" t="n"/>
      <c r="H736" s="48" t="n"/>
      <c r="I736" s="49" t="n"/>
      <c r="J736" s="50" t="n"/>
      <c r="K736" s="48" t="n"/>
      <c r="L736" s="51">
        <f>IF(A736="","",DATE(YEAR(A736),MONTH(A736),1))</f>
        <v/>
      </c>
      <c r="M736" s="52">
        <f>IF(OR(A736="",NOT(ISNUMBER(I736))),"",IF(G736=Lists!$B$5,I736/2,IF(G736=Lists!$B$6,I736,0)))</f>
        <v/>
      </c>
      <c r="N736" s="52">
        <f>IF(OR(A736="",NOT(ISNUMBER(I736))),"",IF(G736=Lists!$B$5,I736/2,IF(G736=Lists!$B$7,I736,0)))</f>
        <v/>
      </c>
      <c r="O736" s="53">
        <f>IF(COUNTA(A736:K736)=0,"",IF(OR(A736="",B736="",C736="",D736="",E736="",F736="",G736="",NOT(ISNUMBER(I736))),"Incomplete",IF(COUNTIF(Lists!$H$4:$AA$4,C736)=0,"Check category",IF(COUNTIF(INDEX(Lists!$H$6:$AA$45,0,MATCH(C736,Lists!$H$4:$AA$4,0)),D736)=0,"Check sub-category","OK"))))</f>
        <v/>
      </c>
      <c r="P736">
        <f>IF(ISNUMBER(I736),I736+ROW()/10000000,"")</f>
        <v/>
      </c>
      <c r="Q736">
        <f>IF(AND(ISNUMBER(P736),ISNUMBER(A736)),IF(AND(A736&gt;=Dashboard!$Q$3,A736&lt;=Dashboard!$Q$4,OR(J736&lt;&gt;"Yes",Dashboard!$Q$15="Yes")),P736,""),"")</f>
        <v/>
      </c>
    </row>
    <row r="737">
      <c r="A737" s="47" t="n"/>
      <c r="B737" s="48" t="n"/>
      <c r="C737" s="48" t="n"/>
      <c r="D737" s="48" t="n"/>
      <c r="E737" s="48" t="n"/>
      <c r="F737" s="48" t="n"/>
      <c r="G737" s="48" t="n"/>
      <c r="H737" s="48" t="n"/>
      <c r="I737" s="49" t="n"/>
      <c r="J737" s="50" t="n"/>
      <c r="K737" s="48" t="n"/>
      <c r="L737" s="51">
        <f>IF(A737="","",DATE(YEAR(A737),MONTH(A737),1))</f>
        <v/>
      </c>
      <c r="M737" s="52">
        <f>IF(OR(A737="",NOT(ISNUMBER(I737))),"",IF(G737=Lists!$B$5,I737/2,IF(G737=Lists!$B$6,I737,0)))</f>
        <v/>
      </c>
      <c r="N737" s="52">
        <f>IF(OR(A737="",NOT(ISNUMBER(I737))),"",IF(G737=Lists!$B$5,I737/2,IF(G737=Lists!$B$7,I737,0)))</f>
        <v/>
      </c>
      <c r="O737" s="53">
        <f>IF(COUNTA(A737:K737)=0,"",IF(OR(A737="",B737="",C737="",D737="",E737="",F737="",G737="",NOT(ISNUMBER(I737))),"Incomplete",IF(COUNTIF(Lists!$H$4:$AA$4,C737)=0,"Check category",IF(COUNTIF(INDEX(Lists!$H$6:$AA$45,0,MATCH(C737,Lists!$H$4:$AA$4,0)),D737)=0,"Check sub-category","OK"))))</f>
        <v/>
      </c>
      <c r="P737">
        <f>IF(ISNUMBER(I737),I737+ROW()/10000000,"")</f>
        <v/>
      </c>
      <c r="Q737">
        <f>IF(AND(ISNUMBER(P737),ISNUMBER(A737)),IF(AND(A737&gt;=Dashboard!$Q$3,A737&lt;=Dashboard!$Q$4,OR(J737&lt;&gt;"Yes",Dashboard!$Q$15="Yes")),P737,""),"")</f>
        <v/>
      </c>
    </row>
    <row r="738">
      <c r="A738" s="47" t="n"/>
      <c r="B738" s="48" t="n"/>
      <c r="C738" s="48" t="n"/>
      <c r="D738" s="48" t="n"/>
      <c r="E738" s="48" t="n"/>
      <c r="F738" s="48" t="n"/>
      <c r="G738" s="48" t="n"/>
      <c r="H738" s="48" t="n"/>
      <c r="I738" s="49" t="n"/>
      <c r="J738" s="50" t="n"/>
      <c r="K738" s="48" t="n"/>
      <c r="L738" s="51">
        <f>IF(A738="","",DATE(YEAR(A738),MONTH(A738),1))</f>
        <v/>
      </c>
      <c r="M738" s="52">
        <f>IF(OR(A738="",NOT(ISNUMBER(I738))),"",IF(G738=Lists!$B$5,I738/2,IF(G738=Lists!$B$6,I738,0)))</f>
        <v/>
      </c>
      <c r="N738" s="52">
        <f>IF(OR(A738="",NOT(ISNUMBER(I738))),"",IF(G738=Lists!$B$5,I738/2,IF(G738=Lists!$B$7,I738,0)))</f>
        <v/>
      </c>
      <c r="O738" s="53">
        <f>IF(COUNTA(A738:K738)=0,"",IF(OR(A738="",B738="",C738="",D738="",E738="",F738="",G738="",NOT(ISNUMBER(I738))),"Incomplete",IF(COUNTIF(Lists!$H$4:$AA$4,C738)=0,"Check category",IF(COUNTIF(INDEX(Lists!$H$6:$AA$45,0,MATCH(C738,Lists!$H$4:$AA$4,0)),D738)=0,"Check sub-category","OK"))))</f>
        <v/>
      </c>
      <c r="P738">
        <f>IF(ISNUMBER(I738),I738+ROW()/10000000,"")</f>
        <v/>
      </c>
      <c r="Q738">
        <f>IF(AND(ISNUMBER(P738),ISNUMBER(A738)),IF(AND(A738&gt;=Dashboard!$Q$3,A738&lt;=Dashboard!$Q$4,OR(J738&lt;&gt;"Yes",Dashboard!$Q$15="Yes")),P738,""),"")</f>
        <v/>
      </c>
    </row>
    <row r="739">
      <c r="A739" s="47" t="n"/>
      <c r="B739" s="48" t="n"/>
      <c r="C739" s="48" t="n"/>
      <c r="D739" s="48" t="n"/>
      <c r="E739" s="48" t="n"/>
      <c r="F739" s="48" t="n"/>
      <c r="G739" s="48" t="n"/>
      <c r="H739" s="48" t="n"/>
      <c r="I739" s="49" t="n"/>
      <c r="J739" s="50" t="n"/>
      <c r="K739" s="48" t="n"/>
      <c r="L739" s="51">
        <f>IF(A739="","",DATE(YEAR(A739),MONTH(A739),1))</f>
        <v/>
      </c>
      <c r="M739" s="52">
        <f>IF(OR(A739="",NOT(ISNUMBER(I739))),"",IF(G739=Lists!$B$5,I739/2,IF(G739=Lists!$B$6,I739,0)))</f>
        <v/>
      </c>
      <c r="N739" s="52">
        <f>IF(OR(A739="",NOT(ISNUMBER(I739))),"",IF(G739=Lists!$B$5,I739/2,IF(G739=Lists!$B$7,I739,0)))</f>
        <v/>
      </c>
      <c r="O739" s="53">
        <f>IF(COUNTA(A739:K739)=0,"",IF(OR(A739="",B739="",C739="",D739="",E739="",F739="",G739="",NOT(ISNUMBER(I739))),"Incomplete",IF(COUNTIF(Lists!$H$4:$AA$4,C739)=0,"Check category",IF(COUNTIF(INDEX(Lists!$H$6:$AA$45,0,MATCH(C739,Lists!$H$4:$AA$4,0)),D739)=0,"Check sub-category","OK"))))</f>
        <v/>
      </c>
      <c r="P739">
        <f>IF(ISNUMBER(I739),I739+ROW()/10000000,"")</f>
        <v/>
      </c>
      <c r="Q739">
        <f>IF(AND(ISNUMBER(P739),ISNUMBER(A739)),IF(AND(A739&gt;=Dashboard!$Q$3,A739&lt;=Dashboard!$Q$4,OR(J739&lt;&gt;"Yes",Dashboard!$Q$15="Yes")),P739,""),"")</f>
        <v/>
      </c>
    </row>
    <row r="740">
      <c r="A740" s="47" t="n"/>
      <c r="B740" s="48" t="n"/>
      <c r="C740" s="48" t="n"/>
      <c r="D740" s="48" t="n"/>
      <c r="E740" s="48" t="n"/>
      <c r="F740" s="48" t="n"/>
      <c r="G740" s="48" t="n"/>
      <c r="H740" s="48" t="n"/>
      <c r="I740" s="49" t="n"/>
      <c r="J740" s="50" t="n"/>
      <c r="K740" s="48" t="n"/>
      <c r="L740" s="51">
        <f>IF(A740="","",DATE(YEAR(A740),MONTH(A740),1))</f>
        <v/>
      </c>
      <c r="M740" s="52">
        <f>IF(OR(A740="",NOT(ISNUMBER(I740))),"",IF(G740=Lists!$B$5,I740/2,IF(G740=Lists!$B$6,I740,0)))</f>
        <v/>
      </c>
      <c r="N740" s="52">
        <f>IF(OR(A740="",NOT(ISNUMBER(I740))),"",IF(G740=Lists!$B$5,I740/2,IF(G740=Lists!$B$7,I740,0)))</f>
        <v/>
      </c>
      <c r="O740" s="53">
        <f>IF(COUNTA(A740:K740)=0,"",IF(OR(A740="",B740="",C740="",D740="",E740="",F740="",G740="",NOT(ISNUMBER(I740))),"Incomplete",IF(COUNTIF(Lists!$H$4:$AA$4,C740)=0,"Check category",IF(COUNTIF(INDEX(Lists!$H$6:$AA$45,0,MATCH(C740,Lists!$H$4:$AA$4,0)),D740)=0,"Check sub-category","OK"))))</f>
        <v/>
      </c>
      <c r="P740">
        <f>IF(ISNUMBER(I740),I740+ROW()/10000000,"")</f>
        <v/>
      </c>
      <c r="Q740">
        <f>IF(AND(ISNUMBER(P740),ISNUMBER(A740)),IF(AND(A740&gt;=Dashboard!$Q$3,A740&lt;=Dashboard!$Q$4,OR(J740&lt;&gt;"Yes",Dashboard!$Q$15="Yes")),P740,""),"")</f>
        <v/>
      </c>
    </row>
    <row r="741">
      <c r="A741" s="47" t="n"/>
      <c r="B741" s="48" t="n"/>
      <c r="C741" s="48" t="n"/>
      <c r="D741" s="48" t="n"/>
      <c r="E741" s="48" t="n"/>
      <c r="F741" s="48" t="n"/>
      <c r="G741" s="48" t="n"/>
      <c r="H741" s="48" t="n"/>
      <c r="I741" s="49" t="n"/>
      <c r="J741" s="50" t="n"/>
      <c r="K741" s="48" t="n"/>
      <c r="L741" s="51">
        <f>IF(A741="","",DATE(YEAR(A741),MONTH(A741),1))</f>
        <v/>
      </c>
      <c r="M741" s="52">
        <f>IF(OR(A741="",NOT(ISNUMBER(I741))),"",IF(G741=Lists!$B$5,I741/2,IF(G741=Lists!$B$6,I741,0)))</f>
        <v/>
      </c>
      <c r="N741" s="52">
        <f>IF(OR(A741="",NOT(ISNUMBER(I741))),"",IF(G741=Lists!$B$5,I741/2,IF(G741=Lists!$B$7,I741,0)))</f>
        <v/>
      </c>
      <c r="O741" s="53">
        <f>IF(COUNTA(A741:K741)=0,"",IF(OR(A741="",B741="",C741="",D741="",E741="",F741="",G741="",NOT(ISNUMBER(I741))),"Incomplete",IF(COUNTIF(Lists!$H$4:$AA$4,C741)=0,"Check category",IF(COUNTIF(INDEX(Lists!$H$6:$AA$45,0,MATCH(C741,Lists!$H$4:$AA$4,0)),D741)=0,"Check sub-category","OK"))))</f>
        <v/>
      </c>
      <c r="P741">
        <f>IF(ISNUMBER(I741),I741+ROW()/10000000,"")</f>
        <v/>
      </c>
      <c r="Q741">
        <f>IF(AND(ISNUMBER(P741),ISNUMBER(A741)),IF(AND(A741&gt;=Dashboard!$Q$3,A741&lt;=Dashboard!$Q$4,OR(J741&lt;&gt;"Yes",Dashboard!$Q$15="Yes")),P741,""),"")</f>
        <v/>
      </c>
    </row>
    <row r="742">
      <c r="A742" s="47" t="n"/>
      <c r="B742" s="48" t="n"/>
      <c r="C742" s="48" t="n"/>
      <c r="D742" s="48" t="n"/>
      <c r="E742" s="48" t="n"/>
      <c r="F742" s="48" t="n"/>
      <c r="G742" s="48" t="n"/>
      <c r="H742" s="48" t="n"/>
      <c r="I742" s="49" t="n"/>
      <c r="J742" s="50" t="n"/>
      <c r="K742" s="48" t="n"/>
      <c r="L742" s="51">
        <f>IF(A742="","",DATE(YEAR(A742),MONTH(A742),1))</f>
        <v/>
      </c>
      <c r="M742" s="52">
        <f>IF(OR(A742="",NOT(ISNUMBER(I742))),"",IF(G742=Lists!$B$5,I742/2,IF(G742=Lists!$B$6,I742,0)))</f>
        <v/>
      </c>
      <c r="N742" s="52">
        <f>IF(OR(A742="",NOT(ISNUMBER(I742))),"",IF(G742=Lists!$B$5,I742/2,IF(G742=Lists!$B$7,I742,0)))</f>
        <v/>
      </c>
      <c r="O742" s="53">
        <f>IF(COUNTA(A742:K742)=0,"",IF(OR(A742="",B742="",C742="",D742="",E742="",F742="",G742="",NOT(ISNUMBER(I742))),"Incomplete",IF(COUNTIF(Lists!$H$4:$AA$4,C742)=0,"Check category",IF(COUNTIF(INDEX(Lists!$H$6:$AA$45,0,MATCH(C742,Lists!$H$4:$AA$4,0)),D742)=0,"Check sub-category","OK"))))</f>
        <v/>
      </c>
      <c r="P742">
        <f>IF(ISNUMBER(I742),I742+ROW()/10000000,"")</f>
        <v/>
      </c>
      <c r="Q742">
        <f>IF(AND(ISNUMBER(P742),ISNUMBER(A742)),IF(AND(A742&gt;=Dashboard!$Q$3,A742&lt;=Dashboard!$Q$4,OR(J742&lt;&gt;"Yes",Dashboard!$Q$15="Yes")),P742,""),"")</f>
        <v/>
      </c>
    </row>
    <row r="743">
      <c r="A743" s="47" t="n"/>
      <c r="B743" s="48" t="n"/>
      <c r="C743" s="48" t="n"/>
      <c r="D743" s="48" t="n"/>
      <c r="E743" s="48" t="n"/>
      <c r="F743" s="48" t="n"/>
      <c r="G743" s="48" t="n"/>
      <c r="H743" s="48" t="n"/>
      <c r="I743" s="49" t="n"/>
      <c r="J743" s="50" t="n"/>
      <c r="K743" s="48" t="n"/>
      <c r="L743" s="51">
        <f>IF(A743="","",DATE(YEAR(A743),MONTH(A743),1))</f>
        <v/>
      </c>
      <c r="M743" s="52">
        <f>IF(OR(A743="",NOT(ISNUMBER(I743))),"",IF(G743=Lists!$B$5,I743/2,IF(G743=Lists!$B$6,I743,0)))</f>
        <v/>
      </c>
      <c r="N743" s="52">
        <f>IF(OR(A743="",NOT(ISNUMBER(I743))),"",IF(G743=Lists!$B$5,I743/2,IF(G743=Lists!$B$7,I743,0)))</f>
        <v/>
      </c>
      <c r="O743" s="53">
        <f>IF(COUNTA(A743:K743)=0,"",IF(OR(A743="",B743="",C743="",D743="",E743="",F743="",G743="",NOT(ISNUMBER(I743))),"Incomplete",IF(COUNTIF(Lists!$H$4:$AA$4,C743)=0,"Check category",IF(COUNTIF(INDEX(Lists!$H$6:$AA$45,0,MATCH(C743,Lists!$H$4:$AA$4,0)),D743)=0,"Check sub-category","OK"))))</f>
        <v/>
      </c>
      <c r="P743">
        <f>IF(ISNUMBER(I743),I743+ROW()/10000000,"")</f>
        <v/>
      </c>
      <c r="Q743">
        <f>IF(AND(ISNUMBER(P743),ISNUMBER(A743)),IF(AND(A743&gt;=Dashboard!$Q$3,A743&lt;=Dashboard!$Q$4,OR(J743&lt;&gt;"Yes",Dashboard!$Q$15="Yes")),P743,""),"")</f>
        <v/>
      </c>
    </row>
    <row r="744">
      <c r="A744" s="47" t="n"/>
      <c r="B744" s="48" t="n"/>
      <c r="C744" s="48" t="n"/>
      <c r="D744" s="48" t="n"/>
      <c r="E744" s="48" t="n"/>
      <c r="F744" s="48" t="n"/>
      <c r="G744" s="48" t="n"/>
      <c r="H744" s="48" t="n"/>
      <c r="I744" s="49" t="n"/>
      <c r="J744" s="50" t="n"/>
      <c r="K744" s="48" t="n"/>
      <c r="L744" s="51">
        <f>IF(A744="","",DATE(YEAR(A744),MONTH(A744),1))</f>
        <v/>
      </c>
      <c r="M744" s="52">
        <f>IF(OR(A744="",NOT(ISNUMBER(I744))),"",IF(G744=Lists!$B$5,I744/2,IF(G744=Lists!$B$6,I744,0)))</f>
        <v/>
      </c>
      <c r="N744" s="52">
        <f>IF(OR(A744="",NOT(ISNUMBER(I744))),"",IF(G744=Lists!$B$5,I744/2,IF(G744=Lists!$B$7,I744,0)))</f>
        <v/>
      </c>
      <c r="O744" s="53">
        <f>IF(COUNTA(A744:K744)=0,"",IF(OR(A744="",B744="",C744="",D744="",E744="",F744="",G744="",NOT(ISNUMBER(I744))),"Incomplete",IF(COUNTIF(Lists!$H$4:$AA$4,C744)=0,"Check category",IF(COUNTIF(INDEX(Lists!$H$6:$AA$45,0,MATCH(C744,Lists!$H$4:$AA$4,0)),D744)=0,"Check sub-category","OK"))))</f>
        <v/>
      </c>
      <c r="P744">
        <f>IF(ISNUMBER(I744),I744+ROW()/10000000,"")</f>
        <v/>
      </c>
      <c r="Q744">
        <f>IF(AND(ISNUMBER(P744),ISNUMBER(A744)),IF(AND(A744&gt;=Dashboard!$Q$3,A744&lt;=Dashboard!$Q$4,OR(J744&lt;&gt;"Yes",Dashboard!$Q$15="Yes")),P744,""),"")</f>
        <v/>
      </c>
    </row>
    <row r="745">
      <c r="A745" s="47" t="n"/>
      <c r="B745" s="48" t="n"/>
      <c r="C745" s="48" t="n"/>
      <c r="D745" s="48" t="n"/>
      <c r="E745" s="48" t="n"/>
      <c r="F745" s="48" t="n"/>
      <c r="G745" s="48" t="n"/>
      <c r="H745" s="48" t="n"/>
      <c r="I745" s="49" t="n"/>
      <c r="J745" s="50" t="n"/>
      <c r="K745" s="48" t="n"/>
      <c r="L745" s="51">
        <f>IF(A745="","",DATE(YEAR(A745),MONTH(A745),1))</f>
        <v/>
      </c>
      <c r="M745" s="52">
        <f>IF(OR(A745="",NOT(ISNUMBER(I745))),"",IF(G745=Lists!$B$5,I745/2,IF(G745=Lists!$B$6,I745,0)))</f>
        <v/>
      </c>
      <c r="N745" s="52">
        <f>IF(OR(A745="",NOT(ISNUMBER(I745))),"",IF(G745=Lists!$B$5,I745/2,IF(G745=Lists!$B$7,I745,0)))</f>
        <v/>
      </c>
      <c r="O745" s="53">
        <f>IF(COUNTA(A745:K745)=0,"",IF(OR(A745="",B745="",C745="",D745="",E745="",F745="",G745="",NOT(ISNUMBER(I745))),"Incomplete",IF(COUNTIF(Lists!$H$4:$AA$4,C745)=0,"Check category",IF(COUNTIF(INDEX(Lists!$H$6:$AA$45,0,MATCH(C745,Lists!$H$4:$AA$4,0)),D745)=0,"Check sub-category","OK"))))</f>
        <v/>
      </c>
      <c r="P745">
        <f>IF(ISNUMBER(I745),I745+ROW()/10000000,"")</f>
        <v/>
      </c>
      <c r="Q745">
        <f>IF(AND(ISNUMBER(P745),ISNUMBER(A745)),IF(AND(A745&gt;=Dashboard!$Q$3,A745&lt;=Dashboard!$Q$4,OR(J745&lt;&gt;"Yes",Dashboard!$Q$15="Yes")),P745,""),"")</f>
        <v/>
      </c>
    </row>
    <row r="746">
      <c r="A746" s="47" t="n"/>
      <c r="B746" s="48" t="n"/>
      <c r="C746" s="48" t="n"/>
      <c r="D746" s="48" t="n"/>
      <c r="E746" s="48" t="n"/>
      <c r="F746" s="48" t="n"/>
      <c r="G746" s="48" t="n"/>
      <c r="H746" s="48" t="n"/>
      <c r="I746" s="49" t="n"/>
      <c r="J746" s="50" t="n"/>
      <c r="K746" s="48" t="n"/>
      <c r="L746" s="51">
        <f>IF(A746="","",DATE(YEAR(A746),MONTH(A746),1))</f>
        <v/>
      </c>
      <c r="M746" s="52">
        <f>IF(OR(A746="",NOT(ISNUMBER(I746))),"",IF(G746=Lists!$B$5,I746/2,IF(G746=Lists!$B$6,I746,0)))</f>
        <v/>
      </c>
      <c r="N746" s="52">
        <f>IF(OR(A746="",NOT(ISNUMBER(I746))),"",IF(G746=Lists!$B$5,I746/2,IF(G746=Lists!$B$7,I746,0)))</f>
        <v/>
      </c>
      <c r="O746" s="53">
        <f>IF(COUNTA(A746:K746)=0,"",IF(OR(A746="",B746="",C746="",D746="",E746="",F746="",G746="",NOT(ISNUMBER(I746))),"Incomplete",IF(COUNTIF(Lists!$H$4:$AA$4,C746)=0,"Check category",IF(COUNTIF(INDEX(Lists!$H$6:$AA$45,0,MATCH(C746,Lists!$H$4:$AA$4,0)),D746)=0,"Check sub-category","OK"))))</f>
        <v/>
      </c>
      <c r="P746">
        <f>IF(ISNUMBER(I746),I746+ROW()/10000000,"")</f>
        <v/>
      </c>
      <c r="Q746">
        <f>IF(AND(ISNUMBER(P746),ISNUMBER(A746)),IF(AND(A746&gt;=Dashboard!$Q$3,A746&lt;=Dashboard!$Q$4,OR(J746&lt;&gt;"Yes",Dashboard!$Q$15="Yes")),P746,""),"")</f>
        <v/>
      </c>
    </row>
    <row r="747">
      <c r="A747" s="47" t="n"/>
      <c r="B747" s="48" t="n"/>
      <c r="C747" s="48" t="n"/>
      <c r="D747" s="48" t="n"/>
      <c r="E747" s="48" t="n"/>
      <c r="F747" s="48" t="n"/>
      <c r="G747" s="48" t="n"/>
      <c r="H747" s="48" t="n"/>
      <c r="I747" s="49" t="n"/>
      <c r="J747" s="50" t="n"/>
      <c r="K747" s="48" t="n"/>
      <c r="L747" s="51">
        <f>IF(A747="","",DATE(YEAR(A747),MONTH(A747),1))</f>
        <v/>
      </c>
      <c r="M747" s="52">
        <f>IF(OR(A747="",NOT(ISNUMBER(I747))),"",IF(G747=Lists!$B$5,I747/2,IF(G747=Lists!$B$6,I747,0)))</f>
        <v/>
      </c>
      <c r="N747" s="52">
        <f>IF(OR(A747="",NOT(ISNUMBER(I747))),"",IF(G747=Lists!$B$5,I747/2,IF(G747=Lists!$B$7,I747,0)))</f>
        <v/>
      </c>
      <c r="O747" s="53">
        <f>IF(COUNTA(A747:K747)=0,"",IF(OR(A747="",B747="",C747="",D747="",E747="",F747="",G747="",NOT(ISNUMBER(I747))),"Incomplete",IF(COUNTIF(Lists!$H$4:$AA$4,C747)=0,"Check category",IF(COUNTIF(INDEX(Lists!$H$6:$AA$45,0,MATCH(C747,Lists!$H$4:$AA$4,0)),D747)=0,"Check sub-category","OK"))))</f>
        <v/>
      </c>
      <c r="P747">
        <f>IF(ISNUMBER(I747),I747+ROW()/10000000,"")</f>
        <v/>
      </c>
      <c r="Q747">
        <f>IF(AND(ISNUMBER(P747),ISNUMBER(A747)),IF(AND(A747&gt;=Dashboard!$Q$3,A747&lt;=Dashboard!$Q$4,OR(J747&lt;&gt;"Yes",Dashboard!$Q$15="Yes")),P747,""),"")</f>
        <v/>
      </c>
    </row>
    <row r="748">
      <c r="A748" s="47" t="n"/>
      <c r="B748" s="48" t="n"/>
      <c r="C748" s="48" t="n"/>
      <c r="D748" s="48" t="n"/>
      <c r="E748" s="48" t="n"/>
      <c r="F748" s="48" t="n"/>
      <c r="G748" s="48" t="n"/>
      <c r="H748" s="48" t="n"/>
      <c r="I748" s="49" t="n"/>
      <c r="J748" s="50" t="n"/>
      <c r="K748" s="48" t="n"/>
      <c r="L748" s="51">
        <f>IF(A748="","",DATE(YEAR(A748),MONTH(A748),1))</f>
        <v/>
      </c>
      <c r="M748" s="52">
        <f>IF(OR(A748="",NOT(ISNUMBER(I748))),"",IF(G748=Lists!$B$5,I748/2,IF(G748=Lists!$B$6,I748,0)))</f>
        <v/>
      </c>
      <c r="N748" s="52">
        <f>IF(OR(A748="",NOT(ISNUMBER(I748))),"",IF(G748=Lists!$B$5,I748/2,IF(G748=Lists!$B$7,I748,0)))</f>
        <v/>
      </c>
      <c r="O748" s="53">
        <f>IF(COUNTA(A748:K748)=0,"",IF(OR(A748="",B748="",C748="",D748="",E748="",F748="",G748="",NOT(ISNUMBER(I748))),"Incomplete",IF(COUNTIF(Lists!$H$4:$AA$4,C748)=0,"Check category",IF(COUNTIF(INDEX(Lists!$H$6:$AA$45,0,MATCH(C748,Lists!$H$4:$AA$4,0)),D748)=0,"Check sub-category","OK"))))</f>
        <v/>
      </c>
      <c r="P748">
        <f>IF(ISNUMBER(I748),I748+ROW()/10000000,"")</f>
        <v/>
      </c>
      <c r="Q748">
        <f>IF(AND(ISNUMBER(P748),ISNUMBER(A748)),IF(AND(A748&gt;=Dashboard!$Q$3,A748&lt;=Dashboard!$Q$4,OR(J748&lt;&gt;"Yes",Dashboard!$Q$15="Yes")),P748,""),"")</f>
        <v/>
      </c>
    </row>
    <row r="749">
      <c r="A749" s="47" t="n"/>
      <c r="B749" s="48" t="n"/>
      <c r="C749" s="48" t="n"/>
      <c r="D749" s="48" t="n"/>
      <c r="E749" s="48" t="n"/>
      <c r="F749" s="48" t="n"/>
      <c r="G749" s="48" t="n"/>
      <c r="H749" s="48" t="n"/>
      <c r="I749" s="49" t="n"/>
      <c r="J749" s="50" t="n"/>
      <c r="K749" s="48" t="n"/>
      <c r="L749" s="51">
        <f>IF(A749="","",DATE(YEAR(A749),MONTH(A749),1))</f>
        <v/>
      </c>
      <c r="M749" s="52">
        <f>IF(OR(A749="",NOT(ISNUMBER(I749))),"",IF(G749=Lists!$B$5,I749/2,IF(G749=Lists!$B$6,I749,0)))</f>
        <v/>
      </c>
      <c r="N749" s="52">
        <f>IF(OR(A749="",NOT(ISNUMBER(I749))),"",IF(G749=Lists!$B$5,I749/2,IF(G749=Lists!$B$7,I749,0)))</f>
        <v/>
      </c>
      <c r="O749" s="53">
        <f>IF(COUNTA(A749:K749)=0,"",IF(OR(A749="",B749="",C749="",D749="",E749="",F749="",G749="",NOT(ISNUMBER(I749))),"Incomplete",IF(COUNTIF(Lists!$H$4:$AA$4,C749)=0,"Check category",IF(COUNTIF(INDEX(Lists!$H$6:$AA$45,0,MATCH(C749,Lists!$H$4:$AA$4,0)),D749)=0,"Check sub-category","OK"))))</f>
        <v/>
      </c>
      <c r="P749">
        <f>IF(ISNUMBER(I749),I749+ROW()/10000000,"")</f>
        <v/>
      </c>
      <c r="Q749">
        <f>IF(AND(ISNUMBER(P749),ISNUMBER(A749)),IF(AND(A749&gt;=Dashboard!$Q$3,A749&lt;=Dashboard!$Q$4,OR(J749&lt;&gt;"Yes",Dashboard!$Q$15="Yes")),P749,""),"")</f>
        <v/>
      </c>
    </row>
    <row r="750">
      <c r="A750" s="47" t="n"/>
      <c r="B750" s="48" t="n"/>
      <c r="C750" s="48" t="n"/>
      <c r="D750" s="48" t="n"/>
      <c r="E750" s="48" t="n"/>
      <c r="F750" s="48" t="n"/>
      <c r="G750" s="48" t="n"/>
      <c r="H750" s="48" t="n"/>
      <c r="I750" s="49" t="n"/>
      <c r="J750" s="50" t="n"/>
      <c r="K750" s="48" t="n"/>
      <c r="L750" s="51">
        <f>IF(A750="","",DATE(YEAR(A750),MONTH(A750),1))</f>
        <v/>
      </c>
      <c r="M750" s="52">
        <f>IF(OR(A750="",NOT(ISNUMBER(I750))),"",IF(G750=Lists!$B$5,I750/2,IF(G750=Lists!$B$6,I750,0)))</f>
        <v/>
      </c>
      <c r="N750" s="52">
        <f>IF(OR(A750="",NOT(ISNUMBER(I750))),"",IF(G750=Lists!$B$5,I750/2,IF(G750=Lists!$B$7,I750,0)))</f>
        <v/>
      </c>
      <c r="O750" s="53">
        <f>IF(COUNTA(A750:K750)=0,"",IF(OR(A750="",B750="",C750="",D750="",E750="",F750="",G750="",NOT(ISNUMBER(I750))),"Incomplete",IF(COUNTIF(Lists!$H$4:$AA$4,C750)=0,"Check category",IF(COUNTIF(INDEX(Lists!$H$6:$AA$45,0,MATCH(C750,Lists!$H$4:$AA$4,0)),D750)=0,"Check sub-category","OK"))))</f>
        <v/>
      </c>
      <c r="P750">
        <f>IF(ISNUMBER(I750),I750+ROW()/10000000,"")</f>
        <v/>
      </c>
      <c r="Q750">
        <f>IF(AND(ISNUMBER(P750),ISNUMBER(A750)),IF(AND(A750&gt;=Dashboard!$Q$3,A750&lt;=Dashboard!$Q$4,OR(J750&lt;&gt;"Yes",Dashboard!$Q$15="Yes")),P750,""),"")</f>
        <v/>
      </c>
    </row>
    <row r="751">
      <c r="A751" s="47" t="n"/>
      <c r="B751" s="48" t="n"/>
      <c r="C751" s="48" t="n"/>
      <c r="D751" s="48" t="n"/>
      <c r="E751" s="48" t="n"/>
      <c r="F751" s="48" t="n"/>
      <c r="G751" s="48" t="n"/>
      <c r="H751" s="48" t="n"/>
      <c r="I751" s="49" t="n"/>
      <c r="J751" s="50" t="n"/>
      <c r="K751" s="48" t="n"/>
      <c r="L751" s="51">
        <f>IF(A751="","",DATE(YEAR(A751),MONTH(A751),1))</f>
        <v/>
      </c>
      <c r="M751" s="52">
        <f>IF(OR(A751="",NOT(ISNUMBER(I751))),"",IF(G751=Lists!$B$5,I751/2,IF(G751=Lists!$B$6,I751,0)))</f>
        <v/>
      </c>
      <c r="N751" s="52">
        <f>IF(OR(A751="",NOT(ISNUMBER(I751))),"",IF(G751=Lists!$B$5,I751/2,IF(G751=Lists!$B$7,I751,0)))</f>
        <v/>
      </c>
      <c r="O751" s="53">
        <f>IF(COUNTA(A751:K751)=0,"",IF(OR(A751="",B751="",C751="",D751="",E751="",F751="",G751="",NOT(ISNUMBER(I751))),"Incomplete",IF(COUNTIF(Lists!$H$4:$AA$4,C751)=0,"Check category",IF(COUNTIF(INDEX(Lists!$H$6:$AA$45,0,MATCH(C751,Lists!$H$4:$AA$4,0)),D751)=0,"Check sub-category","OK"))))</f>
        <v/>
      </c>
      <c r="P751">
        <f>IF(ISNUMBER(I751),I751+ROW()/10000000,"")</f>
        <v/>
      </c>
      <c r="Q751">
        <f>IF(AND(ISNUMBER(P751),ISNUMBER(A751)),IF(AND(A751&gt;=Dashboard!$Q$3,A751&lt;=Dashboard!$Q$4,OR(J751&lt;&gt;"Yes",Dashboard!$Q$15="Yes")),P751,""),"")</f>
        <v/>
      </c>
    </row>
    <row r="752">
      <c r="A752" s="47" t="n"/>
      <c r="B752" s="48" t="n"/>
      <c r="C752" s="48" t="n"/>
      <c r="D752" s="48" t="n"/>
      <c r="E752" s="48" t="n"/>
      <c r="F752" s="48" t="n"/>
      <c r="G752" s="48" t="n"/>
      <c r="H752" s="48" t="n"/>
      <c r="I752" s="49" t="n"/>
      <c r="J752" s="50" t="n"/>
      <c r="K752" s="48" t="n"/>
      <c r="L752" s="51">
        <f>IF(A752="","",DATE(YEAR(A752),MONTH(A752),1))</f>
        <v/>
      </c>
      <c r="M752" s="52">
        <f>IF(OR(A752="",NOT(ISNUMBER(I752))),"",IF(G752=Lists!$B$5,I752/2,IF(G752=Lists!$B$6,I752,0)))</f>
        <v/>
      </c>
      <c r="N752" s="52">
        <f>IF(OR(A752="",NOT(ISNUMBER(I752))),"",IF(G752=Lists!$B$5,I752/2,IF(G752=Lists!$B$7,I752,0)))</f>
        <v/>
      </c>
      <c r="O752" s="53">
        <f>IF(COUNTA(A752:K752)=0,"",IF(OR(A752="",B752="",C752="",D752="",E752="",F752="",G752="",NOT(ISNUMBER(I752))),"Incomplete",IF(COUNTIF(Lists!$H$4:$AA$4,C752)=0,"Check category",IF(COUNTIF(INDEX(Lists!$H$6:$AA$45,0,MATCH(C752,Lists!$H$4:$AA$4,0)),D752)=0,"Check sub-category","OK"))))</f>
        <v/>
      </c>
      <c r="P752">
        <f>IF(ISNUMBER(I752),I752+ROW()/10000000,"")</f>
        <v/>
      </c>
      <c r="Q752">
        <f>IF(AND(ISNUMBER(P752),ISNUMBER(A752)),IF(AND(A752&gt;=Dashboard!$Q$3,A752&lt;=Dashboard!$Q$4,OR(J752&lt;&gt;"Yes",Dashboard!$Q$15="Yes")),P752,""),"")</f>
        <v/>
      </c>
    </row>
    <row r="753">
      <c r="A753" s="47" t="n"/>
      <c r="B753" s="48" t="n"/>
      <c r="C753" s="48" t="n"/>
      <c r="D753" s="48" t="n"/>
      <c r="E753" s="48" t="n"/>
      <c r="F753" s="48" t="n"/>
      <c r="G753" s="48" t="n"/>
      <c r="H753" s="48" t="n"/>
      <c r="I753" s="49" t="n"/>
      <c r="J753" s="50" t="n"/>
      <c r="K753" s="48" t="n"/>
      <c r="L753" s="51">
        <f>IF(A753="","",DATE(YEAR(A753),MONTH(A753),1))</f>
        <v/>
      </c>
      <c r="M753" s="52">
        <f>IF(OR(A753="",NOT(ISNUMBER(I753))),"",IF(G753=Lists!$B$5,I753/2,IF(G753=Lists!$B$6,I753,0)))</f>
        <v/>
      </c>
      <c r="N753" s="52">
        <f>IF(OR(A753="",NOT(ISNUMBER(I753))),"",IF(G753=Lists!$B$5,I753/2,IF(G753=Lists!$B$7,I753,0)))</f>
        <v/>
      </c>
      <c r="O753" s="53">
        <f>IF(COUNTA(A753:K753)=0,"",IF(OR(A753="",B753="",C753="",D753="",E753="",F753="",G753="",NOT(ISNUMBER(I753))),"Incomplete",IF(COUNTIF(Lists!$H$4:$AA$4,C753)=0,"Check category",IF(COUNTIF(INDEX(Lists!$H$6:$AA$45,0,MATCH(C753,Lists!$H$4:$AA$4,0)),D753)=0,"Check sub-category","OK"))))</f>
        <v/>
      </c>
      <c r="P753">
        <f>IF(ISNUMBER(I753),I753+ROW()/10000000,"")</f>
        <v/>
      </c>
      <c r="Q753">
        <f>IF(AND(ISNUMBER(P753),ISNUMBER(A753)),IF(AND(A753&gt;=Dashboard!$Q$3,A753&lt;=Dashboard!$Q$4,OR(J753&lt;&gt;"Yes",Dashboard!$Q$15="Yes")),P753,""),"")</f>
        <v/>
      </c>
    </row>
    <row r="754">
      <c r="A754" s="47" t="n"/>
      <c r="B754" s="48" t="n"/>
      <c r="C754" s="48" t="n"/>
      <c r="D754" s="48" t="n"/>
      <c r="E754" s="48" t="n"/>
      <c r="F754" s="48" t="n"/>
      <c r="G754" s="48" t="n"/>
      <c r="H754" s="48" t="n"/>
      <c r="I754" s="49" t="n"/>
      <c r="J754" s="50" t="n"/>
      <c r="K754" s="48" t="n"/>
      <c r="L754" s="51">
        <f>IF(A754="","",DATE(YEAR(A754),MONTH(A754),1))</f>
        <v/>
      </c>
      <c r="M754" s="52">
        <f>IF(OR(A754="",NOT(ISNUMBER(I754))),"",IF(G754=Lists!$B$5,I754/2,IF(G754=Lists!$B$6,I754,0)))</f>
        <v/>
      </c>
      <c r="N754" s="52">
        <f>IF(OR(A754="",NOT(ISNUMBER(I754))),"",IF(G754=Lists!$B$5,I754/2,IF(G754=Lists!$B$7,I754,0)))</f>
        <v/>
      </c>
      <c r="O754" s="53">
        <f>IF(COUNTA(A754:K754)=0,"",IF(OR(A754="",B754="",C754="",D754="",E754="",F754="",G754="",NOT(ISNUMBER(I754))),"Incomplete",IF(COUNTIF(Lists!$H$4:$AA$4,C754)=0,"Check category",IF(COUNTIF(INDEX(Lists!$H$6:$AA$45,0,MATCH(C754,Lists!$H$4:$AA$4,0)),D754)=0,"Check sub-category","OK"))))</f>
        <v/>
      </c>
      <c r="P754">
        <f>IF(ISNUMBER(I754),I754+ROW()/10000000,"")</f>
        <v/>
      </c>
      <c r="Q754">
        <f>IF(AND(ISNUMBER(P754),ISNUMBER(A754)),IF(AND(A754&gt;=Dashboard!$Q$3,A754&lt;=Dashboard!$Q$4,OR(J754&lt;&gt;"Yes",Dashboard!$Q$15="Yes")),P754,""),"")</f>
        <v/>
      </c>
    </row>
    <row r="755">
      <c r="A755" s="47" t="n"/>
      <c r="B755" s="48" t="n"/>
      <c r="C755" s="48" t="n"/>
      <c r="D755" s="48" t="n"/>
      <c r="E755" s="48" t="n"/>
      <c r="F755" s="48" t="n"/>
      <c r="G755" s="48" t="n"/>
      <c r="H755" s="48" t="n"/>
      <c r="I755" s="49" t="n"/>
      <c r="J755" s="50" t="n"/>
      <c r="K755" s="48" t="n"/>
      <c r="L755" s="51">
        <f>IF(A755="","",DATE(YEAR(A755),MONTH(A755),1))</f>
        <v/>
      </c>
      <c r="M755" s="52">
        <f>IF(OR(A755="",NOT(ISNUMBER(I755))),"",IF(G755=Lists!$B$5,I755/2,IF(G755=Lists!$B$6,I755,0)))</f>
        <v/>
      </c>
      <c r="N755" s="52">
        <f>IF(OR(A755="",NOT(ISNUMBER(I755))),"",IF(G755=Lists!$B$5,I755/2,IF(G755=Lists!$B$7,I755,0)))</f>
        <v/>
      </c>
      <c r="O755" s="53">
        <f>IF(COUNTA(A755:K755)=0,"",IF(OR(A755="",B755="",C755="",D755="",E755="",F755="",G755="",NOT(ISNUMBER(I755))),"Incomplete",IF(COUNTIF(Lists!$H$4:$AA$4,C755)=0,"Check category",IF(COUNTIF(INDEX(Lists!$H$6:$AA$45,0,MATCH(C755,Lists!$H$4:$AA$4,0)),D755)=0,"Check sub-category","OK"))))</f>
        <v/>
      </c>
      <c r="P755">
        <f>IF(ISNUMBER(I755),I755+ROW()/10000000,"")</f>
        <v/>
      </c>
      <c r="Q755">
        <f>IF(AND(ISNUMBER(P755),ISNUMBER(A755)),IF(AND(A755&gt;=Dashboard!$Q$3,A755&lt;=Dashboard!$Q$4,OR(J755&lt;&gt;"Yes",Dashboard!$Q$15="Yes")),P755,""),"")</f>
        <v/>
      </c>
    </row>
    <row r="756">
      <c r="A756" s="47" t="n"/>
      <c r="B756" s="48" t="n"/>
      <c r="C756" s="48" t="n"/>
      <c r="D756" s="48" t="n"/>
      <c r="E756" s="48" t="n"/>
      <c r="F756" s="48" t="n"/>
      <c r="G756" s="48" t="n"/>
      <c r="H756" s="48" t="n"/>
      <c r="I756" s="49" t="n"/>
      <c r="J756" s="50" t="n"/>
      <c r="K756" s="48" t="n"/>
      <c r="L756" s="51">
        <f>IF(A756="","",DATE(YEAR(A756),MONTH(A756),1))</f>
        <v/>
      </c>
      <c r="M756" s="52">
        <f>IF(OR(A756="",NOT(ISNUMBER(I756))),"",IF(G756=Lists!$B$5,I756/2,IF(G756=Lists!$B$6,I756,0)))</f>
        <v/>
      </c>
      <c r="N756" s="52">
        <f>IF(OR(A756="",NOT(ISNUMBER(I756))),"",IF(G756=Lists!$B$5,I756/2,IF(G756=Lists!$B$7,I756,0)))</f>
        <v/>
      </c>
      <c r="O756" s="53">
        <f>IF(COUNTA(A756:K756)=0,"",IF(OR(A756="",B756="",C756="",D756="",E756="",F756="",G756="",NOT(ISNUMBER(I756))),"Incomplete",IF(COUNTIF(Lists!$H$4:$AA$4,C756)=0,"Check category",IF(COUNTIF(INDEX(Lists!$H$6:$AA$45,0,MATCH(C756,Lists!$H$4:$AA$4,0)),D756)=0,"Check sub-category","OK"))))</f>
        <v/>
      </c>
      <c r="P756">
        <f>IF(ISNUMBER(I756),I756+ROW()/10000000,"")</f>
        <v/>
      </c>
      <c r="Q756">
        <f>IF(AND(ISNUMBER(P756),ISNUMBER(A756)),IF(AND(A756&gt;=Dashboard!$Q$3,A756&lt;=Dashboard!$Q$4,OR(J756&lt;&gt;"Yes",Dashboard!$Q$15="Yes")),P756,""),"")</f>
        <v/>
      </c>
    </row>
    <row r="757">
      <c r="A757" s="47" t="n"/>
      <c r="B757" s="48" t="n"/>
      <c r="C757" s="48" t="n"/>
      <c r="D757" s="48" t="n"/>
      <c r="E757" s="48" t="n"/>
      <c r="F757" s="48" t="n"/>
      <c r="G757" s="48" t="n"/>
      <c r="H757" s="48" t="n"/>
      <c r="I757" s="49" t="n"/>
      <c r="J757" s="50" t="n"/>
      <c r="K757" s="48" t="n"/>
      <c r="L757" s="51">
        <f>IF(A757="","",DATE(YEAR(A757),MONTH(A757),1))</f>
        <v/>
      </c>
      <c r="M757" s="52">
        <f>IF(OR(A757="",NOT(ISNUMBER(I757))),"",IF(G757=Lists!$B$5,I757/2,IF(G757=Lists!$B$6,I757,0)))</f>
        <v/>
      </c>
      <c r="N757" s="52">
        <f>IF(OR(A757="",NOT(ISNUMBER(I757))),"",IF(G757=Lists!$B$5,I757/2,IF(G757=Lists!$B$7,I757,0)))</f>
        <v/>
      </c>
      <c r="O757" s="53">
        <f>IF(COUNTA(A757:K757)=0,"",IF(OR(A757="",B757="",C757="",D757="",E757="",F757="",G757="",NOT(ISNUMBER(I757))),"Incomplete",IF(COUNTIF(Lists!$H$4:$AA$4,C757)=0,"Check category",IF(COUNTIF(INDEX(Lists!$H$6:$AA$45,0,MATCH(C757,Lists!$H$4:$AA$4,0)),D757)=0,"Check sub-category","OK"))))</f>
        <v/>
      </c>
      <c r="P757">
        <f>IF(ISNUMBER(I757),I757+ROW()/10000000,"")</f>
        <v/>
      </c>
      <c r="Q757">
        <f>IF(AND(ISNUMBER(P757),ISNUMBER(A757)),IF(AND(A757&gt;=Dashboard!$Q$3,A757&lt;=Dashboard!$Q$4,OR(J757&lt;&gt;"Yes",Dashboard!$Q$15="Yes")),P757,""),"")</f>
        <v/>
      </c>
    </row>
    <row r="758">
      <c r="A758" s="47" t="n"/>
      <c r="B758" s="48" t="n"/>
      <c r="C758" s="48" t="n"/>
      <c r="D758" s="48" t="n"/>
      <c r="E758" s="48" t="n"/>
      <c r="F758" s="48" t="n"/>
      <c r="G758" s="48" t="n"/>
      <c r="H758" s="48" t="n"/>
      <c r="I758" s="49" t="n"/>
      <c r="J758" s="50" t="n"/>
      <c r="K758" s="48" t="n"/>
      <c r="L758" s="51">
        <f>IF(A758="","",DATE(YEAR(A758),MONTH(A758),1))</f>
        <v/>
      </c>
      <c r="M758" s="52">
        <f>IF(OR(A758="",NOT(ISNUMBER(I758))),"",IF(G758=Lists!$B$5,I758/2,IF(G758=Lists!$B$6,I758,0)))</f>
        <v/>
      </c>
      <c r="N758" s="52">
        <f>IF(OR(A758="",NOT(ISNUMBER(I758))),"",IF(G758=Lists!$B$5,I758/2,IF(G758=Lists!$B$7,I758,0)))</f>
        <v/>
      </c>
      <c r="O758" s="53">
        <f>IF(COUNTA(A758:K758)=0,"",IF(OR(A758="",B758="",C758="",D758="",E758="",F758="",G758="",NOT(ISNUMBER(I758))),"Incomplete",IF(COUNTIF(Lists!$H$4:$AA$4,C758)=0,"Check category",IF(COUNTIF(INDEX(Lists!$H$6:$AA$45,0,MATCH(C758,Lists!$H$4:$AA$4,0)),D758)=0,"Check sub-category","OK"))))</f>
        <v/>
      </c>
      <c r="P758">
        <f>IF(ISNUMBER(I758),I758+ROW()/10000000,"")</f>
        <v/>
      </c>
      <c r="Q758">
        <f>IF(AND(ISNUMBER(P758),ISNUMBER(A758)),IF(AND(A758&gt;=Dashboard!$Q$3,A758&lt;=Dashboard!$Q$4,OR(J758&lt;&gt;"Yes",Dashboard!$Q$15="Yes")),P758,""),"")</f>
        <v/>
      </c>
    </row>
    <row r="759">
      <c r="A759" s="47" t="n"/>
      <c r="B759" s="48" t="n"/>
      <c r="C759" s="48" t="n"/>
      <c r="D759" s="48" t="n"/>
      <c r="E759" s="48" t="n"/>
      <c r="F759" s="48" t="n"/>
      <c r="G759" s="48" t="n"/>
      <c r="H759" s="48" t="n"/>
      <c r="I759" s="49" t="n"/>
      <c r="J759" s="50" t="n"/>
      <c r="K759" s="48" t="n"/>
      <c r="L759" s="51">
        <f>IF(A759="","",DATE(YEAR(A759),MONTH(A759),1))</f>
        <v/>
      </c>
      <c r="M759" s="52">
        <f>IF(OR(A759="",NOT(ISNUMBER(I759))),"",IF(G759=Lists!$B$5,I759/2,IF(G759=Lists!$B$6,I759,0)))</f>
        <v/>
      </c>
      <c r="N759" s="52">
        <f>IF(OR(A759="",NOT(ISNUMBER(I759))),"",IF(G759=Lists!$B$5,I759/2,IF(G759=Lists!$B$7,I759,0)))</f>
        <v/>
      </c>
      <c r="O759" s="53">
        <f>IF(COUNTA(A759:K759)=0,"",IF(OR(A759="",B759="",C759="",D759="",E759="",F759="",G759="",NOT(ISNUMBER(I759))),"Incomplete",IF(COUNTIF(Lists!$H$4:$AA$4,C759)=0,"Check category",IF(COUNTIF(INDEX(Lists!$H$6:$AA$45,0,MATCH(C759,Lists!$H$4:$AA$4,0)),D759)=0,"Check sub-category","OK"))))</f>
        <v/>
      </c>
      <c r="P759">
        <f>IF(ISNUMBER(I759),I759+ROW()/10000000,"")</f>
        <v/>
      </c>
      <c r="Q759">
        <f>IF(AND(ISNUMBER(P759),ISNUMBER(A759)),IF(AND(A759&gt;=Dashboard!$Q$3,A759&lt;=Dashboard!$Q$4,OR(J759&lt;&gt;"Yes",Dashboard!$Q$15="Yes")),P759,""),"")</f>
        <v/>
      </c>
    </row>
    <row r="760">
      <c r="A760" s="47" t="n"/>
      <c r="B760" s="48" t="n"/>
      <c r="C760" s="48" t="n"/>
      <c r="D760" s="48" t="n"/>
      <c r="E760" s="48" t="n"/>
      <c r="F760" s="48" t="n"/>
      <c r="G760" s="48" t="n"/>
      <c r="H760" s="48" t="n"/>
      <c r="I760" s="49" t="n"/>
      <c r="J760" s="50" t="n"/>
      <c r="K760" s="48" t="n"/>
      <c r="L760" s="51">
        <f>IF(A760="","",DATE(YEAR(A760),MONTH(A760),1))</f>
        <v/>
      </c>
      <c r="M760" s="52">
        <f>IF(OR(A760="",NOT(ISNUMBER(I760))),"",IF(G760=Lists!$B$5,I760/2,IF(G760=Lists!$B$6,I760,0)))</f>
        <v/>
      </c>
      <c r="N760" s="52">
        <f>IF(OR(A760="",NOT(ISNUMBER(I760))),"",IF(G760=Lists!$B$5,I760/2,IF(G760=Lists!$B$7,I760,0)))</f>
        <v/>
      </c>
      <c r="O760" s="53">
        <f>IF(COUNTA(A760:K760)=0,"",IF(OR(A760="",B760="",C760="",D760="",E760="",F760="",G760="",NOT(ISNUMBER(I760))),"Incomplete",IF(COUNTIF(Lists!$H$4:$AA$4,C760)=0,"Check category",IF(COUNTIF(INDEX(Lists!$H$6:$AA$45,0,MATCH(C760,Lists!$H$4:$AA$4,0)),D760)=0,"Check sub-category","OK"))))</f>
        <v/>
      </c>
      <c r="P760">
        <f>IF(ISNUMBER(I760),I760+ROW()/10000000,"")</f>
        <v/>
      </c>
      <c r="Q760">
        <f>IF(AND(ISNUMBER(P760),ISNUMBER(A760)),IF(AND(A760&gt;=Dashboard!$Q$3,A760&lt;=Dashboard!$Q$4,OR(J760&lt;&gt;"Yes",Dashboard!$Q$15="Yes")),P760,""),"")</f>
        <v/>
      </c>
    </row>
    <row r="761">
      <c r="A761" s="47" t="n"/>
      <c r="B761" s="48" t="n"/>
      <c r="C761" s="48" t="n"/>
      <c r="D761" s="48" t="n"/>
      <c r="E761" s="48" t="n"/>
      <c r="F761" s="48" t="n"/>
      <c r="G761" s="48" t="n"/>
      <c r="H761" s="48" t="n"/>
      <c r="I761" s="49" t="n"/>
      <c r="J761" s="50" t="n"/>
      <c r="K761" s="48" t="n"/>
      <c r="L761" s="51">
        <f>IF(A761="","",DATE(YEAR(A761),MONTH(A761),1))</f>
        <v/>
      </c>
      <c r="M761" s="52">
        <f>IF(OR(A761="",NOT(ISNUMBER(I761))),"",IF(G761=Lists!$B$5,I761/2,IF(G761=Lists!$B$6,I761,0)))</f>
        <v/>
      </c>
      <c r="N761" s="52">
        <f>IF(OR(A761="",NOT(ISNUMBER(I761))),"",IF(G761=Lists!$B$5,I761/2,IF(G761=Lists!$B$7,I761,0)))</f>
        <v/>
      </c>
      <c r="O761" s="53">
        <f>IF(COUNTA(A761:K761)=0,"",IF(OR(A761="",B761="",C761="",D761="",E761="",F761="",G761="",NOT(ISNUMBER(I761))),"Incomplete",IF(COUNTIF(Lists!$H$4:$AA$4,C761)=0,"Check category",IF(COUNTIF(INDEX(Lists!$H$6:$AA$45,0,MATCH(C761,Lists!$H$4:$AA$4,0)),D761)=0,"Check sub-category","OK"))))</f>
        <v/>
      </c>
      <c r="P761">
        <f>IF(ISNUMBER(I761),I761+ROW()/10000000,"")</f>
        <v/>
      </c>
      <c r="Q761">
        <f>IF(AND(ISNUMBER(P761),ISNUMBER(A761)),IF(AND(A761&gt;=Dashboard!$Q$3,A761&lt;=Dashboard!$Q$4,OR(J761&lt;&gt;"Yes",Dashboard!$Q$15="Yes")),P761,""),"")</f>
        <v/>
      </c>
    </row>
    <row r="762">
      <c r="A762" s="47" t="n"/>
      <c r="B762" s="48" t="n"/>
      <c r="C762" s="48" t="n"/>
      <c r="D762" s="48" t="n"/>
      <c r="E762" s="48" t="n"/>
      <c r="F762" s="48" t="n"/>
      <c r="G762" s="48" t="n"/>
      <c r="H762" s="48" t="n"/>
      <c r="I762" s="49" t="n"/>
      <c r="J762" s="50" t="n"/>
      <c r="K762" s="48" t="n"/>
      <c r="L762" s="51">
        <f>IF(A762="","",DATE(YEAR(A762),MONTH(A762),1))</f>
        <v/>
      </c>
      <c r="M762" s="52">
        <f>IF(OR(A762="",NOT(ISNUMBER(I762))),"",IF(G762=Lists!$B$5,I762/2,IF(G762=Lists!$B$6,I762,0)))</f>
        <v/>
      </c>
      <c r="N762" s="52">
        <f>IF(OR(A762="",NOT(ISNUMBER(I762))),"",IF(G762=Lists!$B$5,I762/2,IF(G762=Lists!$B$7,I762,0)))</f>
        <v/>
      </c>
      <c r="O762" s="53">
        <f>IF(COUNTA(A762:K762)=0,"",IF(OR(A762="",B762="",C762="",D762="",E762="",F762="",G762="",NOT(ISNUMBER(I762))),"Incomplete",IF(COUNTIF(Lists!$H$4:$AA$4,C762)=0,"Check category",IF(COUNTIF(INDEX(Lists!$H$6:$AA$45,0,MATCH(C762,Lists!$H$4:$AA$4,0)),D762)=0,"Check sub-category","OK"))))</f>
        <v/>
      </c>
      <c r="P762">
        <f>IF(ISNUMBER(I762),I762+ROW()/10000000,"")</f>
        <v/>
      </c>
      <c r="Q762">
        <f>IF(AND(ISNUMBER(P762),ISNUMBER(A762)),IF(AND(A762&gt;=Dashboard!$Q$3,A762&lt;=Dashboard!$Q$4,OR(J762&lt;&gt;"Yes",Dashboard!$Q$15="Yes")),P762,""),"")</f>
        <v/>
      </c>
    </row>
    <row r="763">
      <c r="A763" s="47" t="n"/>
      <c r="B763" s="48" t="n"/>
      <c r="C763" s="48" t="n"/>
      <c r="D763" s="48" t="n"/>
      <c r="E763" s="48" t="n"/>
      <c r="F763" s="48" t="n"/>
      <c r="G763" s="48" t="n"/>
      <c r="H763" s="48" t="n"/>
      <c r="I763" s="49" t="n"/>
      <c r="J763" s="50" t="n"/>
      <c r="K763" s="48" t="n"/>
      <c r="L763" s="51">
        <f>IF(A763="","",DATE(YEAR(A763),MONTH(A763),1))</f>
        <v/>
      </c>
      <c r="M763" s="52">
        <f>IF(OR(A763="",NOT(ISNUMBER(I763))),"",IF(G763=Lists!$B$5,I763/2,IF(G763=Lists!$B$6,I763,0)))</f>
        <v/>
      </c>
      <c r="N763" s="52">
        <f>IF(OR(A763="",NOT(ISNUMBER(I763))),"",IF(G763=Lists!$B$5,I763/2,IF(G763=Lists!$B$7,I763,0)))</f>
        <v/>
      </c>
      <c r="O763" s="53">
        <f>IF(COUNTA(A763:K763)=0,"",IF(OR(A763="",B763="",C763="",D763="",E763="",F763="",G763="",NOT(ISNUMBER(I763))),"Incomplete",IF(COUNTIF(Lists!$H$4:$AA$4,C763)=0,"Check category",IF(COUNTIF(INDEX(Lists!$H$6:$AA$45,0,MATCH(C763,Lists!$H$4:$AA$4,0)),D763)=0,"Check sub-category","OK"))))</f>
        <v/>
      </c>
      <c r="P763">
        <f>IF(ISNUMBER(I763),I763+ROW()/10000000,"")</f>
        <v/>
      </c>
      <c r="Q763">
        <f>IF(AND(ISNUMBER(P763),ISNUMBER(A763)),IF(AND(A763&gt;=Dashboard!$Q$3,A763&lt;=Dashboard!$Q$4,OR(J763&lt;&gt;"Yes",Dashboard!$Q$15="Yes")),P763,""),"")</f>
        <v/>
      </c>
    </row>
    <row r="764">
      <c r="A764" s="47" t="n"/>
      <c r="B764" s="48" t="n"/>
      <c r="C764" s="48" t="n"/>
      <c r="D764" s="48" t="n"/>
      <c r="E764" s="48" t="n"/>
      <c r="F764" s="48" t="n"/>
      <c r="G764" s="48" t="n"/>
      <c r="H764" s="48" t="n"/>
      <c r="I764" s="49" t="n"/>
      <c r="J764" s="50" t="n"/>
      <c r="K764" s="48" t="n"/>
      <c r="L764" s="51">
        <f>IF(A764="","",DATE(YEAR(A764),MONTH(A764),1))</f>
        <v/>
      </c>
      <c r="M764" s="52">
        <f>IF(OR(A764="",NOT(ISNUMBER(I764))),"",IF(G764=Lists!$B$5,I764/2,IF(G764=Lists!$B$6,I764,0)))</f>
        <v/>
      </c>
      <c r="N764" s="52">
        <f>IF(OR(A764="",NOT(ISNUMBER(I764))),"",IF(G764=Lists!$B$5,I764/2,IF(G764=Lists!$B$7,I764,0)))</f>
        <v/>
      </c>
      <c r="O764" s="53">
        <f>IF(COUNTA(A764:K764)=0,"",IF(OR(A764="",B764="",C764="",D764="",E764="",F764="",G764="",NOT(ISNUMBER(I764))),"Incomplete",IF(COUNTIF(Lists!$H$4:$AA$4,C764)=0,"Check category",IF(COUNTIF(INDEX(Lists!$H$6:$AA$45,0,MATCH(C764,Lists!$H$4:$AA$4,0)),D764)=0,"Check sub-category","OK"))))</f>
        <v/>
      </c>
      <c r="P764">
        <f>IF(ISNUMBER(I764),I764+ROW()/10000000,"")</f>
        <v/>
      </c>
      <c r="Q764">
        <f>IF(AND(ISNUMBER(P764),ISNUMBER(A764)),IF(AND(A764&gt;=Dashboard!$Q$3,A764&lt;=Dashboard!$Q$4,OR(J764&lt;&gt;"Yes",Dashboard!$Q$15="Yes")),P764,""),"")</f>
        <v/>
      </c>
    </row>
    <row r="765">
      <c r="A765" s="47" t="n"/>
      <c r="B765" s="48" t="n"/>
      <c r="C765" s="48" t="n"/>
      <c r="D765" s="48" t="n"/>
      <c r="E765" s="48" t="n"/>
      <c r="F765" s="48" t="n"/>
      <c r="G765" s="48" t="n"/>
      <c r="H765" s="48" t="n"/>
      <c r="I765" s="49" t="n"/>
      <c r="J765" s="50" t="n"/>
      <c r="K765" s="48" t="n"/>
      <c r="L765" s="51">
        <f>IF(A765="","",DATE(YEAR(A765),MONTH(A765),1))</f>
        <v/>
      </c>
      <c r="M765" s="52">
        <f>IF(OR(A765="",NOT(ISNUMBER(I765))),"",IF(G765=Lists!$B$5,I765/2,IF(G765=Lists!$B$6,I765,0)))</f>
        <v/>
      </c>
      <c r="N765" s="52">
        <f>IF(OR(A765="",NOT(ISNUMBER(I765))),"",IF(G765=Lists!$B$5,I765/2,IF(G765=Lists!$B$7,I765,0)))</f>
        <v/>
      </c>
      <c r="O765" s="53">
        <f>IF(COUNTA(A765:K765)=0,"",IF(OR(A765="",B765="",C765="",D765="",E765="",F765="",G765="",NOT(ISNUMBER(I765))),"Incomplete",IF(COUNTIF(Lists!$H$4:$AA$4,C765)=0,"Check category",IF(COUNTIF(INDEX(Lists!$H$6:$AA$45,0,MATCH(C765,Lists!$H$4:$AA$4,0)),D765)=0,"Check sub-category","OK"))))</f>
        <v/>
      </c>
      <c r="P765">
        <f>IF(ISNUMBER(I765),I765+ROW()/10000000,"")</f>
        <v/>
      </c>
      <c r="Q765">
        <f>IF(AND(ISNUMBER(P765),ISNUMBER(A765)),IF(AND(A765&gt;=Dashboard!$Q$3,A765&lt;=Dashboard!$Q$4,OR(J765&lt;&gt;"Yes",Dashboard!$Q$15="Yes")),P765,""),"")</f>
        <v/>
      </c>
    </row>
    <row r="766">
      <c r="A766" s="47" t="n"/>
      <c r="B766" s="48" t="n"/>
      <c r="C766" s="48" t="n"/>
      <c r="D766" s="48" t="n"/>
      <c r="E766" s="48" t="n"/>
      <c r="F766" s="48" t="n"/>
      <c r="G766" s="48" t="n"/>
      <c r="H766" s="48" t="n"/>
      <c r="I766" s="49" t="n"/>
      <c r="J766" s="50" t="n"/>
      <c r="K766" s="48" t="n"/>
      <c r="L766" s="51">
        <f>IF(A766="","",DATE(YEAR(A766),MONTH(A766),1))</f>
        <v/>
      </c>
      <c r="M766" s="52">
        <f>IF(OR(A766="",NOT(ISNUMBER(I766))),"",IF(G766=Lists!$B$5,I766/2,IF(G766=Lists!$B$6,I766,0)))</f>
        <v/>
      </c>
      <c r="N766" s="52">
        <f>IF(OR(A766="",NOT(ISNUMBER(I766))),"",IF(G766=Lists!$B$5,I766/2,IF(G766=Lists!$B$7,I766,0)))</f>
        <v/>
      </c>
      <c r="O766" s="53">
        <f>IF(COUNTA(A766:K766)=0,"",IF(OR(A766="",B766="",C766="",D766="",E766="",F766="",G766="",NOT(ISNUMBER(I766))),"Incomplete",IF(COUNTIF(Lists!$H$4:$AA$4,C766)=0,"Check category",IF(COUNTIF(INDEX(Lists!$H$6:$AA$45,0,MATCH(C766,Lists!$H$4:$AA$4,0)),D766)=0,"Check sub-category","OK"))))</f>
        <v/>
      </c>
      <c r="P766">
        <f>IF(ISNUMBER(I766),I766+ROW()/10000000,"")</f>
        <v/>
      </c>
      <c r="Q766">
        <f>IF(AND(ISNUMBER(P766),ISNUMBER(A766)),IF(AND(A766&gt;=Dashboard!$Q$3,A766&lt;=Dashboard!$Q$4,OR(J766&lt;&gt;"Yes",Dashboard!$Q$15="Yes")),P766,""),"")</f>
        <v/>
      </c>
    </row>
    <row r="767">
      <c r="A767" s="47" t="n"/>
      <c r="B767" s="48" t="n"/>
      <c r="C767" s="48" t="n"/>
      <c r="D767" s="48" t="n"/>
      <c r="E767" s="48" t="n"/>
      <c r="F767" s="48" t="n"/>
      <c r="G767" s="48" t="n"/>
      <c r="H767" s="48" t="n"/>
      <c r="I767" s="49" t="n"/>
      <c r="J767" s="50" t="n"/>
      <c r="K767" s="48" t="n"/>
      <c r="L767" s="51">
        <f>IF(A767="","",DATE(YEAR(A767),MONTH(A767),1))</f>
        <v/>
      </c>
      <c r="M767" s="52">
        <f>IF(OR(A767="",NOT(ISNUMBER(I767))),"",IF(G767=Lists!$B$5,I767/2,IF(G767=Lists!$B$6,I767,0)))</f>
        <v/>
      </c>
      <c r="N767" s="52">
        <f>IF(OR(A767="",NOT(ISNUMBER(I767))),"",IF(G767=Lists!$B$5,I767/2,IF(G767=Lists!$B$7,I767,0)))</f>
        <v/>
      </c>
      <c r="O767" s="53">
        <f>IF(COUNTA(A767:K767)=0,"",IF(OR(A767="",B767="",C767="",D767="",E767="",F767="",G767="",NOT(ISNUMBER(I767))),"Incomplete",IF(COUNTIF(Lists!$H$4:$AA$4,C767)=0,"Check category",IF(COUNTIF(INDEX(Lists!$H$6:$AA$45,0,MATCH(C767,Lists!$H$4:$AA$4,0)),D767)=0,"Check sub-category","OK"))))</f>
        <v/>
      </c>
      <c r="P767">
        <f>IF(ISNUMBER(I767),I767+ROW()/10000000,"")</f>
        <v/>
      </c>
      <c r="Q767">
        <f>IF(AND(ISNUMBER(P767),ISNUMBER(A767)),IF(AND(A767&gt;=Dashboard!$Q$3,A767&lt;=Dashboard!$Q$4,OR(J767&lt;&gt;"Yes",Dashboard!$Q$15="Yes")),P767,""),"")</f>
        <v/>
      </c>
    </row>
    <row r="768">
      <c r="A768" s="47" t="n"/>
      <c r="B768" s="48" t="n"/>
      <c r="C768" s="48" t="n"/>
      <c r="D768" s="48" t="n"/>
      <c r="E768" s="48" t="n"/>
      <c r="F768" s="48" t="n"/>
      <c r="G768" s="48" t="n"/>
      <c r="H768" s="48" t="n"/>
      <c r="I768" s="49" t="n"/>
      <c r="J768" s="50" t="n"/>
      <c r="K768" s="48" t="n"/>
      <c r="L768" s="51">
        <f>IF(A768="","",DATE(YEAR(A768),MONTH(A768),1))</f>
        <v/>
      </c>
      <c r="M768" s="52">
        <f>IF(OR(A768="",NOT(ISNUMBER(I768))),"",IF(G768=Lists!$B$5,I768/2,IF(G768=Lists!$B$6,I768,0)))</f>
        <v/>
      </c>
      <c r="N768" s="52">
        <f>IF(OR(A768="",NOT(ISNUMBER(I768))),"",IF(G768=Lists!$B$5,I768/2,IF(G768=Lists!$B$7,I768,0)))</f>
        <v/>
      </c>
      <c r="O768" s="53">
        <f>IF(COUNTA(A768:K768)=0,"",IF(OR(A768="",B768="",C768="",D768="",E768="",F768="",G768="",NOT(ISNUMBER(I768))),"Incomplete",IF(COUNTIF(Lists!$H$4:$AA$4,C768)=0,"Check category",IF(COUNTIF(INDEX(Lists!$H$6:$AA$45,0,MATCH(C768,Lists!$H$4:$AA$4,0)),D768)=0,"Check sub-category","OK"))))</f>
        <v/>
      </c>
      <c r="P768">
        <f>IF(ISNUMBER(I768),I768+ROW()/10000000,"")</f>
        <v/>
      </c>
      <c r="Q768">
        <f>IF(AND(ISNUMBER(P768),ISNUMBER(A768)),IF(AND(A768&gt;=Dashboard!$Q$3,A768&lt;=Dashboard!$Q$4,OR(J768&lt;&gt;"Yes",Dashboard!$Q$15="Yes")),P768,""),"")</f>
        <v/>
      </c>
    </row>
    <row r="769">
      <c r="A769" s="47" t="n"/>
      <c r="B769" s="48" t="n"/>
      <c r="C769" s="48" t="n"/>
      <c r="D769" s="48" t="n"/>
      <c r="E769" s="48" t="n"/>
      <c r="F769" s="48" t="n"/>
      <c r="G769" s="48" t="n"/>
      <c r="H769" s="48" t="n"/>
      <c r="I769" s="49" t="n"/>
      <c r="J769" s="50" t="n"/>
      <c r="K769" s="48" t="n"/>
      <c r="L769" s="51">
        <f>IF(A769="","",DATE(YEAR(A769),MONTH(A769),1))</f>
        <v/>
      </c>
      <c r="M769" s="52">
        <f>IF(OR(A769="",NOT(ISNUMBER(I769))),"",IF(G769=Lists!$B$5,I769/2,IF(G769=Lists!$B$6,I769,0)))</f>
        <v/>
      </c>
      <c r="N769" s="52">
        <f>IF(OR(A769="",NOT(ISNUMBER(I769))),"",IF(G769=Lists!$B$5,I769/2,IF(G769=Lists!$B$7,I769,0)))</f>
        <v/>
      </c>
      <c r="O769" s="53">
        <f>IF(COUNTA(A769:K769)=0,"",IF(OR(A769="",B769="",C769="",D769="",E769="",F769="",G769="",NOT(ISNUMBER(I769))),"Incomplete",IF(COUNTIF(Lists!$H$4:$AA$4,C769)=0,"Check category",IF(COUNTIF(INDEX(Lists!$H$6:$AA$45,0,MATCH(C769,Lists!$H$4:$AA$4,0)),D769)=0,"Check sub-category","OK"))))</f>
        <v/>
      </c>
      <c r="P769">
        <f>IF(ISNUMBER(I769),I769+ROW()/10000000,"")</f>
        <v/>
      </c>
      <c r="Q769">
        <f>IF(AND(ISNUMBER(P769),ISNUMBER(A769)),IF(AND(A769&gt;=Dashboard!$Q$3,A769&lt;=Dashboard!$Q$4,OR(J769&lt;&gt;"Yes",Dashboard!$Q$15="Yes")),P769,""),"")</f>
        <v/>
      </c>
    </row>
    <row r="770">
      <c r="A770" s="47" t="n"/>
      <c r="B770" s="48" t="n"/>
      <c r="C770" s="48" t="n"/>
      <c r="D770" s="48" t="n"/>
      <c r="E770" s="48" t="n"/>
      <c r="F770" s="48" t="n"/>
      <c r="G770" s="48" t="n"/>
      <c r="H770" s="48" t="n"/>
      <c r="I770" s="49" t="n"/>
      <c r="J770" s="50" t="n"/>
      <c r="K770" s="48" t="n"/>
      <c r="L770" s="51">
        <f>IF(A770="","",DATE(YEAR(A770),MONTH(A770),1))</f>
        <v/>
      </c>
      <c r="M770" s="52">
        <f>IF(OR(A770="",NOT(ISNUMBER(I770))),"",IF(G770=Lists!$B$5,I770/2,IF(G770=Lists!$B$6,I770,0)))</f>
        <v/>
      </c>
      <c r="N770" s="52">
        <f>IF(OR(A770="",NOT(ISNUMBER(I770))),"",IF(G770=Lists!$B$5,I770/2,IF(G770=Lists!$B$7,I770,0)))</f>
        <v/>
      </c>
      <c r="O770" s="53">
        <f>IF(COUNTA(A770:K770)=0,"",IF(OR(A770="",B770="",C770="",D770="",E770="",F770="",G770="",NOT(ISNUMBER(I770))),"Incomplete",IF(COUNTIF(Lists!$H$4:$AA$4,C770)=0,"Check category",IF(COUNTIF(INDEX(Lists!$H$6:$AA$45,0,MATCH(C770,Lists!$H$4:$AA$4,0)),D770)=0,"Check sub-category","OK"))))</f>
        <v/>
      </c>
      <c r="P770">
        <f>IF(ISNUMBER(I770),I770+ROW()/10000000,"")</f>
        <v/>
      </c>
      <c r="Q770">
        <f>IF(AND(ISNUMBER(P770),ISNUMBER(A770)),IF(AND(A770&gt;=Dashboard!$Q$3,A770&lt;=Dashboard!$Q$4,OR(J770&lt;&gt;"Yes",Dashboard!$Q$15="Yes")),P770,""),"")</f>
        <v/>
      </c>
    </row>
    <row r="771">
      <c r="A771" s="47" t="n"/>
      <c r="B771" s="48" t="n"/>
      <c r="C771" s="48" t="n"/>
      <c r="D771" s="48" t="n"/>
      <c r="E771" s="48" t="n"/>
      <c r="F771" s="48" t="n"/>
      <c r="G771" s="48" t="n"/>
      <c r="H771" s="48" t="n"/>
      <c r="I771" s="49" t="n"/>
      <c r="J771" s="50" t="n"/>
      <c r="K771" s="48" t="n"/>
      <c r="L771" s="51">
        <f>IF(A771="","",DATE(YEAR(A771),MONTH(A771),1))</f>
        <v/>
      </c>
      <c r="M771" s="52">
        <f>IF(OR(A771="",NOT(ISNUMBER(I771))),"",IF(G771=Lists!$B$5,I771/2,IF(G771=Lists!$B$6,I771,0)))</f>
        <v/>
      </c>
      <c r="N771" s="52">
        <f>IF(OR(A771="",NOT(ISNUMBER(I771))),"",IF(G771=Lists!$B$5,I771/2,IF(G771=Lists!$B$7,I771,0)))</f>
        <v/>
      </c>
      <c r="O771" s="53">
        <f>IF(COUNTA(A771:K771)=0,"",IF(OR(A771="",B771="",C771="",D771="",E771="",F771="",G771="",NOT(ISNUMBER(I771))),"Incomplete",IF(COUNTIF(Lists!$H$4:$AA$4,C771)=0,"Check category",IF(COUNTIF(INDEX(Lists!$H$6:$AA$45,0,MATCH(C771,Lists!$H$4:$AA$4,0)),D771)=0,"Check sub-category","OK"))))</f>
        <v/>
      </c>
      <c r="P771">
        <f>IF(ISNUMBER(I771),I771+ROW()/10000000,"")</f>
        <v/>
      </c>
      <c r="Q771">
        <f>IF(AND(ISNUMBER(P771),ISNUMBER(A771)),IF(AND(A771&gt;=Dashboard!$Q$3,A771&lt;=Dashboard!$Q$4,OR(J771&lt;&gt;"Yes",Dashboard!$Q$15="Yes")),P771,""),"")</f>
        <v/>
      </c>
    </row>
    <row r="772">
      <c r="A772" s="47" t="n"/>
      <c r="B772" s="48" t="n"/>
      <c r="C772" s="48" t="n"/>
      <c r="D772" s="48" t="n"/>
      <c r="E772" s="48" t="n"/>
      <c r="F772" s="48" t="n"/>
      <c r="G772" s="48" t="n"/>
      <c r="H772" s="48" t="n"/>
      <c r="I772" s="49" t="n"/>
      <c r="J772" s="50" t="n"/>
      <c r="K772" s="48" t="n"/>
      <c r="L772" s="51">
        <f>IF(A772="","",DATE(YEAR(A772),MONTH(A772),1))</f>
        <v/>
      </c>
      <c r="M772" s="52">
        <f>IF(OR(A772="",NOT(ISNUMBER(I772))),"",IF(G772=Lists!$B$5,I772/2,IF(G772=Lists!$B$6,I772,0)))</f>
        <v/>
      </c>
      <c r="N772" s="52">
        <f>IF(OR(A772="",NOT(ISNUMBER(I772))),"",IF(G772=Lists!$B$5,I772/2,IF(G772=Lists!$B$7,I772,0)))</f>
        <v/>
      </c>
      <c r="O772" s="53">
        <f>IF(COUNTA(A772:K772)=0,"",IF(OR(A772="",B772="",C772="",D772="",E772="",F772="",G772="",NOT(ISNUMBER(I772))),"Incomplete",IF(COUNTIF(Lists!$H$4:$AA$4,C772)=0,"Check category",IF(COUNTIF(INDEX(Lists!$H$6:$AA$45,0,MATCH(C772,Lists!$H$4:$AA$4,0)),D772)=0,"Check sub-category","OK"))))</f>
        <v/>
      </c>
      <c r="P772">
        <f>IF(ISNUMBER(I772),I772+ROW()/10000000,"")</f>
        <v/>
      </c>
      <c r="Q772">
        <f>IF(AND(ISNUMBER(P772),ISNUMBER(A772)),IF(AND(A772&gt;=Dashboard!$Q$3,A772&lt;=Dashboard!$Q$4,OR(J772&lt;&gt;"Yes",Dashboard!$Q$15="Yes")),P772,""),"")</f>
        <v/>
      </c>
    </row>
    <row r="773">
      <c r="A773" s="47" t="n"/>
      <c r="B773" s="48" t="n"/>
      <c r="C773" s="48" t="n"/>
      <c r="D773" s="48" t="n"/>
      <c r="E773" s="48" t="n"/>
      <c r="F773" s="48" t="n"/>
      <c r="G773" s="48" t="n"/>
      <c r="H773" s="48" t="n"/>
      <c r="I773" s="49" t="n"/>
      <c r="J773" s="50" t="n"/>
      <c r="K773" s="48" t="n"/>
      <c r="L773" s="51">
        <f>IF(A773="","",DATE(YEAR(A773),MONTH(A773),1))</f>
        <v/>
      </c>
      <c r="M773" s="52">
        <f>IF(OR(A773="",NOT(ISNUMBER(I773))),"",IF(G773=Lists!$B$5,I773/2,IF(G773=Lists!$B$6,I773,0)))</f>
        <v/>
      </c>
      <c r="N773" s="52">
        <f>IF(OR(A773="",NOT(ISNUMBER(I773))),"",IF(G773=Lists!$B$5,I773/2,IF(G773=Lists!$B$7,I773,0)))</f>
        <v/>
      </c>
      <c r="O773" s="53">
        <f>IF(COUNTA(A773:K773)=0,"",IF(OR(A773="",B773="",C773="",D773="",E773="",F773="",G773="",NOT(ISNUMBER(I773))),"Incomplete",IF(COUNTIF(Lists!$H$4:$AA$4,C773)=0,"Check category",IF(COUNTIF(INDEX(Lists!$H$6:$AA$45,0,MATCH(C773,Lists!$H$4:$AA$4,0)),D773)=0,"Check sub-category","OK"))))</f>
        <v/>
      </c>
      <c r="P773">
        <f>IF(ISNUMBER(I773),I773+ROW()/10000000,"")</f>
        <v/>
      </c>
      <c r="Q773">
        <f>IF(AND(ISNUMBER(P773),ISNUMBER(A773)),IF(AND(A773&gt;=Dashboard!$Q$3,A773&lt;=Dashboard!$Q$4,OR(J773&lt;&gt;"Yes",Dashboard!$Q$15="Yes")),P773,""),"")</f>
        <v/>
      </c>
    </row>
    <row r="774">
      <c r="A774" s="47" t="n"/>
      <c r="B774" s="48" t="n"/>
      <c r="C774" s="48" t="n"/>
      <c r="D774" s="48" t="n"/>
      <c r="E774" s="48" t="n"/>
      <c r="F774" s="48" t="n"/>
      <c r="G774" s="48" t="n"/>
      <c r="H774" s="48" t="n"/>
      <c r="I774" s="49" t="n"/>
      <c r="J774" s="50" t="n"/>
      <c r="K774" s="48" t="n"/>
      <c r="L774" s="51">
        <f>IF(A774="","",DATE(YEAR(A774),MONTH(A774),1))</f>
        <v/>
      </c>
      <c r="M774" s="52">
        <f>IF(OR(A774="",NOT(ISNUMBER(I774))),"",IF(G774=Lists!$B$5,I774/2,IF(G774=Lists!$B$6,I774,0)))</f>
        <v/>
      </c>
      <c r="N774" s="52">
        <f>IF(OR(A774="",NOT(ISNUMBER(I774))),"",IF(G774=Lists!$B$5,I774/2,IF(G774=Lists!$B$7,I774,0)))</f>
        <v/>
      </c>
      <c r="O774" s="53">
        <f>IF(COUNTA(A774:K774)=0,"",IF(OR(A774="",B774="",C774="",D774="",E774="",F774="",G774="",NOT(ISNUMBER(I774))),"Incomplete",IF(COUNTIF(Lists!$H$4:$AA$4,C774)=0,"Check category",IF(COUNTIF(INDEX(Lists!$H$6:$AA$45,0,MATCH(C774,Lists!$H$4:$AA$4,0)),D774)=0,"Check sub-category","OK"))))</f>
        <v/>
      </c>
      <c r="P774">
        <f>IF(ISNUMBER(I774),I774+ROW()/10000000,"")</f>
        <v/>
      </c>
      <c r="Q774">
        <f>IF(AND(ISNUMBER(P774),ISNUMBER(A774)),IF(AND(A774&gt;=Dashboard!$Q$3,A774&lt;=Dashboard!$Q$4,OR(J774&lt;&gt;"Yes",Dashboard!$Q$15="Yes")),P774,""),"")</f>
        <v/>
      </c>
    </row>
    <row r="775">
      <c r="A775" s="47" t="n"/>
      <c r="B775" s="48" t="n"/>
      <c r="C775" s="48" t="n"/>
      <c r="D775" s="48" t="n"/>
      <c r="E775" s="48" t="n"/>
      <c r="F775" s="48" t="n"/>
      <c r="G775" s="48" t="n"/>
      <c r="H775" s="48" t="n"/>
      <c r="I775" s="49" t="n"/>
      <c r="J775" s="50" t="n"/>
      <c r="K775" s="48" t="n"/>
      <c r="L775" s="51">
        <f>IF(A775="","",DATE(YEAR(A775),MONTH(A775),1))</f>
        <v/>
      </c>
      <c r="M775" s="52">
        <f>IF(OR(A775="",NOT(ISNUMBER(I775))),"",IF(G775=Lists!$B$5,I775/2,IF(G775=Lists!$B$6,I775,0)))</f>
        <v/>
      </c>
      <c r="N775" s="52">
        <f>IF(OR(A775="",NOT(ISNUMBER(I775))),"",IF(G775=Lists!$B$5,I775/2,IF(G775=Lists!$B$7,I775,0)))</f>
        <v/>
      </c>
      <c r="O775" s="53">
        <f>IF(COUNTA(A775:K775)=0,"",IF(OR(A775="",B775="",C775="",D775="",E775="",F775="",G775="",NOT(ISNUMBER(I775))),"Incomplete",IF(COUNTIF(Lists!$H$4:$AA$4,C775)=0,"Check category",IF(COUNTIF(INDEX(Lists!$H$6:$AA$45,0,MATCH(C775,Lists!$H$4:$AA$4,0)),D775)=0,"Check sub-category","OK"))))</f>
        <v/>
      </c>
      <c r="P775">
        <f>IF(ISNUMBER(I775),I775+ROW()/10000000,"")</f>
        <v/>
      </c>
      <c r="Q775">
        <f>IF(AND(ISNUMBER(P775),ISNUMBER(A775)),IF(AND(A775&gt;=Dashboard!$Q$3,A775&lt;=Dashboard!$Q$4,OR(J775&lt;&gt;"Yes",Dashboard!$Q$15="Yes")),P775,""),"")</f>
        <v/>
      </c>
    </row>
    <row r="776">
      <c r="A776" s="47" t="n"/>
      <c r="B776" s="48" t="n"/>
      <c r="C776" s="48" t="n"/>
      <c r="D776" s="48" t="n"/>
      <c r="E776" s="48" t="n"/>
      <c r="F776" s="48" t="n"/>
      <c r="G776" s="48" t="n"/>
      <c r="H776" s="48" t="n"/>
      <c r="I776" s="49" t="n"/>
      <c r="J776" s="50" t="n"/>
      <c r="K776" s="48" t="n"/>
      <c r="L776" s="51">
        <f>IF(A776="","",DATE(YEAR(A776),MONTH(A776),1))</f>
        <v/>
      </c>
      <c r="M776" s="52">
        <f>IF(OR(A776="",NOT(ISNUMBER(I776))),"",IF(G776=Lists!$B$5,I776/2,IF(G776=Lists!$B$6,I776,0)))</f>
        <v/>
      </c>
      <c r="N776" s="52">
        <f>IF(OR(A776="",NOT(ISNUMBER(I776))),"",IF(G776=Lists!$B$5,I776/2,IF(G776=Lists!$B$7,I776,0)))</f>
        <v/>
      </c>
      <c r="O776" s="53">
        <f>IF(COUNTA(A776:K776)=0,"",IF(OR(A776="",B776="",C776="",D776="",E776="",F776="",G776="",NOT(ISNUMBER(I776))),"Incomplete",IF(COUNTIF(Lists!$H$4:$AA$4,C776)=0,"Check category",IF(COUNTIF(INDEX(Lists!$H$6:$AA$45,0,MATCH(C776,Lists!$H$4:$AA$4,0)),D776)=0,"Check sub-category","OK"))))</f>
        <v/>
      </c>
      <c r="P776">
        <f>IF(ISNUMBER(I776),I776+ROW()/10000000,"")</f>
        <v/>
      </c>
      <c r="Q776">
        <f>IF(AND(ISNUMBER(P776),ISNUMBER(A776)),IF(AND(A776&gt;=Dashboard!$Q$3,A776&lt;=Dashboard!$Q$4,OR(J776&lt;&gt;"Yes",Dashboard!$Q$15="Yes")),P776,""),"")</f>
        <v/>
      </c>
    </row>
    <row r="777">
      <c r="A777" s="47" t="n"/>
      <c r="B777" s="48" t="n"/>
      <c r="C777" s="48" t="n"/>
      <c r="D777" s="48" t="n"/>
      <c r="E777" s="48" t="n"/>
      <c r="F777" s="48" t="n"/>
      <c r="G777" s="48" t="n"/>
      <c r="H777" s="48" t="n"/>
      <c r="I777" s="49" t="n"/>
      <c r="J777" s="50" t="n"/>
      <c r="K777" s="48" t="n"/>
      <c r="L777" s="51">
        <f>IF(A777="","",DATE(YEAR(A777),MONTH(A777),1))</f>
        <v/>
      </c>
      <c r="M777" s="52">
        <f>IF(OR(A777="",NOT(ISNUMBER(I777))),"",IF(G777=Lists!$B$5,I777/2,IF(G777=Lists!$B$6,I777,0)))</f>
        <v/>
      </c>
      <c r="N777" s="52">
        <f>IF(OR(A777="",NOT(ISNUMBER(I777))),"",IF(G777=Lists!$B$5,I777/2,IF(G777=Lists!$B$7,I777,0)))</f>
        <v/>
      </c>
      <c r="O777" s="53">
        <f>IF(COUNTA(A777:K777)=0,"",IF(OR(A777="",B777="",C777="",D777="",E777="",F777="",G777="",NOT(ISNUMBER(I777))),"Incomplete",IF(COUNTIF(Lists!$H$4:$AA$4,C777)=0,"Check category",IF(COUNTIF(INDEX(Lists!$H$6:$AA$45,0,MATCH(C777,Lists!$H$4:$AA$4,0)),D777)=0,"Check sub-category","OK"))))</f>
        <v/>
      </c>
      <c r="P777">
        <f>IF(ISNUMBER(I777),I777+ROW()/10000000,"")</f>
        <v/>
      </c>
      <c r="Q777">
        <f>IF(AND(ISNUMBER(P777),ISNUMBER(A777)),IF(AND(A777&gt;=Dashboard!$Q$3,A777&lt;=Dashboard!$Q$4,OR(J777&lt;&gt;"Yes",Dashboard!$Q$15="Yes")),P777,""),"")</f>
        <v/>
      </c>
    </row>
    <row r="778">
      <c r="A778" s="47" t="n"/>
      <c r="B778" s="48" t="n"/>
      <c r="C778" s="48" t="n"/>
      <c r="D778" s="48" t="n"/>
      <c r="E778" s="48" t="n"/>
      <c r="F778" s="48" t="n"/>
      <c r="G778" s="48" t="n"/>
      <c r="H778" s="48" t="n"/>
      <c r="I778" s="49" t="n"/>
      <c r="J778" s="50" t="n"/>
      <c r="K778" s="48" t="n"/>
      <c r="L778" s="51">
        <f>IF(A778="","",DATE(YEAR(A778),MONTH(A778),1))</f>
        <v/>
      </c>
      <c r="M778" s="52">
        <f>IF(OR(A778="",NOT(ISNUMBER(I778))),"",IF(G778=Lists!$B$5,I778/2,IF(G778=Lists!$B$6,I778,0)))</f>
        <v/>
      </c>
      <c r="N778" s="52">
        <f>IF(OR(A778="",NOT(ISNUMBER(I778))),"",IF(G778=Lists!$B$5,I778/2,IF(G778=Lists!$B$7,I778,0)))</f>
        <v/>
      </c>
      <c r="O778" s="53">
        <f>IF(COUNTA(A778:K778)=0,"",IF(OR(A778="",B778="",C778="",D778="",E778="",F778="",G778="",NOT(ISNUMBER(I778))),"Incomplete",IF(COUNTIF(Lists!$H$4:$AA$4,C778)=0,"Check category",IF(COUNTIF(INDEX(Lists!$H$6:$AA$45,0,MATCH(C778,Lists!$H$4:$AA$4,0)),D778)=0,"Check sub-category","OK"))))</f>
        <v/>
      </c>
      <c r="P778">
        <f>IF(ISNUMBER(I778),I778+ROW()/10000000,"")</f>
        <v/>
      </c>
      <c r="Q778">
        <f>IF(AND(ISNUMBER(P778),ISNUMBER(A778)),IF(AND(A778&gt;=Dashboard!$Q$3,A778&lt;=Dashboard!$Q$4,OR(J778&lt;&gt;"Yes",Dashboard!$Q$15="Yes")),P778,""),"")</f>
        <v/>
      </c>
    </row>
    <row r="779">
      <c r="A779" s="47" t="n"/>
      <c r="B779" s="48" t="n"/>
      <c r="C779" s="48" t="n"/>
      <c r="D779" s="48" t="n"/>
      <c r="E779" s="48" t="n"/>
      <c r="F779" s="48" t="n"/>
      <c r="G779" s="48" t="n"/>
      <c r="H779" s="48" t="n"/>
      <c r="I779" s="49" t="n"/>
      <c r="J779" s="50" t="n"/>
      <c r="K779" s="48" t="n"/>
      <c r="L779" s="51">
        <f>IF(A779="","",DATE(YEAR(A779),MONTH(A779),1))</f>
        <v/>
      </c>
      <c r="M779" s="52">
        <f>IF(OR(A779="",NOT(ISNUMBER(I779))),"",IF(G779=Lists!$B$5,I779/2,IF(G779=Lists!$B$6,I779,0)))</f>
        <v/>
      </c>
      <c r="N779" s="52">
        <f>IF(OR(A779="",NOT(ISNUMBER(I779))),"",IF(G779=Lists!$B$5,I779/2,IF(G779=Lists!$B$7,I779,0)))</f>
        <v/>
      </c>
      <c r="O779" s="53">
        <f>IF(COUNTA(A779:K779)=0,"",IF(OR(A779="",B779="",C779="",D779="",E779="",F779="",G779="",NOT(ISNUMBER(I779))),"Incomplete",IF(COUNTIF(Lists!$H$4:$AA$4,C779)=0,"Check category",IF(COUNTIF(INDEX(Lists!$H$6:$AA$45,0,MATCH(C779,Lists!$H$4:$AA$4,0)),D779)=0,"Check sub-category","OK"))))</f>
        <v/>
      </c>
      <c r="P779">
        <f>IF(ISNUMBER(I779),I779+ROW()/10000000,"")</f>
        <v/>
      </c>
      <c r="Q779">
        <f>IF(AND(ISNUMBER(P779),ISNUMBER(A779)),IF(AND(A779&gt;=Dashboard!$Q$3,A779&lt;=Dashboard!$Q$4,OR(J779&lt;&gt;"Yes",Dashboard!$Q$15="Yes")),P779,""),"")</f>
        <v/>
      </c>
    </row>
    <row r="780">
      <c r="A780" s="47" t="n"/>
      <c r="B780" s="48" t="n"/>
      <c r="C780" s="48" t="n"/>
      <c r="D780" s="48" t="n"/>
      <c r="E780" s="48" t="n"/>
      <c r="F780" s="48" t="n"/>
      <c r="G780" s="48" t="n"/>
      <c r="H780" s="48" t="n"/>
      <c r="I780" s="49" t="n"/>
      <c r="J780" s="50" t="n"/>
      <c r="K780" s="48" t="n"/>
      <c r="L780" s="51">
        <f>IF(A780="","",DATE(YEAR(A780),MONTH(A780),1))</f>
        <v/>
      </c>
      <c r="M780" s="52">
        <f>IF(OR(A780="",NOT(ISNUMBER(I780))),"",IF(G780=Lists!$B$5,I780/2,IF(G780=Lists!$B$6,I780,0)))</f>
        <v/>
      </c>
      <c r="N780" s="52">
        <f>IF(OR(A780="",NOT(ISNUMBER(I780))),"",IF(G780=Lists!$B$5,I780/2,IF(G780=Lists!$B$7,I780,0)))</f>
        <v/>
      </c>
      <c r="O780" s="53">
        <f>IF(COUNTA(A780:K780)=0,"",IF(OR(A780="",B780="",C780="",D780="",E780="",F780="",G780="",NOT(ISNUMBER(I780))),"Incomplete",IF(COUNTIF(Lists!$H$4:$AA$4,C780)=0,"Check category",IF(COUNTIF(INDEX(Lists!$H$6:$AA$45,0,MATCH(C780,Lists!$H$4:$AA$4,0)),D780)=0,"Check sub-category","OK"))))</f>
        <v/>
      </c>
      <c r="P780">
        <f>IF(ISNUMBER(I780),I780+ROW()/10000000,"")</f>
        <v/>
      </c>
      <c r="Q780">
        <f>IF(AND(ISNUMBER(P780),ISNUMBER(A780)),IF(AND(A780&gt;=Dashboard!$Q$3,A780&lt;=Dashboard!$Q$4,OR(J780&lt;&gt;"Yes",Dashboard!$Q$15="Yes")),P780,""),"")</f>
        <v/>
      </c>
    </row>
    <row r="781">
      <c r="A781" s="47" t="n"/>
      <c r="B781" s="48" t="n"/>
      <c r="C781" s="48" t="n"/>
      <c r="D781" s="48" t="n"/>
      <c r="E781" s="48" t="n"/>
      <c r="F781" s="48" t="n"/>
      <c r="G781" s="48" t="n"/>
      <c r="H781" s="48" t="n"/>
      <c r="I781" s="49" t="n"/>
      <c r="J781" s="50" t="n"/>
      <c r="K781" s="48" t="n"/>
      <c r="L781" s="51">
        <f>IF(A781="","",DATE(YEAR(A781),MONTH(A781),1))</f>
        <v/>
      </c>
      <c r="M781" s="52">
        <f>IF(OR(A781="",NOT(ISNUMBER(I781))),"",IF(G781=Lists!$B$5,I781/2,IF(G781=Lists!$B$6,I781,0)))</f>
        <v/>
      </c>
      <c r="N781" s="52">
        <f>IF(OR(A781="",NOT(ISNUMBER(I781))),"",IF(G781=Lists!$B$5,I781/2,IF(G781=Lists!$B$7,I781,0)))</f>
        <v/>
      </c>
      <c r="O781" s="53">
        <f>IF(COUNTA(A781:K781)=0,"",IF(OR(A781="",B781="",C781="",D781="",E781="",F781="",G781="",NOT(ISNUMBER(I781))),"Incomplete",IF(COUNTIF(Lists!$H$4:$AA$4,C781)=0,"Check category",IF(COUNTIF(INDEX(Lists!$H$6:$AA$45,0,MATCH(C781,Lists!$H$4:$AA$4,0)),D781)=0,"Check sub-category","OK"))))</f>
        <v/>
      </c>
      <c r="P781">
        <f>IF(ISNUMBER(I781),I781+ROW()/10000000,"")</f>
        <v/>
      </c>
      <c r="Q781">
        <f>IF(AND(ISNUMBER(P781),ISNUMBER(A781)),IF(AND(A781&gt;=Dashboard!$Q$3,A781&lt;=Dashboard!$Q$4,OR(J781&lt;&gt;"Yes",Dashboard!$Q$15="Yes")),P781,""),"")</f>
        <v/>
      </c>
    </row>
    <row r="782">
      <c r="A782" s="47" t="n"/>
      <c r="B782" s="48" t="n"/>
      <c r="C782" s="48" t="n"/>
      <c r="D782" s="48" t="n"/>
      <c r="E782" s="48" t="n"/>
      <c r="F782" s="48" t="n"/>
      <c r="G782" s="48" t="n"/>
      <c r="H782" s="48" t="n"/>
      <c r="I782" s="49" t="n"/>
      <c r="J782" s="50" t="n"/>
      <c r="K782" s="48" t="n"/>
      <c r="L782" s="51">
        <f>IF(A782="","",DATE(YEAR(A782),MONTH(A782),1))</f>
        <v/>
      </c>
      <c r="M782" s="52">
        <f>IF(OR(A782="",NOT(ISNUMBER(I782))),"",IF(G782=Lists!$B$5,I782/2,IF(G782=Lists!$B$6,I782,0)))</f>
        <v/>
      </c>
      <c r="N782" s="52">
        <f>IF(OR(A782="",NOT(ISNUMBER(I782))),"",IF(G782=Lists!$B$5,I782/2,IF(G782=Lists!$B$7,I782,0)))</f>
        <v/>
      </c>
      <c r="O782" s="53">
        <f>IF(COUNTA(A782:K782)=0,"",IF(OR(A782="",B782="",C782="",D782="",E782="",F782="",G782="",NOT(ISNUMBER(I782))),"Incomplete",IF(COUNTIF(Lists!$H$4:$AA$4,C782)=0,"Check category",IF(COUNTIF(INDEX(Lists!$H$6:$AA$45,0,MATCH(C782,Lists!$H$4:$AA$4,0)),D782)=0,"Check sub-category","OK"))))</f>
        <v/>
      </c>
      <c r="P782">
        <f>IF(ISNUMBER(I782),I782+ROW()/10000000,"")</f>
        <v/>
      </c>
      <c r="Q782">
        <f>IF(AND(ISNUMBER(P782),ISNUMBER(A782)),IF(AND(A782&gt;=Dashboard!$Q$3,A782&lt;=Dashboard!$Q$4,OR(J782&lt;&gt;"Yes",Dashboard!$Q$15="Yes")),P782,""),"")</f>
        <v/>
      </c>
    </row>
    <row r="783">
      <c r="A783" s="47" t="n"/>
      <c r="B783" s="48" t="n"/>
      <c r="C783" s="48" t="n"/>
      <c r="D783" s="48" t="n"/>
      <c r="E783" s="48" t="n"/>
      <c r="F783" s="48" t="n"/>
      <c r="G783" s="48" t="n"/>
      <c r="H783" s="48" t="n"/>
      <c r="I783" s="49" t="n"/>
      <c r="J783" s="50" t="n"/>
      <c r="K783" s="48" t="n"/>
      <c r="L783" s="51">
        <f>IF(A783="","",DATE(YEAR(A783),MONTH(A783),1))</f>
        <v/>
      </c>
      <c r="M783" s="52">
        <f>IF(OR(A783="",NOT(ISNUMBER(I783))),"",IF(G783=Lists!$B$5,I783/2,IF(G783=Lists!$B$6,I783,0)))</f>
        <v/>
      </c>
      <c r="N783" s="52">
        <f>IF(OR(A783="",NOT(ISNUMBER(I783))),"",IF(G783=Lists!$B$5,I783/2,IF(G783=Lists!$B$7,I783,0)))</f>
        <v/>
      </c>
      <c r="O783" s="53">
        <f>IF(COUNTA(A783:K783)=0,"",IF(OR(A783="",B783="",C783="",D783="",E783="",F783="",G783="",NOT(ISNUMBER(I783))),"Incomplete",IF(COUNTIF(Lists!$H$4:$AA$4,C783)=0,"Check category",IF(COUNTIF(INDEX(Lists!$H$6:$AA$45,0,MATCH(C783,Lists!$H$4:$AA$4,0)),D783)=0,"Check sub-category","OK"))))</f>
        <v/>
      </c>
      <c r="P783">
        <f>IF(ISNUMBER(I783),I783+ROW()/10000000,"")</f>
        <v/>
      </c>
      <c r="Q783">
        <f>IF(AND(ISNUMBER(P783),ISNUMBER(A783)),IF(AND(A783&gt;=Dashboard!$Q$3,A783&lt;=Dashboard!$Q$4,OR(J783&lt;&gt;"Yes",Dashboard!$Q$15="Yes")),P783,""),"")</f>
        <v/>
      </c>
    </row>
    <row r="784">
      <c r="A784" s="47" t="n"/>
      <c r="B784" s="48" t="n"/>
      <c r="C784" s="48" t="n"/>
      <c r="D784" s="48" t="n"/>
      <c r="E784" s="48" t="n"/>
      <c r="F784" s="48" t="n"/>
      <c r="G784" s="48" t="n"/>
      <c r="H784" s="48" t="n"/>
      <c r="I784" s="49" t="n"/>
      <c r="J784" s="50" t="n"/>
      <c r="K784" s="48" t="n"/>
      <c r="L784" s="51">
        <f>IF(A784="","",DATE(YEAR(A784),MONTH(A784),1))</f>
        <v/>
      </c>
      <c r="M784" s="52">
        <f>IF(OR(A784="",NOT(ISNUMBER(I784))),"",IF(G784=Lists!$B$5,I784/2,IF(G784=Lists!$B$6,I784,0)))</f>
        <v/>
      </c>
      <c r="N784" s="52">
        <f>IF(OR(A784="",NOT(ISNUMBER(I784))),"",IF(G784=Lists!$B$5,I784/2,IF(G784=Lists!$B$7,I784,0)))</f>
        <v/>
      </c>
      <c r="O784" s="53">
        <f>IF(COUNTA(A784:K784)=0,"",IF(OR(A784="",B784="",C784="",D784="",E784="",F784="",G784="",NOT(ISNUMBER(I784))),"Incomplete",IF(COUNTIF(Lists!$H$4:$AA$4,C784)=0,"Check category",IF(COUNTIF(INDEX(Lists!$H$6:$AA$45,0,MATCH(C784,Lists!$H$4:$AA$4,0)),D784)=0,"Check sub-category","OK"))))</f>
        <v/>
      </c>
      <c r="P784">
        <f>IF(ISNUMBER(I784),I784+ROW()/10000000,"")</f>
        <v/>
      </c>
      <c r="Q784">
        <f>IF(AND(ISNUMBER(P784),ISNUMBER(A784)),IF(AND(A784&gt;=Dashboard!$Q$3,A784&lt;=Dashboard!$Q$4,OR(J784&lt;&gt;"Yes",Dashboard!$Q$15="Yes")),P784,""),"")</f>
        <v/>
      </c>
    </row>
    <row r="785">
      <c r="A785" s="47" t="n"/>
      <c r="B785" s="48" t="n"/>
      <c r="C785" s="48" t="n"/>
      <c r="D785" s="48" t="n"/>
      <c r="E785" s="48" t="n"/>
      <c r="F785" s="48" t="n"/>
      <c r="G785" s="48" t="n"/>
      <c r="H785" s="48" t="n"/>
      <c r="I785" s="49" t="n"/>
      <c r="J785" s="50" t="n"/>
      <c r="K785" s="48" t="n"/>
      <c r="L785" s="51">
        <f>IF(A785="","",DATE(YEAR(A785),MONTH(A785),1))</f>
        <v/>
      </c>
      <c r="M785" s="52">
        <f>IF(OR(A785="",NOT(ISNUMBER(I785))),"",IF(G785=Lists!$B$5,I785/2,IF(G785=Lists!$B$6,I785,0)))</f>
        <v/>
      </c>
      <c r="N785" s="52">
        <f>IF(OR(A785="",NOT(ISNUMBER(I785))),"",IF(G785=Lists!$B$5,I785/2,IF(G785=Lists!$B$7,I785,0)))</f>
        <v/>
      </c>
      <c r="O785" s="53">
        <f>IF(COUNTA(A785:K785)=0,"",IF(OR(A785="",B785="",C785="",D785="",E785="",F785="",G785="",NOT(ISNUMBER(I785))),"Incomplete",IF(COUNTIF(Lists!$H$4:$AA$4,C785)=0,"Check category",IF(COUNTIF(INDEX(Lists!$H$6:$AA$45,0,MATCH(C785,Lists!$H$4:$AA$4,0)),D785)=0,"Check sub-category","OK"))))</f>
        <v/>
      </c>
      <c r="P785">
        <f>IF(ISNUMBER(I785),I785+ROW()/10000000,"")</f>
        <v/>
      </c>
      <c r="Q785">
        <f>IF(AND(ISNUMBER(P785),ISNUMBER(A785)),IF(AND(A785&gt;=Dashboard!$Q$3,A785&lt;=Dashboard!$Q$4,OR(J785&lt;&gt;"Yes",Dashboard!$Q$15="Yes")),P785,""),"")</f>
        <v/>
      </c>
    </row>
    <row r="786">
      <c r="A786" s="47" t="n"/>
      <c r="B786" s="48" t="n"/>
      <c r="C786" s="48" t="n"/>
      <c r="D786" s="48" t="n"/>
      <c r="E786" s="48" t="n"/>
      <c r="F786" s="48" t="n"/>
      <c r="G786" s="48" t="n"/>
      <c r="H786" s="48" t="n"/>
      <c r="I786" s="49" t="n"/>
      <c r="J786" s="50" t="n"/>
      <c r="K786" s="48" t="n"/>
      <c r="L786" s="51">
        <f>IF(A786="","",DATE(YEAR(A786),MONTH(A786),1))</f>
        <v/>
      </c>
      <c r="M786" s="52">
        <f>IF(OR(A786="",NOT(ISNUMBER(I786))),"",IF(G786=Lists!$B$5,I786/2,IF(G786=Lists!$B$6,I786,0)))</f>
        <v/>
      </c>
      <c r="N786" s="52">
        <f>IF(OR(A786="",NOT(ISNUMBER(I786))),"",IF(G786=Lists!$B$5,I786/2,IF(G786=Lists!$B$7,I786,0)))</f>
        <v/>
      </c>
      <c r="O786" s="53">
        <f>IF(COUNTA(A786:K786)=0,"",IF(OR(A786="",B786="",C786="",D786="",E786="",F786="",G786="",NOT(ISNUMBER(I786))),"Incomplete",IF(COUNTIF(Lists!$H$4:$AA$4,C786)=0,"Check category",IF(COUNTIF(INDEX(Lists!$H$6:$AA$45,0,MATCH(C786,Lists!$H$4:$AA$4,0)),D786)=0,"Check sub-category","OK"))))</f>
        <v/>
      </c>
      <c r="P786">
        <f>IF(ISNUMBER(I786),I786+ROW()/10000000,"")</f>
        <v/>
      </c>
      <c r="Q786">
        <f>IF(AND(ISNUMBER(P786),ISNUMBER(A786)),IF(AND(A786&gt;=Dashboard!$Q$3,A786&lt;=Dashboard!$Q$4,OR(J786&lt;&gt;"Yes",Dashboard!$Q$15="Yes")),P786,""),"")</f>
        <v/>
      </c>
    </row>
    <row r="787">
      <c r="A787" s="47" t="n"/>
      <c r="B787" s="48" t="n"/>
      <c r="C787" s="48" t="n"/>
      <c r="D787" s="48" t="n"/>
      <c r="E787" s="48" t="n"/>
      <c r="F787" s="48" t="n"/>
      <c r="G787" s="48" t="n"/>
      <c r="H787" s="48" t="n"/>
      <c r="I787" s="49" t="n"/>
      <c r="J787" s="50" t="n"/>
      <c r="K787" s="48" t="n"/>
      <c r="L787" s="51">
        <f>IF(A787="","",DATE(YEAR(A787),MONTH(A787),1))</f>
        <v/>
      </c>
      <c r="M787" s="52">
        <f>IF(OR(A787="",NOT(ISNUMBER(I787))),"",IF(G787=Lists!$B$5,I787/2,IF(G787=Lists!$B$6,I787,0)))</f>
        <v/>
      </c>
      <c r="N787" s="52">
        <f>IF(OR(A787="",NOT(ISNUMBER(I787))),"",IF(G787=Lists!$B$5,I787/2,IF(G787=Lists!$B$7,I787,0)))</f>
        <v/>
      </c>
      <c r="O787" s="53">
        <f>IF(COUNTA(A787:K787)=0,"",IF(OR(A787="",B787="",C787="",D787="",E787="",F787="",G787="",NOT(ISNUMBER(I787))),"Incomplete",IF(COUNTIF(Lists!$H$4:$AA$4,C787)=0,"Check category",IF(COUNTIF(INDEX(Lists!$H$6:$AA$45,0,MATCH(C787,Lists!$H$4:$AA$4,0)),D787)=0,"Check sub-category","OK"))))</f>
        <v/>
      </c>
      <c r="P787">
        <f>IF(ISNUMBER(I787),I787+ROW()/10000000,"")</f>
        <v/>
      </c>
      <c r="Q787">
        <f>IF(AND(ISNUMBER(P787),ISNUMBER(A787)),IF(AND(A787&gt;=Dashboard!$Q$3,A787&lt;=Dashboard!$Q$4,OR(J787&lt;&gt;"Yes",Dashboard!$Q$15="Yes")),P787,""),"")</f>
        <v/>
      </c>
    </row>
    <row r="788">
      <c r="A788" s="47" t="n"/>
      <c r="B788" s="48" t="n"/>
      <c r="C788" s="48" t="n"/>
      <c r="D788" s="48" t="n"/>
      <c r="E788" s="48" t="n"/>
      <c r="F788" s="48" t="n"/>
      <c r="G788" s="48" t="n"/>
      <c r="H788" s="48" t="n"/>
      <c r="I788" s="49" t="n"/>
      <c r="J788" s="50" t="n"/>
      <c r="K788" s="48" t="n"/>
      <c r="L788" s="51">
        <f>IF(A788="","",DATE(YEAR(A788),MONTH(A788),1))</f>
        <v/>
      </c>
      <c r="M788" s="52">
        <f>IF(OR(A788="",NOT(ISNUMBER(I788))),"",IF(G788=Lists!$B$5,I788/2,IF(G788=Lists!$B$6,I788,0)))</f>
        <v/>
      </c>
      <c r="N788" s="52">
        <f>IF(OR(A788="",NOT(ISNUMBER(I788))),"",IF(G788=Lists!$B$5,I788/2,IF(G788=Lists!$B$7,I788,0)))</f>
        <v/>
      </c>
      <c r="O788" s="53">
        <f>IF(COUNTA(A788:K788)=0,"",IF(OR(A788="",B788="",C788="",D788="",E788="",F788="",G788="",NOT(ISNUMBER(I788))),"Incomplete",IF(COUNTIF(Lists!$H$4:$AA$4,C788)=0,"Check category",IF(COUNTIF(INDEX(Lists!$H$6:$AA$45,0,MATCH(C788,Lists!$H$4:$AA$4,0)),D788)=0,"Check sub-category","OK"))))</f>
        <v/>
      </c>
      <c r="P788">
        <f>IF(ISNUMBER(I788),I788+ROW()/10000000,"")</f>
        <v/>
      </c>
      <c r="Q788">
        <f>IF(AND(ISNUMBER(P788),ISNUMBER(A788)),IF(AND(A788&gt;=Dashboard!$Q$3,A788&lt;=Dashboard!$Q$4,OR(J788&lt;&gt;"Yes",Dashboard!$Q$15="Yes")),P788,""),"")</f>
        <v/>
      </c>
    </row>
    <row r="789">
      <c r="A789" s="47" t="n"/>
      <c r="B789" s="48" t="n"/>
      <c r="C789" s="48" t="n"/>
      <c r="D789" s="48" t="n"/>
      <c r="E789" s="48" t="n"/>
      <c r="F789" s="48" t="n"/>
      <c r="G789" s="48" t="n"/>
      <c r="H789" s="48" t="n"/>
      <c r="I789" s="49" t="n"/>
      <c r="J789" s="50" t="n"/>
      <c r="K789" s="48" t="n"/>
      <c r="L789" s="51">
        <f>IF(A789="","",DATE(YEAR(A789),MONTH(A789),1))</f>
        <v/>
      </c>
      <c r="M789" s="52">
        <f>IF(OR(A789="",NOT(ISNUMBER(I789))),"",IF(G789=Lists!$B$5,I789/2,IF(G789=Lists!$B$6,I789,0)))</f>
        <v/>
      </c>
      <c r="N789" s="52">
        <f>IF(OR(A789="",NOT(ISNUMBER(I789))),"",IF(G789=Lists!$B$5,I789/2,IF(G789=Lists!$B$7,I789,0)))</f>
        <v/>
      </c>
      <c r="O789" s="53">
        <f>IF(COUNTA(A789:K789)=0,"",IF(OR(A789="",B789="",C789="",D789="",E789="",F789="",G789="",NOT(ISNUMBER(I789))),"Incomplete",IF(COUNTIF(Lists!$H$4:$AA$4,C789)=0,"Check category",IF(COUNTIF(INDEX(Lists!$H$6:$AA$45,0,MATCH(C789,Lists!$H$4:$AA$4,0)),D789)=0,"Check sub-category","OK"))))</f>
        <v/>
      </c>
      <c r="P789">
        <f>IF(ISNUMBER(I789),I789+ROW()/10000000,"")</f>
        <v/>
      </c>
      <c r="Q789">
        <f>IF(AND(ISNUMBER(P789),ISNUMBER(A789)),IF(AND(A789&gt;=Dashboard!$Q$3,A789&lt;=Dashboard!$Q$4,OR(J789&lt;&gt;"Yes",Dashboard!$Q$15="Yes")),P789,""),"")</f>
        <v/>
      </c>
    </row>
    <row r="790">
      <c r="A790" s="47" t="n"/>
      <c r="B790" s="48" t="n"/>
      <c r="C790" s="48" t="n"/>
      <c r="D790" s="48" t="n"/>
      <c r="E790" s="48" t="n"/>
      <c r="F790" s="48" t="n"/>
      <c r="G790" s="48" t="n"/>
      <c r="H790" s="48" t="n"/>
      <c r="I790" s="49" t="n"/>
      <c r="J790" s="50" t="n"/>
      <c r="K790" s="48" t="n"/>
      <c r="L790" s="51">
        <f>IF(A790="","",DATE(YEAR(A790),MONTH(A790),1))</f>
        <v/>
      </c>
      <c r="M790" s="52">
        <f>IF(OR(A790="",NOT(ISNUMBER(I790))),"",IF(G790=Lists!$B$5,I790/2,IF(G790=Lists!$B$6,I790,0)))</f>
        <v/>
      </c>
      <c r="N790" s="52">
        <f>IF(OR(A790="",NOT(ISNUMBER(I790))),"",IF(G790=Lists!$B$5,I790/2,IF(G790=Lists!$B$7,I790,0)))</f>
        <v/>
      </c>
      <c r="O790" s="53">
        <f>IF(COUNTA(A790:K790)=0,"",IF(OR(A790="",B790="",C790="",D790="",E790="",F790="",G790="",NOT(ISNUMBER(I790))),"Incomplete",IF(COUNTIF(Lists!$H$4:$AA$4,C790)=0,"Check category",IF(COUNTIF(INDEX(Lists!$H$6:$AA$45,0,MATCH(C790,Lists!$H$4:$AA$4,0)),D790)=0,"Check sub-category","OK"))))</f>
        <v/>
      </c>
      <c r="P790">
        <f>IF(ISNUMBER(I790),I790+ROW()/10000000,"")</f>
        <v/>
      </c>
      <c r="Q790">
        <f>IF(AND(ISNUMBER(P790),ISNUMBER(A790)),IF(AND(A790&gt;=Dashboard!$Q$3,A790&lt;=Dashboard!$Q$4,OR(J790&lt;&gt;"Yes",Dashboard!$Q$15="Yes")),P790,""),"")</f>
        <v/>
      </c>
    </row>
    <row r="791">
      <c r="A791" s="47" t="n"/>
      <c r="B791" s="48" t="n"/>
      <c r="C791" s="48" t="n"/>
      <c r="D791" s="48" t="n"/>
      <c r="E791" s="48" t="n"/>
      <c r="F791" s="48" t="n"/>
      <c r="G791" s="48" t="n"/>
      <c r="H791" s="48" t="n"/>
      <c r="I791" s="49" t="n"/>
      <c r="J791" s="50" t="n"/>
      <c r="K791" s="48" t="n"/>
      <c r="L791" s="51">
        <f>IF(A791="","",DATE(YEAR(A791),MONTH(A791),1))</f>
        <v/>
      </c>
      <c r="M791" s="52">
        <f>IF(OR(A791="",NOT(ISNUMBER(I791))),"",IF(G791=Lists!$B$5,I791/2,IF(G791=Lists!$B$6,I791,0)))</f>
        <v/>
      </c>
      <c r="N791" s="52">
        <f>IF(OR(A791="",NOT(ISNUMBER(I791))),"",IF(G791=Lists!$B$5,I791/2,IF(G791=Lists!$B$7,I791,0)))</f>
        <v/>
      </c>
      <c r="O791" s="53">
        <f>IF(COUNTA(A791:K791)=0,"",IF(OR(A791="",B791="",C791="",D791="",E791="",F791="",G791="",NOT(ISNUMBER(I791))),"Incomplete",IF(COUNTIF(Lists!$H$4:$AA$4,C791)=0,"Check category",IF(COUNTIF(INDEX(Lists!$H$6:$AA$45,0,MATCH(C791,Lists!$H$4:$AA$4,0)),D791)=0,"Check sub-category","OK"))))</f>
        <v/>
      </c>
      <c r="P791">
        <f>IF(ISNUMBER(I791),I791+ROW()/10000000,"")</f>
        <v/>
      </c>
      <c r="Q791">
        <f>IF(AND(ISNUMBER(P791),ISNUMBER(A791)),IF(AND(A791&gt;=Dashboard!$Q$3,A791&lt;=Dashboard!$Q$4,OR(J791&lt;&gt;"Yes",Dashboard!$Q$15="Yes")),P791,""),"")</f>
        <v/>
      </c>
    </row>
    <row r="792">
      <c r="A792" s="47" t="n"/>
      <c r="B792" s="48" t="n"/>
      <c r="C792" s="48" t="n"/>
      <c r="D792" s="48" t="n"/>
      <c r="E792" s="48" t="n"/>
      <c r="F792" s="48" t="n"/>
      <c r="G792" s="48" t="n"/>
      <c r="H792" s="48" t="n"/>
      <c r="I792" s="49" t="n"/>
      <c r="J792" s="50" t="n"/>
      <c r="K792" s="48" t="n"/>
      <c r="L792" s="51">
        <f>IF(A792="","",DATE(YEAR(A792),MONTH(A792),1))</f>
        <v/>
      </c>
      <c r="M792" s="52">
        <f>IF(OR(A792="",NOT(ISNUMBER(I792))),"",IF(G792=Lists!$B$5,I792/2,IF(G792=Lists!$B$6,I792,0)))</f>
        <v/>
      </c>
      <c r="N792" s="52">
        <f>IF(OR(A792="",NOT(ISNUMBER(I792))),"",IF(G792=Lists!$B$5,I792/2,IF(G792=Lists!$B$7,I792,0)))</f>
        <v/>
      </c>
      <c r="O792" s="53">
        <f>IF(COUNTA(A792:K792)=0,"",IF(OR(A792="",B792="",C792="",D792="",E792="",F792="",G792="",NOT(ISNUMBER(I792))),"Incomplete",IF(COUNTIF(Lists!$H$4:$AA$4,C792)=0,"Check category",IF(COUNTIF(INDEX(Lists!$H$6:$AA$45,0,MATCH(C792,Lists!$H$4:$AA$4,0)),D792)=0,"Check sub-category","OK"))))</f>
        <v/>
      </c>
      <c r="P792">
        <f>IF(ISNUMBER(I792),I792+ROW()/10000000,"")</f>
        <v/>
      </c>
      <c r="Q792">
        <f>IF(AND(ISNUMBER(P792),ISNUMBER(A792)),IF(AND(A792&gt;=Dashboard!$Q$3,A792&lt;=Dashboard!$Q$4,OR(J792&lt;&gt;"Yes",Dashboard!$Q$15="Yes")),P792,""),"")</f>
        <v/>
      </c>
    </row>
    <row r="793">
      <c r="A793" s="47" t="n"/>
      <c r="B793" s="48" t="n"/>
      <c r="C793" s="48" t="n"/>
      <c r="D793" s="48" t="n"/>
      <c r="E793" s="48" t="n"/>
      <c r="F793" s="48" t="n"/>
      <c r="G793" s="48" t="n"/>
      <c r="H793" s="48" t="n"/>
      <c r="I793" s="49" t="n"/>
      <c r="J793" s="50" t="n"/>
      <c r="K793" s="48" t="n"/>
      <c r="L793" s="51">
        <f>IF(A793="","",DATE(YEAR(A793),MONTH(A793),1))</f>
        <v/>
      </c>
      <c r="M793" s="52">
        <f>IF(OR(A793="",NOT(ISNUMBER(I793))),"",IF(G793=Lists!$B$5,I793/2,IF(G793=Lists!$B$6,I793,0)))</f>
        <v/>
      </c>
      <c r="N793" s="52">
        <f>IF(OR(A793="",NOT(ISNUMBER(I793))),"",IF(G793=Lists!$B$5,I793/2,IF(G793=Lists!$B$7,I793,0)))</f>
        <v/>
      </c>
      <c r="O793" s="53">
        <f>IF(COUNTA(A793:K793)=0,"",IF(OR(A793="",B793="",C793="",D793="",E793="",F793="",G793="",NOT(ISNUMBER(I793))),"Incomplete",IF(COUNTIF(Lists!$H$4:$AA$4,C793)=0,"Check category",IF(COUNTIF(INDEX(Lists!$H$6:$AA$45,0,MATCH(C793,Lists!$H$4:$AA$4,0)),D793)=0,"Check sub-category","OK"))))</f>
        <v/>
      </c>
      <c r="P793">
        <f>IF(ISNUMBER(I793),I793+ROW()/10000000,"")</f>
        <v/>
      </c>
      <c r="Q793">
        <f>IF(AND(ISNUMBER(P793),ISNUMBER(A793)),IF(AND(A793&gt;=Dashboard!$Q$3,A793&lt;=Dashboard!$Q$4,OR(J793&lt;&gt;"Yes",Dashboard!$Q$15="Yes")),P793,""),"")</f>
        <v/>
      </c>
    </row>
    <row r="794">
      <c r="A794" s="47" t="n"/>
      <c r="B794" s="48" t="n"/>
      <c r="C794" s="48" t="n"/>
      <c r="D794" s="48" t="n"/>
      <c r="E794" s="48" t="n"/>
      <c r="F794" s="48" t="n"/>
      <c r="G794" s="48" t="n"/>
      <c r="H794" s="48" t="n"/>
      <c r="I794" s="49" t="n"/>
      <c r="J794" s="50" t="n"/>
      <c r="K794" s="48" t="n"/>
      <c r="L794" s="51">
        <f>IF(A794="","",DATE(YEAR(A794),MONTH(A794),1))</f>
        <v/>
      </c>
      <c r="M794" s="52">
        <f>IF(OR(A794="",NOT(ISNUMBER(I794))),"",IF(G794=Lists!$B$5,I794/2,IF(G794=Lists!$B$6,I794,0)))</f>
        <v/>
      </c>
      <c r="N794" s="52">
        <f>IF(OR(A794="",NOT(ISNUMBER(I794))),"",IF(G794=Lists!$B$5,I794/2,IF(G794=Lists!$B$7,I794,0)))</f>
        <v/>
      </c>
      <c r="O794" s="53">
        <f>IF(COUNTA(A794:K794)=0,"",IF(OR(A794="",B794="",C794="",D794="",E794="",F794="",G794="",NOT(ISNUMBER(I794))),"Incomplete",IF(COUNTIF(Lists!$H$4:$AA$4,C794)=0,"Check category",IF(COUNTIF(INDEX(Lists!$H$6:$AA$45,0,MATCH(C794,Lists!$H$4:$AA$4,0)),D794)=0,"Check sub-category","OK"))))</f>
        <v/>
      </c>
      <c r="P794">
        <f>IF(ISNUMBER(I794),I794+ROW()/10000000,"")</f>
        <v/>
      </c>
      <c r="Q794">
        <f>IF(AND(ISNUMBER(P794),ISNUMBER(A794)),IF(AND(A794&gt;=Dashboard!$Q$3,A794&lt;=Dashboard!$Q$4,OR(J794&lt;&gt;"Yes",Dashboard!$Q$15="Yes")),P794,""),"")</f>
        <v/>
      </c>
    </row>
    <row r="795">
      <c r="A795" s="47" t="n"/>
      <c r="B795" s="48" t="n"/>
      <c r="C795" s="48" t="n"/>
      <c r="D795" s="48" t="n"/>
      <c r="E795" s="48" t="n"/>
      <c r="F795" s="48" t="n"/>
      <c r="G795" s="48" t="n"/>
      <c r="H795" s="48" t="n"/>
      <c r="I795" s="49" t="n"/>
      <c r="J795" s="50" t="n"/>
      <c r="K795" s="48" t="n"/>
      <c r="L795" s="51">
        <f>IF(A795="","",DATE(YEAR(A795),MONTH(A795),1))</f>
        <v/>
      </c>
      <c r="M795" s="52">
        <f>IF(OR(A795="",NOT(ISNUMBER(I795))),"",IF(G795=Lists!$B$5,I795/2,IF(G795=Lists!$B$6,I795,0)))</f>
        <v/>
      </c>
      <c r="N795" s="52">
        <f>IF(OR(A795="",NOT(ISNUMBER(I795))),"",IF(G795=Lists!$B$5,I795/2,IF(G795=Lists!$B$7,I795,0)))</f>
        <v/>
      </c>
      <c r="O795" s="53">
        <f>IF(COUNTA(A795:K795)=0,"",IF(OR(A795="",B795="",C795="",D795="",E795="",F795="",G795="",NOT(ISNUMBER(I795))),"Incomplete",IF(COUNTIF(Lists!$H$4:$AA$4,C795)=0,"Check category",IF(COUNTIF(INDEX(Lists!$H$6:$AA$45,0,MATCH(C795,Lists!$H$4:$AA$4,0)),D795)=0,"Check sub-category","OK"))))</f>
        <v/>
      </c>
      <c r="P795">
        <f>IF(ISNUMBER(I795),I795+ROW()/10000000,"")</f>
        <v/>
      </c>
      <c r="Q795">
        <f>IF(AND(ISNUMBER(P795),ISNUMBER(A795)),IF(AND(A795&gt;=Dashboard!$Q$3,A795&lt;=Dashboard!$Q$4,OR(J795&lt;&gt;"Yes",Dashboard!$Q$15="Yes")),P795,""),"")</f>
        <v/>
      </c>
    </row>
    <row r="796">
      <c r="A796" s="47" t="n"/>
      <c r="B796" s="48" t="n"/>
      <c r="C796" s="48" t="n"/>
      <c r="D796" s="48" t="n"/>
      <c r="E796" s="48" t="n"/>
      <c r="F796" s="48" t="n"/>
      <c r="G796" s="48" t="n"/>
      <c r="H796" s="48" t="n"/>
      <c r="I796" s="49" t="n"/>
      <c r="J796" s="50" t="n"/>
      <c r="K796" s="48" t="n"/>
      <c r="L796" s="51">
        <f>IF(A796="","",DATE(YEAR(A796),MONTH(A796),1))</f>
        <v/>
      </c>
      <c r="M796" s="52">
        <f>IF(OR(A796="",NOT(ISNUMBER(I796))),"",IF(G796=Lists!$B$5,I796/2,IF(G796=Lists!$B$6,I796,0)))</f>
        <v/>
      </c>
      <c r="N796" s="52">
        <f>IF(OR(A796="",NOT(ISNUMBER(I796))),"",IF(G796=Lists!$B$5,I796/2,IF(G796=Lists!$B$7,I796,0)))</f>
        <v/>
      </c>
      <c r="O796" s="53">
        <f>IF(COUNTA(A796:K796)=0,"",IF(OR(A796="",B796="",C796="",D796="",E796="",F796="",G796="",NOT(ISNUMBER(I796))),"Incomplete",IF(COUNTIF(Lists!$H$4:$AA$4,C796)=0,"Check category",IF(COUNTIF(INDEX(Lists!$H$6:$AA$45,0,MATCH(C796,Lists!$H$4:$AA$4,0)),D796)=0,"Check sub-category","OK"))))</f>
        <v/>
      </c>
      <c r="P796">
        <f>IF(ISNUMBER(I796),I796+ROW()/10000000,"")</f>
        <v/>
      </c>
      <c r="Q796">
        <f>IF(AND(ISNUMBER(P796),ISNUMBER(A796)),IF(AND(A796&gt;=Dashboard!$Q$3,A796&lt;=Dashboard!$Q$4,OR(J796&lt;&gt;"Yes",Dashboard!$Q$15="Yes")),P796,""),"")</f>
        <v/>
      </c>
    </row>
    <row r="797">
      <c r="A797" s="47" t="n"/>
      <c r="B797" s="48" t="n"/>
      <c r="C797" s="48" t="n"/>
      <c r="D797" s="48" t="n"/>
      <c r="E797" s="48" t="n"/>
      <c r="F797" s="48" t="n"/>
      <c r="G797" s="48" t="n"/>
      <c r="H797" s="48" t="n"/>
      <c r="I797" s="49" t="n"/>
      <c r="J797" s="50" t="n"/>
      <c r="K797" s="48" t="n"/>
      <c r="L797" s="51">
        <f>IF(A797="","",DATE(YEAR(A797),MONTH(A797),1))</f>
        <v/>
      </c>
      <c r="M797" s="52">
        <f>IF(OR(A797="",NOT(ISNUMBER(I797))),"",IF(G797=Lists!$B$5,I797/2,IF(G797=Lists!$B$6,I797,0)))</f>
        <v/>
      </c>
      <c r="N797" s="52">
        <f>IF(OR(A797="",NOT(ISNUMBER(I797))),"",IF(G797=Lists!$B$5,I797/2,IF(G797=Lists!$B$7,I797,0)))</f>
        <v/>
      </c>
      <c r="O797" s="53">
        <f>IF(COUNTA(A797:K797)=0,"",IF(OR(A797="",B797="",C797="",D797="",E797="",F797="",G797="",NOT(ISNUMBER(I797))),"Incomplete",IF(COUNTIF(Lists!$H$4:$AA$4,C797)=0,"Check category",IF(COUNTIF(INDEX(Lists!$H$6:$AA$45,0,MATCH(C797,Lists!$H$4:$AA$4,0)),D797)=0,"Check sub-category","OK"))))</f>
        <v/>
      </c>
      <c r="P797">
        <f>IF(ISNUMBER(I797),I797+ROW()/10000000,"")</f>
        <v/>
      </c>
      <c r="Q797">
        <f>IF(AND(ISNUMBER(P797),ISNUMBER(A797)),IF(AND(A797&gt;=Dashboard!$Q$3,A797&lt;=Dashboard!$Q$4,OR(J797&lt;&gt;"Yes",Dashboard!$Q$15="Yes")),P797,""),"")</f>
        <v/>
      </c>
    </row>
    <row r="798">
      <c r="A798" s="47" t="n"/>
      <c r="B798" s="48" t="n"/>
      <c r="C798" s="48" t="n"/>
      <c r="D798" s="48" t="n"/>
      <c r="E798" s="48" t="n"/>
      <c r="F798" s="48" t="n"/>
      <c r="G798" s="48" t="n"/>
      <c r="H798" s="48" t="n"/>
      <c r="I798" s="49" t="n"/>
      <c r="J798" s="50" t="n"/>
      <c r="K798" s="48" t="n"/>
      <c r="L798" s="51">
        <f>IF(A798="","",DATE(YEAR(A798),MONTH(A798),1))</f>
        <v/>
      </c>
      <c r="M798" s="52">
        <f>IF(OR(A798="",NOT(ISNUMBER(I798))),"",IF(G798=Lists!$B$5,I798/2,IF(G798=Lists!$B$6,I798,0)))</f>
        <v/>
      </c>
      <c r="N798" s="52">
        <f>IF(OR(A798="",NOT(ISNUMBER(I798))),"",IF(G798=Lists!$B$5,I798/2,IF(G798=Lists!$B$7,I798,0)))</f>
        <v/>
      </c>
      <c r="O798" s="53">
        <f>IF(COUNTA(A798:K798)=0,"",IF(OR(A798="",B798="",C798="",D798="",E798="",F798="",G798="",NOT(ISNUMBER(I798))),"Incomplete",IF(COUNTIF(Lists!$H$4:$AA$4,C798)=0,"Check category",IF(COUNTIF(INDEX(Lists!$H$6:$AA$45,0,MATCH(C798,Lists!$H$4:$AA$4,0)),D798)=0,"Check sub-category","OK"))))</f>
        <v/>
      </c>
      <c r="P798">
        <f>IF(ISNUMBER(I798),I798+ROW()/10000000,"")</f>
        <v/>
      </c>
      <c r="Q798">
        <f>IF(AND(ISNUMBER(P798),ISNUMBER(A798)),IF(AND(A798&gt;=Dashboard!$Q$3,A798&lt;=Dashboard!$Q$4,OR(J798&lt;&gt;"Yes",Dashboard!$Q$15="Yes")),P798,""),"")</f>
        <v/>
      </c>
    </row>
    <row r="799">
      <c r="A799" s="47" t="n"/>
      <c r="B799" s="48" t="n"/>
      <c r="C799" s="48" t="n"/>
      <c r="D799" s="48" t="n"/>
      <c r="E799" s="48" t="n"/>
      <c r="F799" s="48" t="n"/>
      <c r="G799" s="48" t="n"/>
      <c r="H799" s="48" t="n"/>
      <c r="I799" s="49" t="n"/>
      <c r="J799" s="50" t="n"/>
      <c r="K799" s="48" t="n"/>
      <c r="L799" s="51">
        <f>IF(A799="","",DATE(YEAR(A799),MONTH(A799),1))</f>
        <v/>
      </c>
      <c r="M799" s="52">
        <f>IF(OR(A799="",NOT(ISNUMBER(I799))),"",IF(G799=Lists!$B$5,I799/2,IF(G799=Lists!$B$6,I799,0)))</f>
        <v/>
      </c>
      <c r="N799" s="52">
        <f>IF(OR(A799="",NOT(ISNUMBER(I799))),"",IF(G799=Lists!$B$5,I799/2,IF(G799=Lists!$B$7,I799,0)))</f>
        <v/>
      </c>
      <c r="O799" s="53">
        <f>IF(COUNTA(A799:K799)=0,"",IF(OR(A799="",B799="",C799="",D799="",E799="",F799="",G799="",NOT(ISNUMBER(I799))),"Incomplete",IF(COUNTIF(Lists!$H$4:$AA$4,C799)=0,"Check category",IF(COUNTIF(INDEX(Lists!$H$6:$AA$45,0,MATCH(C799,Lists!$H$4:$AA$4,0)),D799)=0,"Check sub-category","OK"))))</f>
        <v/>
      </c>
      <c r="P799">
        <f>IF(ISNUMBER(I799),I799+ROW()/10000000,"")</f>
        <v/>
      </c>
      <c r="Q799">
        <f>IF(AND(ISNUMBER(P799),ISNUMBER(A799)),IF(AND(A799&gt;=Dashboard!$Q$3,A799&lt;=Dashboard!$Q$4,OR(J799&lt;&gt;"Yes",Dashboard!$Q$15="Yes")),P799,""),"")</f>
        <v/>
      </c>
    </row>
    <row r="800">
      <c r="A800" s="47" t="n"/>
      <c r="B800" s="48" t="n"/>
      <c r="C800" s="48" t="n"/>
      <c r="D800" s="48" t="n"/>
      <c r="E800" s="48" t="n"/>
      <c r="F800" s="48" t="n"/>
      <c r="G800" s="48" t="n"/>
      <c r="H800" s="48" t="n"/>
      <c r="I800" s="49" t="n"/>
      <c r="J800" s="50" t="n"/>
      <c r="K800" s="48" t="n"/>
      <c r="L800" s="51">
        <f>IF(A800="","",DATE(YEAR(A800),MONTH(A800),1))</f>
        <v/>
      </c>
      <c r="M800" s="52">
        <f>IF(OR(A800="",NOT(ISNUMBER(I800))),"",IF(G800=Lists!$B$5,I800/2,IF(G800=Lists!$B$6,I800,0)))</f>
        <v/>
      </c>
      <c r="N800" s="52">
        <f>IF(OR(A800="",NOT(ISNUMBER(I800))),"",IF(G800=Lists!$B$5,I800/2,IF(G800=Lists!$B$7,I800,0)))</f>
        <v/>
      </c>
      <c r="O800" s="53">
        <f>IF(COUNTA(A800:K800)=0,"",IF(OR(A800="",B800="",C800="",D800="",E800="",F800="",G800="",NOT(ISNUMBER(I800))),"Incomplete",IF(COUNTIF(Lists!$H$4:$AA$4,C800)=0,"Check category",IF(COUNTIF(INDEX(Lists!$H$6:$AA$45,0,MATCH(C800,Lists!$H$4:$AA$4,0)),D800)=0,"Check sub-category","OK"))))</f>
        <v/>
      </c>
      <c r="P800">
        <f>IF(ISNUMBER(I800),I800+ROW()/10000000,"")</f>
        <v/>
      </c>
      <c r="Q800">
        <f>IF(AND(ISNUMBER(P800),ISNUMBER(A800)),IF(AND(A800&gt;=Dashboard!$Q$3,A800&lt;=Dashboard!$Q$4,OR(J800&lt;&gt;"Yes",Dashboard!$Q$15="Yes")),P800,""),"")</f>
        <v/>
      </c>
    </row>
    <row r="801">
      <c r="A801" s="47" t="n"/>
      <c r="B801" s="48" t="n"/>
      <c r="C801" s="48" t="n"/>
      <c r="D801" s="48" t="n"/>
      <c r="E801" s="48" t="n"/>
      <c r="F801" s="48" t="n"/>
      <c r="G801" s="48" t="n"/>
      <c r="H801" s="48" t="n"/>
      <c r="I801" s="49" t="n"/>
      <c r="J801" s="50" t="n"/>
      <c r="K801" s="48" t="n"/>
      <c r="L801" s="51">
        <f>IF(A801="","",DATE(YEAR(A801),MONTH(A801),1))</f>
        <v/>
      </c>
      <c r="M801" s="52">
        <f>IF(OR(A801="",NOT(ISNUMBER(I801))),"",IF(G801=Lists!$B$5,I801/2,IF(G801=Lists!$B$6,I801,0)))</f>
        <v/>
      </c>
      <c r="N801" s="52">
        <f>IF(OR(A801="",NOT(ISNUMBER(I801))),"",IF(G801=Lists!$B$5,I801/2,IF(G801=Lists!$B$7,I801,0)))</f>
        <v/>
      </c>
      <c r="O801" s="53">
        <f>IF(COUNTA(A801:K801)=0,"",IF(OR(A801="",B801="",C801="",D801="",E801="",F801="",G801="",NOT(ISNUMBER(I801))),"Incomplete",IF(COUNTIF(Lists!$H$4:$AA$4,C801)=0,"Check category",IF(COUNTIF(INDEX(Lists!$H$6:$AA$45,0,MATCH(C801,Lists!$H$4:$AA$4,0)),D801)=0,"Check sub-category","OK"))))</f>
        <v/>
      </c>
      <c r="P801">
        <f>IF(ISNUMBER(I801),I801+ROW()/10000000,"")</f>
        <v/>
      </c>
      <c r="Q801">
        <f>IF(AND(ISNUMBER(P801),ISNUMBER(A801)),IF(AND(A801&gt;=Dashboard!$Q$3,A801&lt;=Dashboard!$Q$4,OR(J801&lt;&gt;"Yes",Dashboard!$Q$15="Yes")),P801,""),"")</f>
        <v/>
      </c>
    </row>
    <row r="802">
      <c r="A802" s="47" t="n"/>
      <c r="B802" s="48" t="n"/>
      <c r="C802" s="48" t="n"/>
      <c r="D802" s="48" t="n"/>
      <c r="E802" s="48" t="n"/>
      <c r="F802" s="48" t="n"/>
      <c r="G802" s="48" t="n"/>
      <c r="H802" s="48" t="n"/>
      <c r="I802" s="49" t="n"/>
      <c r="J802" s="50" t="n"/>
      <c r="K802" s="48" t="n"/>
      <c r="L802" s="51">
        <f>IF(A802="","",DATE(YEAR(A802),MONTH(A802),1))</f>
        <v/>
      </c>
      <c r="M802" s="52">
        <f>IF(OR(A802="",NOT(ISNUMBER(I802))),"",IF(G802=Lists!$B$5,I802/2,IF(G802=Lists!$B$6,I802,0)))</f>
        <v/>
      </c>
      <c r="N802" s="52">
        <f>IF(OR(A802="",NOT(ISNUMBER(I802))),"",IF(G802=Lists!$B$5,I802/2,IF(G802=Lists!$B$7,I802,0)))</f>
        <v/>
      </c>
      <c r="O802" s="53">
        <f>IF(COUNTA(A802:K802)=0,"",IF(OR(A802="",B802="",C802="",D802="",E802="",F802="",G802="",NOT(ISNUMBER(I802))),"Incomplete",IF(COUNTIF(Lists!$H$4:$AA$4,C802)=0,"Check category",IF(COUNTIF(INDEX(Lists!$H$6:$AA$45,0,MATCH(C802,Lists!$H$4:$AA$4,0)),D802)=0,"Check sub-category","OK"))))</f>
        <v/>
      </c>
      <c r="P802">
        <f>IF(ISNUMBER(I802),I802+ROW()/10000000,"")</f>
        <v/>
      </c>
      <c r="Q802">
        <f>IF(AND(ISNUMBER(P802),ISNUMBER(A802)),IF(AND(A802&gt;=Dashboard!$Q$3,A802&lt;=Dashboard!$Q$4,OR(J802&lt;&gt;"Yes",Dashboard!$Q$15="Yes")),P802,""),"")</f>
        <v/>
      </c>
    </row>
    <row r="803">
      <c r="A803" s="47" t="n"/>
      <c r="B803" s="48" t="n"/>
      <c r="C803" s="48" t="n"/>
      <c r="D803" s="48" t="n"/>
      <c r="E803" s="48" t="n"/>
      <c r="F803" s="48" t="n"/>
      <c r="G803" s="48" t="n"/>
      <c r="H803" s="48" t="n"/>
      <c r="I803" s="49" t="n"/>
      <c r="J803" s="50" t="n"/>
      <c r="K803" s="48" t="n"/>
      <c r="L803" s="51">
        <f>IF(A803="","",DATE(YEAR(A803),MONTH(A803),1))</f>
        <v/>
      </c>
      <c r="M803" s="52">
        <f>IF(OR(A803="",NOT(ISNUMBER(I803))),"",IF(G803=Lists!$B$5,I803/2,IF(G803=Lists!$B$6,I803,0)))</f>
        <v/>
      </c>
      <c r="N803" s="52">
        <f>IF(OR(A803="",NOT(ISNUMBER(I803))),"",IF(G803=Lists!$B$5,I803/2,IF(G803=Lists!$B$7,I803,0)))</f>
        <v/>
      </c>
      <c r="O803" s="53">
        <f>IF(COUNTA(A803:K803)=0,"",IF(OR(A803="",B803="",C803="",D803="",E803="",F803="",G803="",NOT(ISNUMBER(I803))),"Incomplete",IF(COUNTIF(Lists!$H$4:$AA$4,C803)=0,"Check category",IF(COUNTIF(INDEX(Lists!$H$6:$AA$45,0,MATCH(C803,Lists!$H$4:$AA$4,0)),D803)=0,"Check sub-category","OK"))))</f>
        <v/>
      </c>
      <c r="P803">
        <f>IF(ISNUMBER(I803),I803+ROW()/10000000,"")</f>
        <v/>
      </c>
      <c r="Q803">
        <f>IF(AND(ISNUMBER(P803),ISNUMBER(A803)),IF(AND(A803&gt;=Dashboard!$Q$3,A803&lt;=Dashboard!$Q$4,OR(J803&lt;&gt;"Yes",Dashboard!$Q$15="Yes")),P803,""),"")</f>
        <v/>
      </c>
    </row>
    <row r="804">
      <c r="A804" s="47" t="n"/>
      <c r="B804" s="48" t="n"/>
      <c r="C804" s="48" t="n"/>
      <c r="D804" s="48" t="n"/>
      <c r="E804" s="48" t="n"/>
      <c r="F804" s="48" t="n"/>
      <c r="G804" s="48" t="n"/>
      <c r="H804" s="48" t="n"/>
      <c r="I804" s="49" t="n"/>
      <c r="J804" s="50" t="n"/>
      <c r="K804" s="48" t="n"/>
      <c r="L804" s="51">
        <f>IF(A804="","",DATE(YEAR(A804),MONTH(A804),1))</f>
        <v/>
      </c>
      <c r="M804" s="52">
        <f>IF(OR(A804="",NOT(ISNUMBER(I804))),"",IF(G804=Lists!$B$5,I804/2,IF(G804=Lists!$B$6,I804,0)))</f>
        <v/>
      </c>
      <c r="N804" s="52">
        <f>IF(OR(A804="",NOT(ISNUMBER(I804))),"",IF(G804=Lists!$B$5,I804/2,IF(G804=Lists!$B$7,I804,0)))</f>
        <v/>
      </c>
      <c r="O804" s="53">
        <f>IF(COUNTA(A804:K804)=0,"",IF(OR(A804="",B804="",C804="",D804="",E804="",F804="",G804="",NOT(ISNUMBER(I804))),"Incomplete",IF(COUNTIF(Lists!$H$4:$AA$4,C804)=0,"Check category",IF(COUNTIF(INDEX(Lists!$H$6:$AA$45,0,MATCH(C804,Lists!$H$4:$AA$4,0)),D804)=0,"Check sub-category","OK"))))</f>
        <v/>
      </c>
      <c r="P804">
        <f>IF(ISNUMBER(I804),I804+ROW()/10000000,"")</f>
        <v/>
      </c>
      <c r="Q804">
        <f>IF(AND(ISNUMBER(P804),ISNUMBER(A804)),IF(AND(A804&gt;=Dashboard!$Q$3,A804&lt;=Dashboard!$Q$4,OR(J804&lt;&gt;"Yes",Dashboard!$Q$15="Yes")),P804,""),"")</f>
        <v/>
      </c>
    </row>
    <row r="805">
      <c r="A805" s="47" t="n"/>
      <c r="B805" s="48" t="n"/>
      <c r="C805" s="48" t="n"/>
      <c r="D805" s="48" t="n"/>
      <c r="E805" s="48" t="n"/>
      <c r="F805" s="48" t="n"/>
      <c r="G805" s="48" t="n"/>
      <c r="H805" s="48" t="n"/>
      <c r="I805" s="49" t="n"/>
      <c r="J805" s="50" t="n"/>
      <c r="K805" s="48" t="n"/>
      <c r="L805" s="51">
        <f>IF(A805="","",DATE(YEAR(A805),MONTH(A805),1))</f>
        <v/>
      </c>
      <c r="M805" s="52">
        <f>IF(OR(A805="",NOT(ISNUMBER(I805))),"",IF(G805=Lists!$B$5,I805/2,IF(G805=Lists!$B$6,I805,0)))</f>
        <v/>
      </c>
      <c r="N805" s="52">
        <f>IF(OR(A805="",NOT(ISNUMBER(I805))),"",IF(G805=Lists!$B$5,I805/2,IF(G805=Lists!$B$7,I805,0)))</f>
        <v/>
      </c>
      <c r="O805" s="53">
        <f>IF(COUNTA(A805:K805)=0,"",IF(OR(A805="",B805="",C805="",D805="",E805="",F805="",G805="",NOT(ISNUMBER(I805))),"Incomplete",IF(COUNTIF(Lists!$H$4:$AA$4,C805)=0,"Check category",IF(COUNTIF(INDEX(Lists!$H$6:$AA$45,0,MATCH(C805,Lists!$H$4:$AA$4,0)),D805)=0,"Check sub-category","OK"))))</f>
        <v/>
      </c>
      <c r="P805">
        <f>IF(ISNUMBER(I805),I805+ROW()/10000000,"")</f>
        <v/>
      </c>
      <c r="Q805">
        <f>IF(AND(ISNUMBER(P805),ISNUMBER(A805)),IF(AND(A805&gt;=Dashboard!$Q$3,A805&lt;=Dashboard!$Q$4,OR(J805&lt;&gt;"Yes",Dashboard!$Q$15="Yes")),P805,""),"")</f>
        <v/>
      </c>
    </row>
    <row r="806">
      <c r="A806" s="47" t="n"/>
      <c r="B806" s="48" t="n"/>
      <c r="C806" s="48" t="n"/>
      <c r="D806" s="48" t="n"/>
      <c r="E806" s="48" t="n"/>
      <c r="F806" s="48" t="n"/>
      <c r="G806" s="48" t="n"/>
      <c r="H806" s="48" t="n"/>
      <c r="I806" s="49" t="n"/>
      <c r="J806" s="50" t="n"/>
      <c r="K806" s="48" t="n"/>
      <c r="L806" s="51">
        <f>IF(A806="","",DATE(YEAR(A806),MONTH(A806),1))</f>
        <v/>
      </c>
      <c r="M806" s="52">
        <f>IF(OR(A806="",NOT(ISNUMBER(I806))),"",IF(G806=Lists!$B$5,I806/2,IF(G806=Lists!$B$6,I806,0)))</f>
        <v/>
      </c>
      <c r="N806" s="52">
        <f>IF(OR(A806="",NOT(ISNUMBER(I806))),"",IF(G806=Lists!$B$5,I806/2,IF(G806=Lists!$B$7,I806,0)))</f>
        <v/>
      </c>
      <c r="O806" s="53">
        <f>IF(COUNTA(A806:K806)=0,"",IF(OR(A806="",B806="",C806="",D806="",E806="",F806="",G806="",NOT(ISNUMBER(I806))),"Incomplete",IF(COUNTIF(Lists!$H$4:$AA$4,C806)=0,"Check category",IF(COUNTIF(INDEX(Lists!$H$6:$AA$45,0,MATCH(C806,Lists!$H$4:$AA$4,0)),D806)=0,"Check sub-category","OK"))))</f>
        <v/>
      </c>
      <c r="P806">
        <f>IF(ISNUMBER(I806),I806+ROW()/10000000,"")</f>
        <v/>
      </c>
      <c r="Q806">
        <f>IF(AND(ISNUMBER(P806),ISNUMBER(A806)),IF(AND(A806&gt;=Dashboard!$Q$3,A806&lt;=Dashboard!$Q$4,OR(J806&lt;&gt;"Yes",Dashboard!$Q$15="Yes")),P806,""),"")</f>
        <v/>
      </c>
    </row>
    <row r="807">
      <c r="A807" s="47" t="n"/>
      <c r="B807" s="48" t="n"/>
      <c r="C807" s="48" t="n"/>
      <c r="D807" s="48" t="n"/>
      <c r="E807" s="48" t="n"/>
      <c r="F807" s="48" t="n"/>
      <c r="G807" s="48" t="n"/>
      <c r="H807" s="48" t="n"/>
      <c r="I807" s="49" t="n"/>
      <c r="J807" s="50" t="n"/>
      <c r="K807" s="48" t="n"/>
      <c r="L807" s="51">
        <f>IF(A807="","",DATE(YEAR(A807),MONTH(A807),1))</f>
        <v/>
      </c>
      <c r="M807" s="52">
        <f>IF(OR(A807="",NOT(ISNUMBER(I807))),"",IF(G807=Lists!$B$5,I807/2,IF(G807=Lists!$B$6,I807,0)))</f>
        <v/>
      </c>
      <c r="N807" s="52">
        <f>IF(OR(A807="",NOT(ISNUMBER(I807))),"",IF(G807=Lists!$B$5,I807/2,IF(G807=Lists!$B$7,I807,0)))</f>
        <v/>
      </c>
      <c r="O807" s="53">
        <f>IF(COUNTA(A807:K807)=0,"",IF(OR(A807="",B807="",C807="",D807="",E807="",F807="",G807="",NOT(ISNUMBER(I807))),"Incomplete",IF(COUNTIF(Lists!$H$4:$AA$4,C807)=0,"Check category",IF(COUNTIF(INDEX(Lists!$H$6:$AA$45,0,MATCH(C807,Lists!$H$4:$AA$4,0)),D807)=0,"Check sub-category","OK"))))</f>
        <v/>
      </c>
      <c r="P807">
        <f>IF(ISNUMBER(I807),I807+ROW()/10000000,"")</f>
        <v/>
      </c>
      <c r="Q807">
        <f>IF(AND(ISNUMBER(P807),ISNUMBER(A807)),IF(AND(A807&gt;=Dashboard!$Q$3,A807&lt;=Dashboard!$Q$4,OR(J807&lt;&gt;"Yes",Dashboard!$Q$15="Yes")),P807,""),"")</f>
        <v/>
      </c>
    </row>
    <row r="808">
      <c r="A808" s="47" t="n"/>
      <c r="B808" s="48" t="n"/>
      <c r="C808" s="48" t="n"/>
      <c r="D808" s="48" t="n"/>
      <c r="E808" s="48" t="n"/>
      <c r="F808" s="48" t="n"/>
      <c r="G808" s="48" t="n"/>
      <c r="H808" s="48" t="n"/>
      <c r="I808" s="49" t="n"/>
      <c r="J808" s="50" t="n"/>
      <c r="K808" s="48" t="n"/>
      <c r="L808" s="51">
        <f>IF(A808="","",DATE(YEAR(A808),MONTH(A808),1))</f>
        <v/>
      </c>
      <c r="M808" s="52">
        <f>IF(OR(A808="",NOT(ISNUMBER(I808))),"",IF(G808=Lists!$B$5,I808/2,IF(G808=Lists!$B$6,I808,0)))</f>
        <v/>
      </c>
      <c r="N808" s="52">
        <f>IF(OR(A808="",NOT(ISNUMBER(I808))),"",IF(G808=Lists!$B$5,I808/2,IF(G808=Lists!$B$7,I808,0)))</f>
        <v/>
      </c>
      <c r="O808" s="53">
        <f>IF(COUNTA(A808:K808)=0,"",IF(OR(A808="",B808="",C808="",D808="",E808="",F808="",G808="",NOT(ISNUMBER(I808))),"Incomplete",IF(COUNTIF(Lists!$H$4:$AA$4,C808)=0,"Check category",IF(COUNTIF(INDEX(Lists!$H$6:$AA$45,0,MATCH(C808,Lists!$H$4:$AA$4,0)),D808)=0,"Check sub-category","OK"))))</f>
        <v/>
      </c>
      <c r="P808">
        <f>IF(ISNUMBER(I808),I808+ROW()/10000000,"")</f>
        <v/>
      </c>
      <c r="Q808">
        <f>IF(AND(ISNUMBER(P808),ISNUMBER(A808)),IF(AND(A808&gt;=Dashboard!$Q$3,A808&lt;=Dashboard!$Q$4,OR(J808&lt;&gt;"Yes",Dashboard!$Q$15="Yes")),P808,""),"")</f>
        <v/>
      </c>
    </row>
    <row r="809">
      <c r="A809" s="47" t="n"/>
      <c r="B809" s="48" t="n"/>
      <c r="C809" s="48" t="n"/>
      <c r="D809" s="48" t="n"/>
      <c r="E809" s="48" t="n"/>
      <c r="F809" s="48" t="n"/>
      <c r="G809" s="48" t="n"/>
      <c r="H809" s="48" t="n"/>
      <c r="I809" s="49" t="n"/>
      <c r="J809" s="50" t="n"/>
      <c r="K809" s="48" t="n"/>
      <c r="L809" s="51">
        <f>IF(A809="","",DATE(YEAR(A809),MONTH(A809),1))</f>
        <v/>
      </c>
      <c r="M809" s="52">
        <f>IF(OR(A809="",NOT(ISNUMBER(I809))),"",IF(G809=Lists!$B$5,I809/2,IF(G809=Lists!$B$6,I809,0)))</f>
        <v/>
      </c>
      <c r="N809" s="52">
        <f>IF(OR(A809="",NOT(ISNUMBER(I809))),"",IF(G809=Lists!$B$5,I809/2,IF(G809=Lists!$B$7,I809,0)))</f>
        <v/>
      </c>
      <c r="O809" s="53">
        <f>IF(COUNTA(A809:K809)=0,"",IF(OR(A809="",B809="",C809="",D809="",E809="",F809="",G809="",NOT(ISNUMBER(I809))),"Incomplete",IF(COUNTIF(Lists!$H$4:$AA$4,C809)=0,"Check category",IF(COUNTIF(INDEX(Lists!$H$6:$AA$45,0,MATCH(C809,Lists!$H$4:$AA$4,0)),D809)=0,"Check sub-category","OK"))))</f>
        <v/>
      </c>
      <c r="P809">
        <f>IF(ISNUMBER(I809),I809+ROW()/10000000,"")</f>
        <v/>
      </c>
      <c r="Q809">
        <f>IF(AND(ISNUMBER(P809),ISNUMBER(A809)),IF(AND(A809&gt;=Dashboard!$Q$3,A809&lt;=Dashboard!$Q$4,OR(J809&lt;&gt;"Yes",Dashboard!$Q$15="Yes")),P809,""),"")</f>
        <v/>
      </c>
    </row>
    <row r="810">
      <c r="A810" s="47" t="n"/>
      <c r="B810" s="48" t="n"/>
      <c r="C810" s="48" t="n"/>
      <c r="D810" s="48" t="n"/>
      <c r="E810" s="48" t="n"/>
      <c r="F810" s="48" t="n"/>
      <c r="G810" s="48" t="n"/>
      <c r="H810" s="48" t="n"/>
      <c r="I810" s="49" t="n"/>
      <c r="J810" s="50" t="n"/>
      <c r="K810" s="48" t="n"/>
      <c r="L810" s="51">
        <f>IF(A810="","",DATE(YEAR(A810),MONTH(A810),1))</f>
        <v/>
      </c>
      <c r="M810" s="52">
        <f>IF(OR(A810="",NOT(ISNUMBER(I810))),"",IF(G810=Lists!$B$5,I810/2,IF(G810=Lists!$B$6,I810,0)))</f>
        <v/>
      </c>
      <c r="N810" s="52">
        <f>IF(OR(A810="",NOT(ISNUMBER(I810))),"",IF(G810=Lists!$B$5,I810/2,IF(G810=Lists!$B$7,I810,0)))</f>
        <v/>
      </c>
      <c r="O810" s="53">
        <f>IF(COUNTA(A810:K810)=0,"",IF(OR(A810="",B810="",C810="",D810="",E810="",F810="",G810="",NOT(ISNUMBER(I810))),"Incomplete",IF(COUNTIF(Lists!$H$4:$AA$4,C810)=0,"Check category",IF(COUNTIF(INDEX(Lists!$H$6:$AA$45,0,MATCH(C810,Lists!$H$4:$AA$4,0)),D810)=0,"Check sub-category","OK"))))</f>
        <v/>
      </c>
      <c r="P810">
        <f>IF(ISNUMBER(I810),I810+ROW()/10000000,"")</f>
        <v/>
      </c>
      <c r="Q810">
        <f>IF(AND(ISNUMBER(P810),ISNUMBER(A810)),IF(AND(A810&gt;=Dashboard!$Q$3,A810&lt;=Dashboard!$Q$4,OR(J810&lt;&gt;"Yes",Dashboard!$Q$15="Yes")),P810,""),"")</f>
        <v/>
      </c>
    </row>
    <row r="811">
      <c r="A811" s="47" t="n"/>
      <c r="B811" s="48" t="n"/>
      <c r="C811" s="48" t="n"/>
      <c r="D811" s="48" t="n"/>
      <c r="E811" s="48" t="n"/>
      <c r="F811" s="48" t="n"/>
      <c r="G811" s="48" t="n"/>
      <c r="H811" s="48" t="n"/>
      <c r="I811" s="49" t="n"/>
      <c r="J811" s="50" t="n"/>
      <c r="K811" s="48" t="n"/>
      <c r="L811" s="51">
        <f>IF(A811="","",DATE(YEAR(A811),MONTH(A811),1))</f>
        <v/>
      </c>
      <c r="M811" s="52">
        <f>IF(OR(A811="",NOT(ISNUMBER(I811))),"",IF(G811=Lists!$B$5,I811/2,IF(G811=Lists!$B$6,I811,0)))</f>
        <v/>
      </c>
      <c r="N811" s="52">
        <f>IF(OR(A811="",NOT(ISNUMBER(I811))),"",IF(G811=Lists!$B$5,I811/2,IF(G811=Lists!$B$7,I811,0)))</f>
        <v/>
      </c>
      <c r="O811" s="53">
        <f>IF(COUNTA(A811:K811)=0,"",IF(OR(A811="",B811="",C811="",D811="",E811="",F811="",G811="",NOT(ISNUMBER(I811))),"Incomplete",IF(COUNTIF(Lists!$H$4:$AA$4,C811)=0,"Check category",IF(COUNTIF(INDEX(Lists!$H$6:$AA$45,0,MATCH(C811,Lists!$H$4:$AA$4,0)),D811)=0,"Check sub-category","OK"))))</f>
        <v/>
      </c>
      <c r="P811">
        <f>IF(ISNUMBER(I811),I811+ROW()/10000000,"")</f>
        <v/>
      </c>
      <c r="Q811">
        <f>IF(AND(ISNUMBER(P811),ISNUMBER(A811)),IF(AND(A811&gt;=Dashboard!$Q$3,A811&lt;=Dashboard!$Q$4,OR(J811&lt;&gt;"Yes",Dashboard!$Q$15="Yes")),P811,""),"")</f>
        <v/>
      </c>
    </row>
    <row r="812">
      <c r="A812" s="47" t="n"/>
      <c r="B812" s="48" t="n"/>
      <c r="C812" s="48" t="n"/>
      <c r="D812" s="48" t="n"/>
      <c r="E812" s="48" t="n"/>
      <c r="F812" s="48" t="n"/>
      <c r="G812" s="48" t="n"/>
      <c r="H812" s="48" t="n"/>
      <c r="I812" s="49" t="n"/>
      <c r="J812" s="50" t="n"/>
      <c r="K812" s="48" t="n"/>
      <c r="L812" s="51">
        <f>IF(A812="","",DATE(YEAR(A812),MONTH(A812),1))</f>
        <v/>
      </c>
      <c r="M812" s="52">
        <f>IF(OR(A812="",NOT(ISNUMBER(I812))),"",IF(G812=Lists!$B$5,I812/2,IF(G812=Lists!$B$6,I812,0)))</f>
        <v/>
      </c>
      <c r="N812" s="52">
        <f>IF(OR(A812="",NOT(ISNUMBER(I812))),"",IF(G812=Lists!$B$5,I812/2,IF(G812=Lists!$B$7,I812,0)))</f>
        <v/>
      </c>
      <c r="O812" s="53">
        <f>IF(COUNTA(A812:K812)=0,"",IF(OR(A812="",B812="",C812="",D812="",E812="",F812="",G812="",NOT(ISNUMBER(I812))),"Incomplete",IF(COUNTIF(Lists!$H$4:$AA$4,C812)=0,"Check category",IF(COUNTIF(INDEX(Lists!$H$6:$AA$45,0,MATCH(C812,Lists!$H$4:$AA$4,0)),D812)=0,"Check sub-category","OK"))))</f>
        <v/>
      </c>
      <c r="P812">
        <f>IF(ISNUMBER(I812),I812+ROW()/10000000,"")</f>
        <v/>
      </c>
      <c r="Q812">
        <f>IF(AND(ISNUMBER(P812),ISNUMBER(A812)),IF(AND(A812&gt;=Dashboard!$Q$3,A812&lt;=Dashboard!$Q$4,OR(J812&lt;&gt;"Yes",Dashboard!$Q$15="Yes")),P812,""),"")</f>
        <v/>
      </c>
    </row>
    <row r="813">
      <c r="A813" s="47" t="n"/>
      <c r="B813" s="48" t="n"/>
      <c r="C813" s="48" t="n"/>
      <c r="D813" s="48" t="n"/>
      <c r="E813" s="48" t="n"/>
      <c r="F813" s="48" t="n"/>
      <c r="G813" s="48" t="n"/>
      <c r="H813" s="48" t="n"/>
      <c r="I813" s="49" t="n"/>
      <c r="J813" s="50" t="n"/>
      <c r="K813" s="48" t="n"/>
      <c r="L813" s="51">
        <f>IF(A813="","",DATE(YEAR(A813),MONTH(A813),1))</f>
        <v/>
      </c>
      <c r="M813" s="52">
        <f>IF(OR(A813="",NOT(ISNUMBER(I813))),"",IF(G813=Lists!$B$5,I813/2,IF(G813=Lists!$B$6,I813,0)))</f>
        <v/>
      </c>
      <c r="N813" s="52">
        <f>IF(OR(A813="",NOT(ISNUMBER(I813))),"",IF(G813=Lists!$B$5,I813/2,IF(G813=Lists!$B$7,I813,0)))</f>
        <v/>
      </c>
      <c r="O813" s="53">
        <f>IF(COUNTA(A813:K813)=0,"",IF(OR(A813="",B813="",C813="",D813="",E813="",F813="",G813="",NOT(ISNUMBER(I813))),"Incomplete",IF(COUNTIF(Lists!$H$4:$AA$4,C813)=0,"Check category",IF(COUNTIF(INDEX(Lists!$H$6:$AA$45,0,MATCH(C813,Lists!$H$4:$AA$4,0)),D813)=0,"Check sub-category","OK"))))</f>
        <v/>
      </c>
      <c r="P813">
        <f>IF(ISNUMBER(I813),I813+ROW()/10000000,"")</f>
        <v/>
      </c>
      <c r="Q813">
        <f>IF(AND(ISNUMBER(P813),ISNUMBER(A813)),IF(AND(A813&gt;=Dashboard!$Q$3,A813&lt;=Dashboard!$Q$4,OR(J813&lt;&gt;"Yes",Dashboard!$Q$15="Yes")),P813,""),"")</f>
        <v/>
      </c>
    </row>
    <row r="814">
      <c r="A814" s="47" t="n"/>
      <c r="B814" s="48" t="n"/>
      <c r="C814" s="48" t="n"/>
      <c r="D814" s="48" t="n"/>
      <c r="E814" s="48" t="n"/>
      <c r="F814" s="48" t="n"/>
      <c r="G814" s="48" t="n"/>
      <c r="H814" s="48" t="n"/>
      <c r="I814" s="49" t="n"/>
      <c r="J814" s="50" t="n"/>
      <c r="K814" s="48" t="n"/>
      <c r="L814" s="51">
        <f>IF(A814="","",DATE(YEAR(A814),MONTH(A814),1))</f>
        <v/>
      </c>
      <c r="M814" s="52">
        <f>IF(OR(A814="",NOT(ISNUMBER(I814))),"",IF(G814=Lists!$B$5,I814/2,IF(G814=Lists!$B$6,I814,0)))</f>
        <v/>
      </c>
      <c r="N814" s="52">
        <f>IF(OR(A814="",NOT(ISNUMBER(I814))),"",IF(G814=Lists!$B$5,I814/2,IF(G814=Lists!$B$7,I814,0)))</f>
        <v/>
      </c>
      <c r="O814" s="53">
        <f>IF(COUNTA(A814:K814)=0,"",IF(OR(A814="",B814="",C814="",D814="",E814="",F814="",G814="",NOT(ISNUMBER(I814))),"Incomplete",IF(COUNTIF(Lists!$H$4:$AA$4,C814)=0,"Check category",IF(COUNTIF(INDEX(Lists!$H$6:$AA$45,0,MATCH(C814,Lists!$H$4:$AA$4,0)),D814)=0,"Check sub-category","OK"))))</f>
        <v/>
      </c>
      <c r="P814">
        <f>IF(ISNUMBER(I814),I814+ROW()/10000000,"")</f>
        <v/>
      </c>
      <c r="Q814">
        <f>IF(AND(ISNUMBER(P814),ISNUMBER(A814)),IF(AND(A814&gt;=Dashboard!$Q$3,A814&lt;=Dashboard!$Q$4,OR(J814&lt;&gt;"Yes",Dashboard!$Q$15="Yes")),P814,""),"")</f>
        <v/>
      </c>
    </row>
    <row r="815">
      <c r="A815" s="47" t="n"/>
      <c r="B815" s="48" t="n"/>
      <c r="C815" s="48" t="n"/>
      <c r="D815" s="48" t="n"/>
      <c r="E815" s="48" t="n"/>
      <c r="F815" s="48" t="n"/>
      <c r="G815" s="48" t="n"/>
      <c r="H815" s="48" t="n"/>
      <c r="I815" s="49" t="n"/>
      <c r="J815" s="50" t="n"/>
      <c r="K815" s="48" t="n"/>
      <c r="L815" s="51">
        <f>IF(A815="","",DATE(YEAR(A815),MONTH(A815),1))</f>
        <v/>
      </c>
      <c r="M815" s="52">
        <f>IF(OR(A815="",NOT(ISNUMBER(I815))),"",IF(G815=Lists!$B$5,I815/2,IF(G815=Lists!$B$6,I815,0)))</f>
        <v/>
      </c>
      <c r="N815" s="52">
        <f>IF(OR(A815="",NOT(ISNUMBER(I815))),"",IF(G815=Lists!$B$5,I815/2,IF(G815=Lists!$B$7,I815,0)))</f>
        <v/>
      </c>
      <c r="O815" s="53">
        <f>IF(COUNTA(A815:K815)=0,"",IF(OR(A815="",B815="",C815="",D815="",E815="",F815="",G815="",NOT(ISNUMBER(I815))),"Incomplete",IF(COUNTIF(Lists!$H$4:$AA$4,C815)=0,"Check category",IF(COUNTIF(INDEX(Lists!$H$6:$AA$45,0,MATCH(C815,Lists!$H$4:$AA$4,0)),D815)=0,"Check sub-category","OK"))))</f>
        <v/>
      </c>
      <c r="P815">
        <f>IF(ISNUMBER(I815),I815+ROW()/10000000,"")</f>
        <v/>
      </c>
      <c r="Q815">
        <f>IF(AND(ISNUMBER(P815),ISNUMBER(A815)),IF(AND(A815&gt;=Dashboard!$Q$3,A815&lt;=Dashboard!$Q$4,OR(J815&lt;&gt;"Yes",Dashboard!$Q$15="Yes")),P815,""),"")</f>
        <v/>
      </c>
    </row>
    <row r="816">
      <c r="A816" s="47" t="n"/>
      <c r="B816" s="48" t="n"/>
      <c r="C816" s="48" t="n"/>
      <c r="D816" s="48" t="n"/>
      <c r="E816" s="48" t="n"/>
      <c r="F816" s="48" t="n"/>
      <c r="G816" s="48" t="n"/>
      <c r="H816" s="48" t="n"/>
      <c r="I816" s="49" t="n"/>
      <c r="J816" s="50" t="n"/>
      <c r="K816" s="48" t="n"/>
      <c r="L816" s="51">
        <f>IF(A816="","",DATE(YEAR(A816),MONTH(A816),1))</f>
        <v/>
      </c>
      <c r="M816" s="52">
        <f>IF(OR(A816="",NOT(ISNUMBER(I816))),"",IF(G816=Lists!$B$5,I816/2,IF(G816=Lists!$B$6,I816,0)))</f>
        <v/>
      </c>
      <c r="N816" s="52">
        <f>IF(OR(A816="",NOT(ISNUMBER(I816))),"",IF(G816=Lists!$B$5,I816/2,IF(G816=Lists!$B$7,I816,0)))</f>
        <v/>
      </c>
      <c r="O816" s="53">
        <f>IF(COUNTA(A816:K816)=0,"",IF(OR(A816="",B816="",C816="",D816="",E816="",F816="",G816="",NOT(ISNUMBER(I816))),"Incomplete",IF(COUNTIF(Lists!$H$4:$AA$4,C816)=0,"Check category",IF(COUNTIF(INDEX(Lists!$H$6:$AA$45,0,MATCH(C816,Lists!$H$4:$AA$4,0)),D816)=0,"Check sub-category","OK"))))</f>
        <v/>
      </c>
      <c r="P816">
        <f>IF(ISNUMBER(I816),I816+ROW()/10000000,"")</f>
        <v/>
      </c>
      <c r="Q816">
        <f>IF(AND(ISNUMBER(P816),ISNUMBER(A816)),IF(AND(A816&gt;=Dashboard!$Q$3,A816&lt;=Dashboard!$Q$4,OR(J816&lt;&gt;"Yes",Dashboard!$Q$15="Yes")),P816,""),"")</f>
        <v/>
      </c>
    </row>
    <row r="817">
      <c r="A817" s="47" t="n"/>
      <c r="B817" s="48" t="n"/>
      <c r="C817" s="48" t="n"/>
      <c r="D817" s="48" t="n"/>
      <c r="E817" s="48" t="n"/>
      <c r="F817" s="48" t="n"/>
      <c r="G817" s="48" t="n"/>
      <c r="H817" s="48" t="n"/>
      <c r="I817" s="49" t="n"/>
      <c r="J817" s="50" t="n"/>
      <c r="K817" s="48" t="n"/>
      <c r="L817" s="51">
        <f>IF(A817="","",DATE(YEAR(A817),MONTH(A817),1))</f>
        <v/>
      </c>
      <c r="M817" s="52">
        <f>IF(OR(A817="",NOT(ISNUMBER(I817))),"",IF(G817=Lists!$B$5,I817/2,IF(G817=Lists!$B$6,I817,0)))</f>
        <v/>
      </c>
      <c r="N817" s="52">
        <f>IF(OR(A817="",NOT(ISNUMBER(I817))),"",IF(G817=Lists!$B$5,I817/2,IF(G817=Lists!$B$7,I817,0)))</f>
        <v/>
      </c>
      <c r="O817" s="53">
        <f>IF(COUNTA(A817:K817)=0,"",IF(OR(A817="",B817="",C817="",D817="",E817="",F817="",G817="",NOT(ISNUMBER(I817))),"Incomplete",IF(COUNTIF(Lists!$H$4:$AA$4,C817)=0,"Check category",IF(COUNTIF(INDEX(Lists!$H$6:$AA$45,0,MATCH(C817,Lists!$H$4:$AA$4,0)),D817)=0,"Check sub-category","OK"))))</f>
        <v/>
      </c>
      <c r="P817">
        <f>IF(ISNUMBER(I817),I817+ROW()/10000000,"")</f>
        <v/>
      </c>
      <c r="Q817">
        <f>IF(AND(ISNUMBER(P817),ISNUMBER(A817)),IF(AND(A817&gt;=Dashboard!$Q$3,A817&lt;=Dashboard!$Q$4,OR(J817&lt;&gt;"Yes",Dashboard!$Q$15="Yes")),P817,""),"")</f>
        <v/>
      </c>
    </row>
    <row r="818">
      <c r="A818" s="47" t="n"/>
      <c r="B818" s="48" t="n"/>
      <c r="C818" s="48" t="n"/>
      <c r="D818" s="48" t="n"/>
      <c r="E818" s="48" t="n"/>
      <c r="F818" s="48" t="n"/>
      <c r="G818" s="48" t="n"/>
      <c r="H818" s="48" t="n"/>
      <c r="I818" s="49" t="n"/>
      <c r="J818" s="50" t="n"/>
      <c r="K818" s="48" t="n"/>
      <c r="L818" s="51">
        <f>IF(A818="","",DATE(YEAR(A818),MONTH(A818),1))</f>
        <v/>
      </c>
      <c r="M818" s="52">
        <f>IF(OR(A818="",NOT(ISNUMBER(I818))),"",IF(G818=Lists!$B$5,I818/2,IF(G818=Lists!$B$6,I818,0)))</f>
        <v/>
      </c>
      <c r="N818" s="52">
        <f>IF(OR(A818="",NOT(ISNUMBER(I818))),"",IF(G818=Lists!$B$5,I818/2,IF(G818=Lists!$B$7,I818,0)))</f>
        <v/>
      </c>
      <c r="O818" s="53">
        <f>IF(COUNTA(A818:K818)=0,"",IF(OR(A818="",B818="",C818="",D818="",E818="",F818="",G818="",NOT(ISNUMBER(I818))),"Incomplete",IF(COUNTIF(Lists!$H$4:$AA$4,C818)=0,"Check category",IF(COUNTIF(INDEX(Lists!$H$6:$AA$45,0,MATCH(C818,Lists!$H$4:$AA$4,0)),D818)=0,"Check sub-category","OK"))))</f>
        <v/>
      </c>
      <c r="P818">
        <f>IF(ISNUMBER(I818),I818+ROW()/10000000,"")</f>
        <v/>
      </c>
      <c r="Q818">
        <f>IF(AND(ISNUMBER(P818),ISNUMBER(A818)),IF(AND(A818&gt;=Dashboard!$Q$3,A818&lt;=Dashboard!$Q$4,OR(J818&lt;&gt;"Yes",Dashboard!$Q$15="Yes")),P818,""),"")</f>
        <v/>
      </c>
    </row>
    <row r="819">
      <c r="A819" s="47" t="n"/>
      <c r="B819" s="48" t="n"/>
      <c r="C819" s="48" t="n"/>
      <c r="D819" s="48" t="n"/>
      <c r="E819" s="48" t="n"/>
      <c r="F819" s="48" t="n"/>
      <c r="G819" s="48" t="n"/>
      <c r="H819" s="48" t="n"/>
      <c r="I819" s="49" t="n"/>
      <c r="J819" s="50" t="n"/>
      <c r="K819" s="48" t="n"/>
      <c r="L819" s="51">
        <f>IF(A819="","",DATE(YEAR(A819),MONTH(A819),1))</f>
        <v/>
      </c>
      <c r="M819" s="52">
        <f>IF(OR(A819="",NOT(ISNUMBER(I819))),"",IF(G819=Lists!$B$5,I819/2,IF(G819=Lists!$B$6,I819,0)))</f>
        <v/>
      </c>
      <c r="N819" s="52">
        <f>IF(OR(A819="",NOT(ISNUMBER(I819))),"",IF(G819=Lists!$B$5,I819/2,IF(G819=Lists!$B$7,I819,0)))</f>
        <v/>
      </c>
      <c r="O819" s="53">
        <f>IF(COUNTA(A819:K819)=0,"",IF(OR(A819="",B819="",C819="",D819="",E819="",F819="",G819="",NOT(ISNUMBER(I819))),"Incomplete",IF(COUNTIF(Lists!$H$4:$AA$4,C819)=0,"Check category",IF(COUNTIF(INDEX(Lists!$H$6:$AA$45,0,MATCH(C819,Lists!$H$4:$AA$4,0)),D819)=0,"Check sub-category","OK"))))</f>
        <v/>
      </c>
      <c r="P819">
        <f>IF(ISNUMBER(I819),I819+ROW()/10000000,"")</f>
        <v/>
      </c>
      <c r="Q819">
        <f>IF(AND(ISNUMBER(P819),ISNUMBER(A819)),IF(AND(A819&gt;=Dashboard!$Q$3,A819&lt;=Dashboard!$Q$4,OR(J819&lt;&gt;"Yes",Dashboard!$Q$15="Yes")),P819,""),"")</f>
        <v/>
      </c>
    </row>
    <row r="820">
      <c r="A820" s="47" t="n"/>
      <c r="B820" s="48" t="n"/>
      <c r="C820" s="48" t="n"/>
      <c r="D820" s="48" t="n"/>
      <c r="E820" s="48" t="n"/>
      <c r="F820" s="48" t="n"/>
      <c r="G820" s="48" t="n"/>
      <c r="H820" s="48" t="n"/>
      <c r="I820" s="49" t="n"/>
      <c r="J820" s="50" t="n"/>
      <c r="K820" s="48" t="n"/>
      <c r="L820" s="51">
        <f>IF(A820="","",DATE(YEAR(A820),MONTH(A820),1))</f>
        <v/>
      </c>
      <c r="M820" s="52">
        <f>IF(OR(A820="",NOT(ISNUMBER(I820))),"",IF(G820=Lists!$B$5,I820/2,IF(G820=Lists!$B$6,I820,0)))</f>
        <v/>
      </c>
      <c r="N820" s="52">
        <f>IF(OR(A820="",NOT(ISNUMBER(I820))),"",IF(G820=Lists!$B$5,I820/2,IF(G820=Lists!$B$7,I820,0)))</f>
        <v/>
      </c>
      <c r="O820" s="53">
        <f>IF(COUNTA(A820:K820)=0,"",IF(OR(A820="",B820="",C820="",D820="",E820="",F820="",G820="",NOT(ISNUMBER(I820))),"Incomplete",IF(COUNTIF(Lists!$H$4:$AA$4,C820)=0,"Check category",IF(COUNTIF(INDEX(Lists!$H$6:$AA$45,0,MATCH(C820,Lists!$H$4:$AA$4,0)),D820)=0,"Check sub-category","OK"))))</f>
        <v/>
      </c>
      <c r="P820">
        <f>IF(ISNUMBER(I820),I820+ROW()/10000000,"")</f>
        <v/>
      </c>
      <c r="Q820">
        <f>IF(AND(ISNUMBER(P820),ISNUMBER(A820)),IF(AND(A820&gt;=Dashboard!$Q$3,A820&lt;=Dashboard!$Q$4,OR(J820&lt;&gt;"Yes",Dashboard!$Q$15="Yes")),P820,""),"")</f>
        <v/>
      </c>
    </row>
    <row r="821">
      <c r="A821" s="47" t="n"/>
      <c r="B821" s="48" t="n"/>
      <c r="C821" s="48" t="n"/>
      <c r="D821" s="48" t="n"/>
      <c r="E821" s="48" t="n"/>
      <c r="F821" s="48" t="n"/>
      <c r="G821" s="48" t="n"/>
      <c r="H821" s="48" t="n"/>
      <c r="I821" s="49" t="n"/>
      <c r="J821" s="50" t="n"/>
      <c r="K821" s="48" t="n"/>
      <c r="L821" s="51">
        <f>IF(A821="","",DATE(YEAR(A821),MONTH(A821),1))</f>
        <v/>
      </c>
      <c r="M821" s="52">
        <f>IF(OR(A821="",NOT(ISNUMBER(I821))),"",IF(G821=Lists!$B$5,I821/2,IF(G821=Lists!$B$6,I821,0)))</f>
        <v/>
      </c>
      <c r="N821" s="52">
        <f>IF(OR(A821="",NOT(ISNUMBER(I821))),"",IF(G821=Lists!$B$5,I821/2,IF(G821=Lists!$B$7,I821,0)))</f>
        <v/>
      </c>
      <c r="O821" s="53">
        <f>IF(COUNTA(A821:K821)=0,"",IF(OR(A821="",B821="",C821="",D821="",E821="",F821="",G821="",NOT(ISNUMBER(I821))),"Incomplete",IF(COUNTIF(Lists!$H$4:$AA$4,C821)=0,"Check category",IF(COUNTIF(INDEX(Lists!$H$6:$AA$45,0,MATCH(C821,Lists!$H$4:$AA$4,0)),D821)=0,"Check sub-category","OK"))))</f>
        <v/>
      </c>
      <c r="P821">
        <f>IF(ISNUMBER(I821),I821+ROW()/10000000,"")</f>
        <v/>
      </c>
      <c r="Q821">
        <f>IF(AND(ISNUMBER(P821),ISNUMBER(A821)),IF(AND(A821&gt;=Dashboard!$Q$3,A821&lt;=Dashboard!$Q$4,OR(J821&lt;&gt;"Yes",Dashboard!$Q$15="Yes")),P821,""),"")</f>
        <v/>
      </c>
    </row>
    <row r="822">
      <c r="A822" s="47" t="n"/>
      <c r="B822" s="48" t="n"/>
      <c r="C822" s="48" t="n"/>
      <c r="D822" s="48" t="n"/>
      <c r="E822" s="48" t="n"/>
      <c r="F822" s="48" t="n"/>
      <c r="G822" s="48" t="n"/>
      <c r="H822" s="48" t="n"/>
      <c r="I822" s="49" t="n"/>
      <c r="J822" s="50" t="n"/>
      <c r="K822" s="48" t="n"/>
      <c r="L822" s="51">
        <f>IF(A822="","",DATE(YEAR(A822),MONTH(A822),1))</f>
        <v/>
      </c>
      <c r="M822" s="52">
        <f>IF(OR(A822="",NOT(ISNUMBER(I822))),"",IF(G822=Lists!$B$5,I822/2,IF(G822=Lists!$B$6,I822,0)))</f>
        <v/>
      </c>
      <c r="N822" s="52">
        <f>IF(OR(A822="",NOT(ISNUMBER(I822))),"",IF(G822=Lists!$B$5,I822/2,IF(G822=Lists!$B$7,I822,0)))</f>
        <v/>
      </c>
      <c r="O822" s="53">
        <f>IF(COUNTA(A822:K822)=0,"",IF(OR(A822="",B822="",C822="",D822="",E822="",F822="",G822="",NOT(ISNUMBER(I822))),"Incomplete",IF(COUNTIF(Lists!$H$4:$AA$4,C822)=0,"Check category",IF(COUNTIF(INDEX(Lists!$H$6:$AA$45,0,MATCH(C822,Lists!$H$4:$AA$4,0)),D822)=0,"Check sub-category","OK"))))</f>
        <v/>
      </c>
      <c r="P822">
        <f>IF(ISNUMBER(I822),I822+ROW()/10000000,"")</f>
        <v/>
      </c>
      <c r="Q822">
        <f>IF(AND(ISNUMBER(P822),ISNUMBER(A822)),IF(AND(A822&gt;=Dashboard!$Q$3,A822&lt;=Dashboard!$Q$4,OR(J822&lt;&gt;"Yes",Dashboard!$Q$15="Yes")),P822,""),"")</f>
        <v/>
      </c>
    </row>
    <row r="823">
      <c r="A823" s="47" t="n"/>
      <c r="B823" s="48" t="n"/>
      <c r="C823" s="48" t="n"/>
      <c r="D823" s="48" t="n"/>
      <c r="E823" s="48" t="n"/>
      <c r="F823" s="48" t="n"/>
      <c r="G823" s="48" t="n"/>
      <c r="H823" s="48" t="n"/>
      <c r="I823" s="49" t="n"/>
      <c r="J823" s="50" t="n"/>
      <c r="K823" s="48" t="n"/>
      <c r="L823" s="51">
        <f>IF(A823="","",DATE(YEAR(A823),MONTH(A823),1))</f>
        <v/>
      </c>
      <c r="M823" s="52">
        <f>IF(OR(A823="",NOT(ISNUMBER(I823))),"",IF(G823=Lists!$B$5,I823/2,IF(G823=Lists!$B$6,I823,0)))</f>
        <v/>
      </c>
      <c r="N823" s="52">
        <f>IF(OR(A823="",NOT(ISNUMBER(I823))),"",IF(G823=Lists!$B$5,I823/2,IF(G823=Lists!$B$7,I823,0)))</f>
        <v/>
      </c>
      <c r="O823" s="53">
        <f>IF(COUNTA(A823:K823)=0,"",IF(OR(A823="",B823="",C823="",D823="",E823="",F823="",G823="",NOT(ISNUMBER(I823))),"Incomplete",IF(COUNTIF(Lists!$H$4:$AA$4,C823)=0,"Check category",IF(COUNTIF(INDEX(Lists!$H$6:$AA$45,0,MATCH(C823,Lists!$H$4:$AA$4,0)),D823)=0,"Check sub-category","OK"))))</f>
        <v/>
      </c>
      <c r="P823">
        <f>IF(ISNUMBER(I823),I823+ROW()/10000000,"")</f>
        <v/>
      </c>
      <c r="Q823">
        <f>IF(AND(ISNUMBER(P823),ISNUMBER(A823)),IF(AND(A823&gt;=Dashboard!$Q$3,A823&lt;=Dashboard!$Q$4,OR(J823&lt;&gt;"Yes",Dashboard!$Q$15="Yes")),P823,""),"")</f>
        <v/>
      </c>
    </row>
    <row r="824">
      <c r="A824" s="47" t="n"/>
      <c r="B824" s="48" t="n"/>
      <c r="C824" s="48" t="n"/>
      <c r="D824" s="48" t="n"/>
      <c r="E824" s="48" t="n"/>
      <c r="F824" s="48" t="n"/>
      <c r="G824" s="48" t="n"/>
      <c r="H824" s="48" t="n"/>
      <c r="I824" s="49" t="n"/>
      <c r="J824" s="50" t="n"/>
      <c r="K824" s="48" t="n"/>
      <c r="L824" s="51">
        <f>IF(A824="","",DATE(YEAR(A824),MONTH(A824),1))</f>
        <v/>
      </c>
      <c r="M824" s="52">
        <f>IF(OR(A824="",NOT(ISNUMBER(I824))),"",IF(G824=Lists!$B$5,I824/2,IF(G824=Lists!$B$6,I824,0)))</f>
        <v/>
      </c>
      <c r="N824" s="52">
        <f>IF(OR(A824="",NOT(ISNUMBER(I824))),"",IF(G824=Lists!$B$5,I824/2,IF(G824=Lists!$B$7,I824,0)))</f>
        <v/>
      </c>
      <c r="O824" s="53">
        <f>IF(COUNTA(A824:K824)=0,"",IF(OR(A824="",B824="",C824="",D824="",E824="",F824="",G824="",NOT(ISNUMBER(I824))),"Incomplete",IF(COUNTIF(Lists!$H$4:$AA$4,C824)=0,"Check category",IF(COUNTIF(INDEX(Lists!$H$6:$AA$45,0,MATCH(C824,Lists!$H$4:$AA$4,0)),D824)=0,"Check sub-category","OK"))))</f>
        <v/>
      </c>
      <c r="P824">
        <f>IF(ISNUMBER(I824),I824+ROW()/10000000,"")</f>
        <v/>
      </c>
      <c r="Q824">
        <f>IF(AND(ISNUMBER(P824),ISNUMBER(A824)),IF(AND(A824&gt;=Dashboard!$Q$3,A824&lt;=Dashboard!$Q$4,OR(J824&lt;&gt;"Yes",Dashboard!$Q$15="Yes")),P824,""),"")</f>
        <v/>
      </c>
    </row>
    <row r="825">
      <c r="A825" s="47" t="n"/>
      <c r="B825" s="48" t="n"/>
      <c r="C825" s="48" t="n"/>
      <c r="D825" s="48" t="n"/>
      <c r="E825" s="48" t="n"/>
      <c r="F825" s="48" t="n"/>
      <c r="G825" s="48" t="n"/>
      <c r="H825" s="48" t="n"/>
      <c r="I825" s="49" t="n"/>
      <c r="J825" s="50" t="n"/>
      <c r="K825" s="48" t="n"/>
      <c r="L825" s="51">
        <f>IF(A825="","",DATE(YEAR(A825),MONTH(A825),1))</f>
        <v/>
      </c>
      <c r="M825" s="52">
        <f>IF(OR(A825="",NOT(ISNUMBER(I825))),"",IF(G825=Lists!$B$5,I825/2,IF(G825=Lists!$B$6,I825,0)))</f>
        <v/>
      </c>
      <c r="N825" s="52">
        <f>IF(OR(A825="",NOT(ISNUMBER(I825))),"",IF(G825=Lists!$B$5,I825/2,IF(G825=Lists!$B$7,I825,0)))</f>
        <v/>
      </c>
      <c r="O825" s="53">
        <f>IF(COUNTA(A825:K825)=0,"",IF(OR(A825="",B825="",C825="",D825="",E825="",F825="",G825="",NOT(ISNUMBER(I825))),"Incomplete",IF(COUNTIF(Lists!$H$4:$AA$4,C825)=0,"Check category",IF(COUNTIF(INDEX(Lists!$H$6:$AA$45,0,MATCH(C825,Lists!$H$4:$AA$4,0)),D825)=0,"Check sub-category","OK"))))</f>
        <v/>
      </c>
      <c r="P825">
        <f>IF(ISNUMBER(I825),I825+ROW()/10000000,"")</f>
        <v/>
      </c>
      <c r="Q825">
        <f>IF(AND(ISNUMBER(P825),ISNUMBER(A825)),IF(AND(A825&gt;=Dashboard!$Q$3,A825&lt;=Dashboard!$Q$4,OR(J825&lt;&gt;"Yes",Dashboard!$Q$15="Yes")),P825,""),"")</f>
        <v/>
      </c>
    </row>
    <row r="826">
      <c r="A826" s="47" t="n"/>
      <c r="B826" s="48" t="n"/>
      <c r="C826" s="48" t="n"/>
      <c r="D826" s="48" t="n"/>
      <c r="E826" s="48" t="n"/>
      <c r="F826" s="48" t="n"/>
      <c r="G826" s="48" t="n"/>
      <c r="H826" s="48" t="n"/>
      <c r="I826" s="49" t="n"/>
      <c r="J826" s="50" t="n"/>
      <c r="K826" s="48" t="n"/>
      <c r="L826" s="51">
        <f>IF(A826="","",DATE(YEAR(A826),MONTH(A826),1))</f>
        <v/>
      </c>
      <c r="M826" s="52">
        <f>IF(OR(A826="",NOT(ISNUMBER(I826))),"",IF(G826=Lists!$B$5,I826/2,IF(G826=Lists!$B$6,I826,0)))</f>
        <v/>
      </c>
      <c r="N826" s="52">
        <f>IF(OR(A826="",NOT(ISNUMBER(I826))),"",IF(G826=Lists!$B$5,I826/2,IF(G826=Lists!$B$7,I826,0)))</f>
        <v/>
      </c>
      <c r="O826" s="53">
        <f>IF(COUNTA(A826:K826)=0,"",IF(OR(A826="",B826="",C826="",D826="",E826="",F826="",G826="",NOT(ISNUMBER(I826))),"Incomplete",IF(COUNTIF(Lists!$H$4:$AA$4,C826)=0,"Check category",IF(COUNTIF(INDEX(Lists!$H$6:$AA$45,0,MATCH(C826,Lists!$H$4:$AA$4,0)),D826)=0,"Check sub-category","OK"))))</f>
        <v/>
      </c>
      <c r="P826">
        <f>IF(ISNUMBER(I826),I826+ROW()/10000000,"")</f>
        <v/>
      </c>
      <c r="Q826">
        <f>IF(AND(ISNUMBER(P826),ISNUMBER(A826)),IF(AND(A826&gt;=Dashboard!$Q$3,A826&lt;=Dashboard!$Q$4,OR(J826&lt;&gt;"Yes",Dashboard!$Q$15="Yes")),P826,""),"")</f>
        <v/>
      </c>
    </row>
    <row r="827">
      <c r="A827" s="47" t="n"/>
      <c r="B827" s="48" t="n"/>
      <c r="C827" s="48" t="n"/>
      <c r="D827" s="48" t="n"/>
      <c r="E827" s="48" t="n"/>
      <c r="F827" s="48" t="n"/>
      <c r="G827" s="48" t="n"/>
      <c r="H827" s="48" t="n"/>
      <c r="I827" s="49" t="n"/>
      <c r="J827" s="50" t="n"/>
      <c r="K827" s="48" t="n"/>
      <c r="L827" s="51">
        <f>IF(A827="","",DATE(YEAR(A827),MONTH(A827),1))</f>
        <v/>
      </c>
      <c r="M827" s="52">
        <f>IF(OR(A827="",NOT(ISNUMBER(I827))),"",IF(G827=Lists!$B$5,I827/2,IF(G827=Lists!$B$6,I827,0)))</f>
        <v/>
      </c>
      <c r="N827" s="52">
        <f>IF(OR(A827="",NOT(ISNUMBER(I827))),"",IF(G827=Lists!$B$5,I827/2,IF(G827=Lists!$B$7,I827,0)))</f>
        <v/>
      </c>
      <c r="O827" s="53">
        <f>IF(COUNTA(A827:K827)=0,"",IF(OR(A827="",B827="",C827="",D827="",E827="",F827="",G827="",NOT(ISNUMBER(I827))),"Incomplete",IF(COUNTIF(Lists!$H$4:$AA$4,C827)=0,"Check category",IF(COUNTIF(INDEX(Lists!$H$6:$AA$45,0,MATCH(C827,Lists!$H$4:$AA$4,0)),D827)=0,"Check sub-category","OK"))))</f>
        <v/>
      </c>
      <c r="P827">
        <f>IF(ISNUMBER(I827),I827+ROW()/10000000,"")</f>
        <v/>
      </c>
      <c r="Q827">
        <f>IF(AND(ISNUMBER(P827),ISNUMBER(A827)),IF(AND(A827&gt;=Dashboard!$Q$3,A827&lt;=Dashboard!$Q$4,OR(J827&lt;&gt;"Yes",Dashboard!$Q$15="Yes")),P827,""),"")</f>
        <v/>
      </c>
    </row>
    <row r="828">
      <c r="A828" s="47" t="n"/>
      <c r="B828" s="48" t="n"/>
      <c r="C828" s="48" t="n"/>
      <c r="D828" s="48" t="n"/>
      <c r="E828" s="48" t="n"/>
      <c r="F828" s="48" t="n"/>
      <c r="G828" s="48" t="n"/>
      <c r="H828" s="48" t="n"/>
      <c r="I828" s="49" t="n"/>
      <c r="J828" s="50" t="n"/>
      <c r="K828" s="48" t="n"/>
      <c r="L828" s="51">
        <f>IF(A828="","",DATE(YEAR(A828),MONTH(A828),1))</f>
        <v/>
      </c>
      <c r="M828" s="52">
        <f>IF(OR(A828="",NOT(ISNUMBER(I828))),"",IF(G828=Lists!$B$5,I828/2,IF(G828=Lists!$B$6,I828,0)))</f>
        <v/>
      </c>
      <c r="N828" s="52">
        <f>IF(OR(A828="",NOT(ISNUMBER(I828))),"",IF(G828=Lists!$B$5,I828/2,IF(G828=Lists!$B$7,I828,0)))</f>
        <v/>
      </c>
      <c r="O828" s="53">
        <f>IF(COUNTA(A828:K828)=0,"",IF(OR(A828="",B828="",C828="",D828="",E828="",F828="",G828="",NOT(ISNUMBER(I828))),"Incomplete",IF(COUNTIF(Lists!$H$4:$AA$4,C828)=0,"Check category",IF(COUNTIF(INDEX(Lists!$H$6:$AA$45,0,MATCH(C828,Lists!$H$4:$AA$4,0)),D828)=0,"Check sub-category","OK"))))</f>
        <v/>
      </c>
      <c r="P828">
        <f>IF(ISNUMBER(I828),I828+ROW()/10000000,"")</f>
        <v/>
      </c>
      <c r="Q828">
        <f>IF(AND(ISNUMBER(P828),ISNUMBER(A828)),IF(AND(A828&gt;=Dashboard!$Q$3,A828&lt;=Dashboard!$Q$4,OR(J828&lt;&gt;"Yes",Dashboard!$Q$15="Yes")),P828,""),"")</f>
        <v/>
      </c>
    </row>
    <row r="829">
      <c r="A829" s="47" t="n"/>
      <c r="B829" s="48" t="n"/>
      <c r="C829" s="48" t="n"/>
      <c r="D829" s="48" t="n"/>
      <c r="E829" s="48" t="n"/>
      <c r="F829" s="48" t="n"/>
      <c r="G829" s="48" t="n"/>
      <c r="H829" s="48" t="n"/>
      <c r="I829" s="49" t="n"/>
      <c r="J829" s="50" t="n"/>
      <c r="K829" s="48" t="n"/>
      <c r="L829" s="51">
        <f>IF(A829="","",DATE(YEAR(A829),MONTH(A829),1))</f>
        <v/>
      </c>
      <c r="M829" s="52">
        <f>IF(OR(A829="",NOT(ISNUMBER(I829))),"",IF(G829=Lists!$B$5,I829/2,IF(G829=Lists!$B$6,I829,0)))</f>
        <v/>
      </c>
      <c r="N829" s="52">
        <f>IF(OR(A829="",NOT(ISNUMBER(I829))),"",IF(G829=Lists!$B$5,I829/2,IF(G829=Lists!$B$7,I829,0)))</f>
        <v/>
      </c>
      <c r="O829" s="53">
        <f>IF(COUNTA(A829:K829)=0,"",IF(OR(A829="",B829="",C829="",D829="",E829="",F829="",G829="",NOT(ISNUMBER(I829))),"Incomplete",IF(COUNTIF(Lists!$H$4:$AA$4,C829)=0,"Check category",IF(COUNTIF(INDEX(Lists!$H$6:$AA$45,0,MATCH(C829,Lists!$H$4:$AA$4,0)),D829)=0,"Check sub-category","OK"))))</f>
        <v/>
      </c>
      <c r="P829">
        <f>IF(ISNUMBER(I829),I829+ROW()/10000000,"")</f>
        <v/>
      </c>
      <c r="Q829">
        <f>IF(AND(ISNUMBER(P829),ISNUMBER(A829)),IF(AND(A829&gt;=Dashboard!$Q$3,A829&lt;=Dashboard!$Q$4,OR(J829&lt;&gt;"Yes",Dashboard!$Q$15="Yes")),P829,""),"")</f>
        <v/>
      </c>
    </row>
    <row r="830">
      <c r="A830" s="47" t="n"/>
      <c r="B830" s="48" t="n"/>
      <c r="C830" s="48" t="n"/>
      <c r="D830" s="48" t="n"/>
      <c r="E830" s="48" t="n"/>
      <c r="F830" s="48" t="n"/>
      <c r="G830" s="48" t="n"/>
      <c r="H830" s="48" t="n"/>
      <c r="I830" s="49" t="n"/>
      <c r="J830" s="50" t="n"/>
      <c r="K830" s="48" t="n"/>
      <c r="L830" s="51">
        <f>IF(A830="","",DATE(YEAR(A830),MONTH(A830),1))</f>
        <v/>
      </c>
      <c r="M830" s="52">
        <f>IF(OR(A830="",NOT(ISNUMBER(I830))),"",IF(G830=Lists!$B$5,I830/2,IF(G830=Lists!$B$6,I830,0)))</f>
        <v/>
      </c>
      <c r="N830" s="52">
        <f>IF(OR(A830="",NOT(ISNUMBER(I830))),"",IF(G830=Lists!$B$5,I830/2,IF(G830=Lists!$B$7,I830,0)))</f>
        <v/>
      </c>
      <c r="O830" s="53">
        <f>IF(COUNTA(A830:K830)=0,"",IF(OR(A830="",B830="",C830="",D830="",E830="",F830="",G830="",NOT(ISNUMBER(I830))),"Incomplete",IF(COUNTIF(Lists!$H$4:$AA$4,C830)=0,"Check category",IF(COUNTIF(INDEX(Lists!$H$6:$AA$45,0,MATCH(C830,Lists!$H$4:$AA$4,0)),D830)=0,"Check sub-category","OK"))))</f>
        <v/>
      </c>
      <c r="P830">
        <f>IF(ISNUMBER(I830),I830+ROW()/10000000,"")</f>
        <v/>
      </c>
      <c r="Q830">
        <f>IF(AND(ISNUMBER(P830),ISNUMBER(A830)),IF(AND(A830&gt;=Dashboard!$Q$3,A830&lt;=Dashboard!$Q$4,OR(J830&lt;&gt;"Yes",Dashboard!$Q$15="Yes")),P830,""),"")</f>
        <v/>
      </c>
    </row>
    <row r="831">
      <c r="A831" s="47" t="n"/>
      <c r="B831" s="48" t="n"/>
      <c r="C831" s="48" t="n"/>
      <c r="D831" s="48" t="n"/>
      <c r="E831" s="48" t="n"/>
      <c r="F831" s="48" t="n"/>
      <c r="G831" s="48" t="n"/>
      <c r="H831" s="48" t="n"/>
      <c r="I831" s="49" t="n"/>
      <c r="J831" s="50" t="n"/>
      <c r="K831" s="48" t="n"/>
      <c r="L831" s="51">
        <f>IF(A831="","",DATE(YEAR(A831),MONTH(A831),1))</f>
        <v/>
      </c>
      <c r="M831" s="52">
        <f>IF(OR(A831="",NOT(ISNUMBER(I831))),"",IF(G831=Lists!$B$5,I831/2,IF(G831=Lists!$B$6,I831,0)))</f>
        <v/>
      </c>
      <c r="N831" s="52">
        <f>IF(OR(A831="",NOT(ISNUMBER(I831))),"",IF(G831=Lists!$B$5,I831/2,IF(G831=Lists!$B$7,I831,0)))</f>
        <v/>
      </c>
      <c r="O831" s="53">
        <f>IF(COUNTA(A831:K831)=0,"",IF(OR(A831="",B831="",C831="",D831="",E831="",F831="",G831="",NOT(ISNUMBER(I831))),"Incomplete",IF(COUNTIF(Lists!$H$4:$AA$4,C831)=0,"Check category",IF(COUNTIF(INDEX(Lists!$H$6:$AA$45,0,MATCH(C831,Lists!$H$4:$AA$4,0)),D831)=0,"Check sub-category","OK"))))</f>
        <v/>
      </c>
      <c r="P831">
        <f>IF(ISNUMBER(I831),I831+ROW()/10000000,"")</f>
        <v/>
      </c>
      <c r="Q831">
        <f>IF(AND(ISNUMBER(P831),ISNUMBER(A831)),IF(AND(A831&gt;=Dashboard!$Q$3,A831&lt;=Dashboard!$Q$4,OR(J831&lt;&gt;"Yes",Dashboard!$Q$15="Yes")),P831,""),"")</f>
        <v/>
      </c>
    </row>
    <row r="832">
      <c r="A832" s="47" t="n"/>
      <c r="B832" s="48" t="n"/>
      <c r="C832" s="48" t="n"/>
      <c r="D832" s="48" t="n"/>
      <c r="E832" s="48" t="n"/>
      <c r="F832" s="48" t="n"/>
      <c r="G832" s="48" t="n"/>
      <c r="H832" s="48" t="n"/>
      <c r="I832" s="49" t="n"/>
      <c r="J832" s="50" t="n"/>
      <c r="K832" s="48" t="n"/>
      <c r="L832" s="51">
        <f>IF(A832="","",DATE(YEAR(A832),MONTH(A832),1))</f>
        <v/>
      </c>
      <c r="M832" s="52">
        <f>IF(OR(A832="",NOT(ISNUMBER(I832))),"",IF(G832=Lists!$B$5,I832/2,IF(G832=Lists!$B$6,I832,0)))</f>
        <v/>
      </c>
      <c r="N832" s="52">
        <f>IF(OR(A832="",NOT(ISNUMBER(I832))),"",IF(G832=Lists!$B$5,I832/2,IF(G832=Lists!$B$7,I832,0)))</f>
        <v/>
      </c>
      <c r="O832" s="53">
        <f>IF(COUNTA(A832:K832)=0,"",IF(OR(A832="",B832="",C832="",D832="",E832="",F832="",G832="",NOT(ISNUMBER(I832))),"Incomplete",IF(COUNTIF(Lists!$H$4:$AA$4,C832)=0,"Check category",IF(COUNTIF(INDEX(Lists!$H$6:$AA$45,0,MATCH(C832,Lists!$H$4:$AA$4,0)),D832)=0,"Check sub-category","OK"))))</f>
        <v/>
      </c>
      <c r="P832">
        <f>IF(ISNUMBER(I832),I832+ROW()/10000000,"")</f>
        <v/>
      </c>
      <c r="Q832">
        <f>IF(AND(ISNUMBER(P832),ISNUMBER(A832)),IF(AND(A832&gt;=Dashboard!$Q$3,A832&lt;=Dashboard!$Q$4,OR(J832&lt;&gt;"Yes",Dashboard!$Q$15="Yes")),P832,""),"")</f>
        <v/>
      </c>
    </row>
    <row r="833">
      <c r="A833" s="47" t="n"/>
      <c r="B833" s="48" t="n"/>
      <c r="C833" s="48" t="n"/>
      <c r="D833" s="48" t="n"/>
      <c r="E833" s="48" t="n"/>
      <c r="F833" s="48" t="n"/>
      <c r="G833" s="48" t="n"/>
      <c r="H833" s="48" t="n"/>
      <c r="I833" s="49" t="n"/>
      <c r="J833" s="50" t="n"/>
      <c r="K833" s="48" t="n"/>
      <c r="L833" s="51">
        <f>IF(A833="","",DATE(YEAR(A833),MONTH(A833),1))</f>
        <v/>
      </c>
      <c r="M833" s="52">
        <f>IF(OR(A833="",NOT(ISNUMBER(I833))),"",IF(G833=Lists!$B$5,I833/2,IF(G833=Lists!$B$6,I833,0)))</f>
        <v/>
      </c>
      <c r="N833" s="52">
        <f>IF(OR(A833="",NOT(ISNUMBER(I833))),"",IF(G833=Lists!$B$5,I833/2,IF(G833=Lists!$B$7,I833,0)))</f>
        <v/>
      </c>
      <c r="O833" s="53">
        <f>IF(COUNTA(A833:K833)=0,"",IF(OR(A833="",B833="",C833="",D833="",E833="",F833="",G833="",NOT(ISNUMBER(I833))),"Incomplete",IF(COUNTIF(Lists!$H$4:$AA$4,C833)=0,"Check category",IF(COUNTIF(INDEX(Lists!$H$6:$AA$45,0,MATCH(C833,Lists!$H$4:$AA$4,0)),D833)=0,"Check sub-category","OK"))))</f>
        <v/>
      </c>
      <c r="P833">
        <f>IF(ISNUMBER(I833),I833+ROW()/10000000,"")</f>
        <v/>
      </c>
      <c r="Q833">
        <f>IF(AND(ISNUMBER(P833),ISNUMBER(A833)),IF(AND(A833&gt;=Dashboard!$Q$3,A833&lt;=Dashboard!$Q$4,OR(J833&lt;&gt;"Yes",Dashboard!$Q$15="Yes")),P833,""),"")</f>
        <v/>
      </c>
    </row>
    <row r="834">
      <c r="A834" s="47" t="n"/>
      <c r="B834" s="48" t="n"/>
      <c r="C834" s="48" t="n"/>
      <c r="D834" s="48" t="n"/>
      <c r="E834" s="48" t="n"/>
      <c r="F834" s="48" t="n"/>
      <c r="G834" s="48" t="n"/>
      <c r="H834" s="48" t="n"/>
      <c r="I834" s="49" t="n"/>
      <c r="J834" s="50" t="n"/>
      <c r="K834" s="48" t="n"/>
      <c r="L834" s="51">
        <f>IF(A834="","",DATE(YEAR(A834),MONTH(A834),1))</f>
        <v/>
      </c>
      <c r="M834" s="52">
        <f>IF(OR(A834="",NOT(ISNUMBER(I834))),"",IF(G834=Lists!$B$5,I834/2,IF(G834=Lists!$B$6,I834,0)))</f>
        <v/>
      </c>
      <c r="N834" s="52">
        <f>IF(OR(A834="",NOT(ISNUMBER(I834))),"",IF(G834=Lists!$B$5,I834/2,IF(G834=Lists!$B$7,I834,0)))</f>
        <v/>
      </c>
      <c r="O834" s="53">
        <f>IF(COUNTA(A834:K834)=0,"",IF(OR(A834="",B834="",C834="",D834="",E834="",F834="",G834="",NOT(ISNUMBER(I834))),"Incomplete",IF(COUNTIF(Lists!$H$4:$AA$4,C834)=0,"Check category",IF(COUNTIF(INDEX(Lists!$H$6:$AA$45,0,MATCH(C834,Lists!$H$4:$AA$4,0)),D834)=0,"Check sub-category","OK"))))</f>
        <v/>
      </c>
      <c r="P834">
        <f>IF(ISNUMBER(I834),I834+ROW()/10000000,"")</f>
        <v/>
      </c>
      <c r="Q834">
        <f>IF(AND(ISNUMBER(P834),ISNUMBER(A834)),IF(AND(A834&gt;=Dashboard!$Q$3,A834&lt;=Dashboard!$Q$4,OR(J834&lt;&gt;"Yes",Dashboard!$Q$15="Yes")),P834,""),"")</f>
        <v/>
      </c>
    </row>
    <row r="835">
      <c r="A835" s="47" t="n"/>
      <c r="B835" s="48" t="n"/>
      <c r="C835" s="48" t="n"/>
      <c r="D835" s="48" t="n"/>
      <c r="E835" s="48" t="n"/>
      <c r="F835" s="48" t="n"/>
      <c r="G835" s="48" t="n"/>
      <c r="H835" s="48" t="n"/>
      <c r="I835" s="49" t="n"/>
      <c r="J835" s="50" t="n"/>
      <c r="K835" s="48" t="n"/>
      <c r="L835" s="51">
        <f>IF(A835="","",DATE(YEAR(A835),MONTH(A835),1))</f>
        <v/>
      </c>
      <c r="M835" s="52">
        <f>IF(OR(A835="",NOT(ISNUMBER(I835))),"",IF(G835=Lists!$B$5,I835/2,IF(G835=Lists!$B$6,I835,0)))</f>
        <v/>
      </c>
      <c r="N835" s="52">
        <f>IF(OR(A835="",NOT(ISNUMBER(I835))),"",IF(G835=Lists!$B$5,I835/2,IF(G835=Lists!$B$7,I835,0)))</f>
        <v/>
      </c>
      <c r="O835" s="53">
        <f>IF(COUNTA(A835:K835)=0,"",IF(OR(A835="",B835="",C835="",D835="",E835="",F835="",G835="",NOT(ISNUMBER(I835))),"Incomplete",IF(COUNTIF(Lists!$H$4:$AA$4,C835)=0,"Check category",IF(COUNTIF(INDEX(Lists!$H$6:$AA$45,0,MATCH(C835,Lists!$H$4:$AA$4,0)),D835)=0,"Check sub-category","OK"))))</f>
        <v/>
      </c>
      <c r="P835">
        <f>IF(ISNUMBER(I835),I835+ROW()/10000000,"")</f>
        <v/>
      </c>
      <c r="Q835">
        <f>IF(AND(ISNUMBER(P835),ISNUMBER(A835)),IF(AND(A835&gt;=Dashboard!$Q$3,A835&lt;=Dashboard!$Q$4,OR(J835&lt;&gt;"Yes",Dashboard!$Q$15="Yes")),P835,""),"")</f>
        <v/>
      </c>
    </row>
    <row r="836">
      <c r="A836" s="47" t="n"/>
      <c r="B836" s="48" t="n"/>
      <c r="C836" s="48" t="n"/>
      <c r="D836" s="48" t="n"/>
      <c r="E836" s="48" t="n"/>
      <c r="F836" s="48" t="n"/>
      <c r="G836" s="48" t="n"/>
      <c r="H836" s="48" t="n"/>
      <c r="I836" s="49" t="n"/>
      <c r="J836" s="50" t="n"/>
      <c r="K836" s="48" t="n"/>
      <c r="L836" s="51">
        <f>IF(A836="","",DATE(YEAR(A836),MONTH(A836),1))</f>
        <v/>
      </c>
      <c r="M836" s="52">
        <f>IF(OR(A836="",NOT(ISNUMBER(I836))),"",IF(G836=Lists!$B$5,I836/2,IF(G836=Lists!$B$6,I836,0)))</f>
        <v/>
      </c>
      <c r="N836" s="52">
        <f>IF(OR(A836="",NOT(ISNUMBER(I836))),"",IF(G836=Lists!$B$5,I836/2,IF(G836=Lists!$B$7,I836,0)))</f>
        <v/>
      </c>
      <c r="O836" s="53">
        <f>IF(COUNTA(A836:K836)=0,"",IF(OR(A836="",B836="",C836="",D836="",E836="",F836="",G836="",NOT(ISNUMBER(I836))),"Incomplete",IF(COUNTIF(Lists!$H$4:$AA$4,C836)=0,"Check category",IF(COUNTIF(INDEX(Lists!$H$6:$AA$45,0,MATCH(C836,Lists!$H$4:$AA$4,0)),D836)=0,"Check sub-category","OK"))))</f>
        <v/>
      </c>
      <c r="P836">
        <f>IF(ISNUMBER(I836),I836+ROW()/10000000,"")</f>
        <v/>
      </c>
      <c r="Q836">
        <f>IF(AND(ISNUMBER(P836),ISNUMBER(A836)),IF(AND(A836&gt;=Dashboard!$Q$3,A836&lt;=Dashboard!$Q$4,OR(J836&lt;&gt;"Yes",Dashboard!$Q$15="Yes")),P836,""),"")</f>
        <v/>
      </c>
    </row>
    <row r="837">
      <c r="A837" s="47" t="n"/>
      <c r="B837" s="48" t="n"/>
      <c r="C837" s="48" t="n"/>
      <c r="D837" s="48" t="n"/>
      <c r="E837" s="48" t="n"/>
      <c r="F837" s="48" t="n"/>
      <c r="G837" s="48" t="n"/>
      <c r="H837" s="48" t="n"/>
      <c r="I837" s="49" t="n"/>
      <c r="J837" s="50" t="n"/>
      <c r="K837" s="48" t="n"/>
      <c r="L837" s="51">
        <f>IF(A837="","",DATE(YEAR(A837),MONTH(A837),1))</f>
        <v/>
      </c>
      <c r="M837" s="52">
        <f>IF(OR(A837="",NOT(ISNUMBER(I837))),"",IF(G837=Lists!$B$5,I837/2,IF(G837=Lists!$B$6,I837,0)))</f>
        <v/>
      </c>
      <c r="N837" s="52">
        <f>IF(OR(A837="",NOT(ISNUMBER(I837))),"",IF(G837=Lists!$B$5,I837/2,IF(G837=Lists!$B$7,I837,0)))</f>
        <v/>
      </c>
      <c r="O837" s="53">
        <f>IF(COUNTA(A837:K837)=0,"",IF(OR(A837="",B837="",C837="",D837="",E837="",F837="",G837="",NOT(ISNUMBER(I837))),"Incomplete",IF(COUNTIF(Lists!$H$4:$AA$4,C837)=0,"Check category",IF(COUNTIF(INDEX(Lists!$H$6:$AA$45,0,MATCH(C837,Lists!$H$4:$AA$4,0)),D837)=0,"Check sub-category","OK"))))</f>
        <v/>
      </c>
      <c r="P837">
        <f>IF(ISNUMBER(I837),I837+ROW()/10000000,"")</f>
        <v/>
      </c>
      <c r="Q837">
        <f>IF(AND(ISNUMBER(P837),ISNUMBER(A837)),IF(AND(A837&gt;=Dashboard!$Q$3,A837&lt;=Dashboard!$Q$4,OR(J837&lt;&gt;"Yes",Dashboard!$Q$15="Yes")),P837,""),"")</f>
        <v/>
      </c>
    </row>
    <row r="838">
      <c r="A838" s="47" t="n"/>
      <c r="B838" s="48" t="n"/>
      <c r="C838" s="48" t="n"/>
      <c r="D838" s="48" t="n"/>
      <c r="E838" s="48" t="n"/>
      <c r="F838" s="48" t="n"/>
      <c r="G838" s="48" t="n"/>
      <c r="H838" s="48" t="n"/>
      <c r="I838" s="49" t="n"/>
      <c r="J838" s="50" t="n"/>
      <c r="K838" s="48" t="n"/>
      <c r="L838" s="51">
        <f>IF(A838="","",DATE(YEAR(A838),MONTH(A838),1))</f>
        <v/>
      </c>
      <c r="M838" s="52">
        <f>IF(OR(A838="",NOT(ISNUMBER(I838))),"",IF(G838=Lists!$B$5,I838/2,IF(G838=Lists!$B$6,I838,0)))</f>
        <v/>
      </c>
      <c r="N838" s="52">
        <f>IF(OR(A838="",NOT(ISNUMBER(I838))),"",IF(G838=Lists!$B$5,I838/2,IF(G838=Lists!$B$7,I838,0)))</f>
        <v/>
      </c>
      <c r="O838" s="53">
        <f>IF(COUNTA(A838:K838)=0,"",IF(OR(A838="",B838="",C838="",D838="",E838="",F838="",G838="",NOT(ISNUMBER(I838))),"Incomplete",IF(COUNTIF(Lists!$H$4:$AA$4,C838)=0,"Check category",IF(COUNTIF(INDEX(Lists!$H$6:$AA$45,0,MATCH(C838,Lists!$H$4:$AA$4,0)),D838)=0,"Check sub-category","OK"))))</f>
        <v/>
      </c>
      <c r="P838">
        <f>IF(ISNUMBER(I838),I838+ROW()/10000000,"")</f>
        <v/>
      </c>
      <c r="Q838">
        <f>IF(AND(ISNUMBER(P838),ISNUMBER(A838)),IF(AND(A838&gt;=Dashboard!$Q$3,A838&lt;=Dashboard!$Q$4,OR(J838&lt;&gt;"Yes",Dashboard!$Q$15="Yes")),P838,""),"")</f>
        <v/>
      </c>
    </row>
    <row r="839">
      <c r="A839" s="47" t="n"/>
      <c r="B839" s="48" t="n"/>
      <c r="C839" s="48" t="n"/>
      <c r="D839" s="48" t="n"/>
      <c r="E839" s="48" t="n"/>
      <c r="F839" s="48" t="n"/>
      <c r="G839" s="48" t="n"/>
      <c r="H839" s="48" t="n"/>
      <c r="I839" s="49" t="n"/>
      <c r="J839" s="50" t="n"/>
      <c r="K839" s="48" t="n"/>
      <c r="L839" s="51">
        <f>IF(A839="","",DATE(YEAR(A839),MONTH(A839),1))</f>
        <v/>
      </c>
      <c r="M839" s="52">
        <f>IF(OR(A839="",NOT(ISNUMBER(I839))),"",IF(G839=Lists!$B$5,I839/2,IF(G839=Lists!$B$6,I839,0)))</f>
        <v/>
      </c>
      <c r="N839" s="52">
        <f>IF(OR(A839="",NOT(ISNUMBER(I839))),"",IF(G839=Lists!$B$5,I839/2,IF(G839=Lists!$B$7,I839,0)))</f>
        <v/>
      </c>
      <c r="O839" s="53">
        <f>IF(COUNTA(A839:K839)=0,"",IF(OR(A839="",B839="",C839="",D839="",E839="",F839="",G839="",NOT(ISNUMBER(I839))),"Incomplete",IF(COUNTIF(Lists!$H$4:$AA$4,C839)=0,"Check category",IF(COUNTIF(INDEX(Lists!$H$6:$AA$45,0,MATCH(C839,Lists!$H$4:$AA$4,0)),D839)=0,"Check sub-category","OK"))))</f>
        <v/>
      </c>
      <c r="P839">
        <f>IF(ISNUMBER(I839),I839+ROW()/10000000,"")</f>
        <v/>
      </c>
      <c r="Q839">
        <f>IF(AND(ISNUMBER(P839),ISNUMBER(A839)),IF(AND(A839&gt;=Dashboard!$Q$3,A839&lt;=Dashboard!$Q$4,OR(J839&lt;&gt;"Yes",Dashboard!$Q$15="Yes")),P839,""),"")</f>
        <v/>
      </c>
    </row>
    <row r="840">
      <c r="A840" s="47" t="n"/>
      <c r="B840" s="48" t="n"/>
      <c r="C840" s="48" t="n"/>
      <c r="D840" s="48" t="n"/>
      <c r="E840" s="48" t="n"/>
      <c r="F840" s="48" t="n"/>
      <c r="G840" s="48" t="n"/>
      <c r="H840" s="48" t="n"/>
      <c r="I840" s="49" t="n"/>
      <c r="J840" s="50" t="n"/>
      <c r="K840" s="48" t="n"/>
      <c r="L840" s="51">
        <f>IF(A840="","",DATE(YEAR(A840),MONTH(A840),1))</f>
        <v/>
      </c>
      <c r="M840" s="52">
        <f>IF(OR(A840="",NOT(ISNUMBER(I840))),"",IF(G840=Lists!$B$5,I840/2,IF(G840=Lists!$B$6,I840,0)))</f>
        <v/>
      </c>
      <c r="N840" s="52">
        <f>IF(OR(A840="",NOT(ISNUMBER(I840))),"",IF(G840=Lists!$B$5,I840/2,IF(G840=Lists!$B$7,I840,0)))</f>
        <v/>
      </c>
      <c r="O840" s="53">
        <f>IF(COUNTA(A840:K840)=0,"",IF(OR(A840="",B840="",C840="",D840="",E840="",F840="",G840="",NOT(ISNUMBER(I840))),"Incomplete",IF(COUNTIF(Lists!$H$4:$AA$4,C840)=0,"Check category",IF(COUNTIF(INDEX(Lists!$H$6:$AA$45,0,MATCH(C840,Lists!$H$4:$AA$4,0)),D840)=0,"Check sub-category","OK"))))</f>
        <v/>
      </c>
      <c r="P840">
        <f>IF(ISNUMBER(I840),I840+ROW()/10000000,"")</f>
        <v/>
      </c>
      <c r="Q840">
        <f>IF(AND(ISNUMBER(P840),ISNUMBER(A840)),IF(AND(A840&gt;=Dashboard!$Q$3,A840&lt;=Dashboard!$Q$4,OR(J840&lt;&gt;"Yes",Dashboard!$Q$15="Yes")),P840,""),"")</f>
        <v/>
      </c>
    </row>
    <row r="841">
      <c r="A841" s="47" t="n"/>
      <c r="B841" s="48" t="n"/>
      <c r="C841" s="48" t="n"/>
      <c r="D841" s="48" t="n"/>
      <c r="E841" s="48" t="n"/>
      <c r="F841" s="48" t="n"/>
      <c r="G841" s="48" t="n"/>
      <c r="H841" s="48" t="n"/>
      <c r="I841" s="49" t="n"/>
      <c r="J841" s="50" t="n"/>
      <c r="K841" s="48" t="n"/>
      <c r="L841" s="51">
        <f>IF(A841="","",DATE(YEAR(A841),MONTH(A841),1))</f>
        <v/>
      </c>
      <c r="M841" s="52">
        <f>IF(OR(A841="",NOT(ISNUMBER(I841))),"",IF(G841=Lists!$B$5,I841/2,IF(G841=Lists!$B$6,I841,0)))</f>
        <v/>
      </c>
      <c r="N841" s="52">
        <f>IF(OR(A841="",NOT(ISNUMBER(I841))),"",IF(G841=Lists!$B$5,I841/2,IF(G841=Lists!$B$7,I841,0)))</f>
        <v/>
      </c>
      <c r="O841" s="53">
        <f>IF(COUNTA(A841:K841)=0,"",IF(OR(A841="",B841="",C841="",D841="",E841="",F841="",G841="",NOT(ISNUMBER(I841))),"Incomplete",IF(COUNTIF(Lists!$H$4:$AA$4,C841)=0,"Check category",IF(COUNTIF(INDEX(Lists!$H$6:$AA$45,0,MATCH(C841,Lists!$H$4:$AA$4,0)),D841)=0,"Check sub-category","OK"))))</f>
        <v/>
      </c>
      <c r="P841">
        <f>IF(ISNUMBER(I841),I841+ROW()/10000000,"")</f>
        <v/>
      </c>
      <c r="Q841">
        <f>IF(AND(ISNUMBER(P841),ISNUMBER(A841)),IF(AND(A841&gt;=Dashboard!$Q$3,A841&lt;=Dashboard!$Q$4,OR(J841&lt;&gt;"Yes",Dashboard!$Q$15="Yes")),P841,""),"")</f>
        <v/>
      </c>
    </row>
    <row r="842">
      <c r="A842" s="47" t="n"/>
      <c r="B842" s="48" t="n"/>
      <c r="C842" s="48" t="n"/>
      <c r="D842" s="48" t="n"/>
      <c r="E842" s="48" t="n"/>
      <c r="F842" s="48" t="n"/>
      <c r="G842" s="48" t="n"/>
      <c r="H842" s="48" t="n"/>
      <c r="I842" s="49" t="n"/>
      <c r="J842" s="50" t="n"/>
      <c r="K842" s="48" t="n"/>
      <c r="L842" s="51">
        <f>IF(A842="","",DATE(YEAR(A842),MONTH(A842),1))</f>
        <v/>
      </c>
      <c r="M842" s="52">
        <f>IF(OR(A842="",NOT(ISNUMBER(I842))),"",IF(G842=Lists!$B$5,I842/2,IF(G842=Lists!$B$6,I842,0)))</f>
        <v/>
      </c>
      <c r="N842" s="52">
        <f>IF(OR(A842="",NOT(ISNUMBER(I842))),"",IF(G842=Lists!$B$5,I842/2,IF(G842=Lists!$B$7,I842,0)))</f>
        <v/>
      </c>
      <c r="O842" s="53">
        <f>IF(COUNTA(A842:K842)=0,"",IF(OR(A842="",B842="",C842="",D842="",E842="",F842="",G842="",NOT(ISNUMBER(I842))),"Incomplete",IF(COUNTIF(Lists!$H$4:$AA$4,C842)=0,"Check category",IF(COUNTIF(INDEX(Lists!$H$6:$AA$45,0,MATCH(C842,Lists!$H$4:$AA$4,0)),D842)=0,"Check sub-category","OK"))))</f>
        <v/>
      </c>
      <c r="P842">
        <f>IF(ISNUMBER(I842),I842+ROW()/10000000,"")</f>
        <v/>
      </c>
      <c r="Q842">
        <f>IF(AND(ISNUMBER(P842),ISNUMBER(A842)),IF(AND(A842&gt;=Dashboard!$Q$3,A842&lt;=Dashboard!$Q$4,OR(J842&lt;&gt;"Yes",Dashboard!$Q$15="Yes")),P842,""),"")</f>
        <v/>
      </c>
    </row>
    <row r="843">
      <c r="A843" s="47" t="n"/>
      <c r="B843" s="48" t="n"/>
      <c r="C843" s="48" t="n"/>
      <c r="D843" s="48" t="n"/>
      <c r="E843" s="48" t="n"/>
      <c r="F843" s="48" t="n"/>
      <c r="G843" s="48" t="n"/>
      <c r="H843" s="48" t="n"/>
      <c r="I843" s="49" t="n"/>
      <c r="J843" s="50" t="n"/>
      <c r="K843" s="48" t="n"/>
      <c r="L843" s="51">
        <f>IF(A843="","",DATE(YEAR(A843),MONTH(A843),1))</f>
        <v/>
      </c>
      <c r="M843" s="52">
        <f>IF(OR(A843="",NOT(ISNUMBER(I843))),"",IF(G843=Lists!$B$5,I843/2,IF(G843=Lists!$B$6,I843,0)))</f>
        <v/>
      </c>
      <c r="N843" s="52">
        <f>IF(OR(A843="",NOT(ISNUMBER(I843))),"",IF(G843=Lists!$B$5,I843/2,IF(G843=Lists!$B$7,I843,0)))</f>
        <v/>
      </c>
      <c r="O843" s="53">
        <f>IF(COUNTA(A843:K843)=0,"",IF(OR(A843="",B843="",C843="",D843="",E843="",F843="",G843="",NOT(ISNUMBER(I843))),"Incomplete",IF(COUNTIF(Lists!$H$4:$AA$4,C843)=0,"Check category",IF(COUNTIF(INDEX(Lists!$H$6:$AA$45,0,MATCH(C843,Lists!$H$4:$AA$4,0)),D843)=0,"Check sub-category","OK"))))</f>
        <v/>
      </c>
      <c r="P843">
        <f>IF(ISNUMBER(I843),I843+ROW()/10000000,"")</f>
        <v/>
      </c>
      <c r="Q843">
        <f>IF(AND(ISNUMBER(P843),ISNUMBER(A843)),IF(AND(A843&gt;=Dashboard!$Q$3,A843&lt;=Dashboard!$Q$4,OR(J843&lt;&gt;"Yes",Dashboard!$Q$15="Yes")),P843,""),"")</f>
        <v/>
      </c>
    </row>
    <row r="844">
      <c r="A844" s="47" t="n"/>
      <c r="B844" s="48" t="n"/>
      <c r="C844" s="48" t="n"/>
      <c r="D844" s="48" t="n"/>
      <c r="E844" s="48" t="n"/>
      <c r="F844" s="48" t="n"/>
      <c r="G844" s="48" t="n"/>
      <c r="H844" s="48" t="n"/>
      <c r="I844" s="49" t="n"/>
      <c r="J844" s="50" t="n"/>
      <c r="K844" s="48" t="n"/>
      <c r="L844" s="51">
        <f>IF(A844="","",DATE(YEAR(A844),MONTH(A844),1))</f>
        <v/>
      </c>
      <c r="M844" s="52">
        <f>IF(OR(A844="",NOT(ISNUMBER(I844))),"",IF(G844=Lists!$B$5,I844/2,IF(G844=Lists!$B$6,I844,0)))</f>
        <v/>
      </c>
      <c r="N844" s="52">
        <f>IF(OR(A844="",NOT(ISNUMBER(I844))),"",IF(G844=Lists!$B$5,I844/2,IF(G844=Lists!$B$7,I844,0)))</f>
        <v/>
      </c>
      <c r="O844" s="53">
        <f>IF(COUNTA(A844:K844)=0,"",IF(OR(A844="",B844="",C844="",D844="",E844="",F844="",G844="",NOT(ISNUMBER(I844))),"Incomplete",IF(COUNTIF(Lists!$H$4:$AA$4,C844)=0,"Check category",IF(COUNTIF(INDEX(Lists!$H$6:$AA$45,0,MATCH(C844,Lists!$H$4:$AA$4,0)),D844)=0,"Check sub-category","OK"))))</f>
        <v/>
      </c>
      <c r="P844">
        <f>IF(ISNUMBER(I844),I844+ROW()/10000000,"")</f>
        <v/>
      </c>
      <c r="Q844">
        <f>IF(AND(ISNUMBER(P844),ISNUMBER(A844)),IF(AND(A844&gt;=Dashboard!$Q$3,A844&lt;=Dashboard!$Q$4,OR(J844&lt;&gt;"Yes",Dashboard!$Q$15="Yes")),P844,""),"")</f>
        <v/>
      </c>
    </row>
    <row r="845">
      <c r="A845" s="47" t="n"/>
      <c r="B845" s="48" t="n"/>
      <c r="C845" s="48" t="n"/>
      <c r="D845" s="48" t="n"/>
      <c r="E845" s="48" t="n"/>
      <c r="F845" s="48" t="n"/>
      <c r="G845" s="48" t="n"/>
      <c r="H845" s="48" t="n"/>
      <c r="I845" s="49" t="n"/>
      <c r="J845" s="50" t="n"/>
      <c r="K845" s="48" t="n"/>
      <c r="L845" s="51">
        <f>IF(A845="","",DATE(YEAR(A845),MONTH(A845),1))</f>
        <v/>
      </c>
      <c r="M845" s="52">
        <f>IF(OR(A845="",NOT(ISNUMBER(I845))),"",IF(G845=Lists!$B$5,I845/2,IF(G845=Lists!$B$6,I845,0)))</f>
        <v/>
      </c>
      <c r="N845" s="52">
        <f>IF(OR(A845="",NOT(ISNUMBER(I845))),"",IF(G845=Lists!$B$5,I845/2,IF(G845=Lists!$B$7,I845,0)))</f>
        <v/>
      </c>
      <c r="O845" s="53">
        <f>IF(COUNTA(A845:K845)=0,"",IF(OR(A845="",B845="",C845="",D845="",E845="",F845="",G845="",NOT(ISNUMBER(I845))),"Incomplete",IF(COUNTIF(Lists!$H$4:$AA$4,C845)=0,"Check category",IF(COUNTIF(INDEX(Lists!$H$6:$AA$45,0,MATCH(C845,Lists!$H$4:$AA$4,0)),D845)=0,"Check sub-category","OK"))))</f>
        <v/>
      </c>
      <c r="P845">
        <f>IF(ISNUMBER(I845),I845+ROW()/10000000,"")</f>
        <v/>
      </c>
      <c r="Q845">
        <f>IF(AND(ISNUMBER(P845),ISNUMBER(A845)),IF(AND(A845&gt;=Dashboard!$Q$3,A845&lt;=Dashboard!$Q$4,OR(J845&lt;&gt;"Yes",Dashboard!$Q$15="Yes")),P845,""),"")</f>
        <v/>
      </c>
    </row>
    <row r="846">
      <c r="A846" s="47" t="n"/>
      <c r="B846" s="48" t="n"/>
      <c r="C846" s="48" t="n"/>
      <c r="D846" s="48" t="n"/>
      <c r="E846" s="48" t="n"/>
      <c r="F846" s="48" t="n"/>
      <c r="G846" s="48" t="n"/>
      <c r="H846" s="48" t="n"/>
      <c r="I846" s="49" t="n"/>
      <c r="J846" s="50" t="n"/>
      <c r="K846" s="48" t="n"/>
      <c r="L846" s="51">
        <f>IF(A846="","",DATE(YEAR(A846),MONTH(A846),1))</f>
        <v/>
      </c>
      <c r="M846" s="52">
        <f>IF(OR(A846="",NOT(ISNUMBER(I846))),"",IF(G846=Lists!$B$5,I846/2,IF(G846=Lists!$B$6,I846,0)))</f>
        <v/>
      </c>
      <c r="N846" s="52">
        <f>IF(OR(A846="",NOT(ISNUMBER(I846))),"",IF(G846=Lists!$B$5,I846/2,IF(G846=Lists!$B$7,I846,0)))</f>
        <v/>
      </c>
      <c r="O846" s="53">
        <f>IF(COUNTA(A846:K846)=0,"",IF(OR(A846="",B846="",C846="",D846="",E846="",F846="",G846="",NOT(ISNUMBER(I846))),"Incomplete",IF(COUNTIF(Lists!$H$4:$AA$4,C846)=0,"Check category",IF(COUNTIF(INDEX(Lists!$H$6:$AA$45,0,MATCH(C846,Lists!$H$4:$AA$4,0)),D846)=0,"Check sub-category","OK"))))</f>
        <v/>
      </c>
      <c r="P846">
        <f>IF(ISNUMBER(I846),I846+ROW()/10000000,"")</f>
        <v/>
      </c>
      <c r="Q846">
        <f>IF(AND(ISNUMBER(P846),ISNUMBER(A846)),IF(AND(A846&gt;=Dashboard!$Q$3,A846&lt;=Dashboard!$Q$4,OR(J846&lt;&gt;"Yes",Dashboard!$Q$15="Yes")),P846,""),"")</f>
        <v/>
      </c>
    </row>
    <row r="847">
      <c r="A847" s="47" t="n"/>
      <c r="B847" s="48" t="n"/>
      <c r="C847" s="48" t="n"/>
      <c r="D847" s="48" t="n"/>
      <c r="E847" s="48" t="n"/>
      <c r="F847" s="48" t="n"/>
      <c r="G847" s="48" t="n"/>
      <c r="H847" s="48" t="n"/>
      <c r="I847" s="49" t="n"/>
      <c r="J847" s="50" t="n"/>
      <c r="K847" s="48" t="n"/>
      <c r="L847" s="51">
        <f>IF(A847="","",DATE(YEAR(A847),MONTH(A847),1))</f>
        <v/>
      </c>
      <c r="M847" s="52">
        <f>IF(OR(A847="",NOT(ISNUMBER(I847))),"",IF(G847=Lists!$B$5,I847/2,IF(G847=Lists!$B$6,I847,0)))</f>
        <v/>
      </c>
      <c r="N847" s="52">
        <f>IF(OR(A847="",NOT(ISNUMBER(I847))),"",IF(G847=Lists!$B$5,I847/2,IF(G847=Lists!$B$7,I847,0)))</f>
        <v/>
      </c>
      <c r="O847" s="53">
        <f>IF(COUNTA(A847:K847)=0,"",IF(OR(A847="",B847="",C847="",D847="",E847="",F847="",G847="",NOT(ISNUMBER(I847))),"Incomplete",IF(COUNTIF(Lists!$H$4:$AA$4,C847)=0,"Check category",IF(COUNTIF(INDEX(Lists!$H$6:$AA$45,0,MATCH(C847,Lists!$H$4:$AA$4,0)),D847)=0,"Check sub-category","OK"))))</f>
        <v/>
      </c>
      <c r="P847">
        <f>IF(ISNUMBER(I847),I847+ROW()/10000000,"")</f>
        <v/>
      </c>
      <c r="Q847">
        <f>IF(AND(ISNUMBER(P847),ISNUMBER(A847)),IF(AND(A847&gt;=Dashboard!$Q$3,A847&lt;=Dashboard!$Q$4,OR(J847&lt;&gt;"Yes",Dashboard!$Q$15="Yes")),P847,""),"")</f>
        <v/>
      </c>
    </row>
    <row r="848">
      <c r="A848" s="47" t="n"/>
      <c r="B848" s="48" t="n"/>
      <c r="C848" s="48" t="n"/>
      <c r="D848" s="48" t="n"/>
      <c r="E848" s="48" t="n"/>
      <c r="F848" s="48" t="n"/>
      <c r="G848" s="48" t="n"/>
      <c r="H848" s="48" t="n"/>
      <c r="I848" s="49" t="n"/>
      <c r="J848" s="50" t="n"/>
      <c r="K848" s="48" t="n"/>
      <c r="L848" s="51">
        <f>IF(A848="","",DATE(YEAR(A848),MONTH(A848),1))</f>
        <v/>
      </c>
      <c r="M848" s="52">
        <f>IF(OR(A848="",NOT(ISNUMBER(I848))),"",IF(G848=Lists!$B$5,I848/2,IF(G848=Lists!$B$6,I848,0)))</f>
        <v/>
      </c>
      <c r="N848" s="52">
        <f>IF(OR(A848="",NOT(ISNUMBER(I848))),"",IF(G848=Lists!$B$5,I848/2,IF(G848=Lists!$B$7,I848,0)))</f>
        <v/>
      </c>
      <c r="O848" s="53">
        <f>IF(COUNTA(A848:K848)=0,"",IF(OR(A848="",B848="",C848="",D848="",E848="",F848="",G848="",NOT(ISNUMBER(I848))),"Incomplete",IF(COUNTIF(Lists!$H$4:$AA$4,C848)=0,"Check category",IF(COUNTIF(INDEX(Lists!$H$6:$AA$45,0,MATCH(C848,Lists!$H$4:$AA$4,0)),D848)=0,"Check sub-category","OK"))))</f>
        <v/>
      </c>
      <c r="P848">
        <f>IF(ISNUMBER(I848),I848+ROW()/10000000,"")</f>
        <v/>
      </c>
      <c r="Q848">
        <f>IF(AND(ISNUMBER(P848),ISNUMBER(A848)),IF(AND(A848&gt;=Dashboard!$Q$3,A848&lt;=Dashboard!$Q$4,OR(J848&lt;&gt;"Yes",Dashboard!$Q$15="Yes")),P848,""),"")</f>
        <v/>
      </c>
    </row>
    <row r="849">
      <c r="A849" s="47" t="n"/>
      <c r="B849" s="48" t="n"/>
      <c r="C849" s="48" t="n"/>
      <c r="D849" s="48" t="n"/>
      <c r="E849" s="48" t="n"/>
      <c r="F849" s="48" t="n"/>
      <c r="G849" s="48" t="n"/>
      <c r="H849" s="48" t="n"/>
      <c r="I849" s="49" t="n"/>
      <c r="J849" s="50" t="n"/>
      <c r="K849" s="48" t="n"/>
      <c r="L849" s="51">
        <f>IF(A849="","",DATE(YEAR(A849),MONTH(A849),1))</f>
        <v/>
      </c>
      <c r="M849" s="52">
        <f>IF(OR(A849="",NOT(ISNUMBER(I849))),"",IF(G849=Lists!$B$5,I849/2,IF(G849=Lists!$B$6,I849,0)))</f>
        <v/>
      </c>
      <c r="N849" s="52">
        <f>IF(OR(A849="",NOT(ISNUMBER(I849))),"",IF(G849=Lists!$B$5,I849/2,IF(G849=Lists!$B$7,I849,0)))</f>
        <v/>
      </c>
      <c r="O849" s="53">
        <f>IF(COUNTA(A849:K849)=0,"",IF(OR(A849="",B849="",C849="",D849="",E849="",F849="",G849="",NOT(ISNUMBER(I849))),"Incomplete",IF(COUNTIF(Lists!$H$4:$AA$4,C849)=0,"Check category",IF(COUNTIF(INDEX(Lists!$H$6:$AA$45,0,MATCH(C849,Lists!$H$4:$AA$4,0)),D849)=0,"Check sub-category","OK"))))</f>
        <v/>
      </c>
      <c r="P849">
        <f>IF(ISNUMBER(I849),I849+ROW()/10000000,"")</f>
        <v/>
      </c>
      <c r="Q849">
        <f>IF(AND(ISNUMBER(P849),ISNUMBER(A849)),IF(AND(A849&gt;=Dashboard!$Q$3,A849&lt;=Dashboard!$Q$4,OR(J849&lt;&gt;"Yes",Dashboard!$Q$15="Yes")),P849,""),"")</f>
        <v/>
      </c>
    </row>
    <row r="850">
      <c r="A850" s="47" t="n"/>
      <c r="B850" s="48" t="n"/>
      <c r="C850" s="48" t="n"/>
      <c r="D850" s="48" t="n"/>
      <c r="E850" s="48" t="n"/>
      <c r="F850" s="48" t="n"/>
      <c r="G850" s="48" t="n"/>
      <c r="H850" s="48" t="n"/>
      <c r="I850" s="49" t="n"/>
      <c r="J850" s="50" t="n"/>
      <c r="K850" s="48" t="n"/>
      <c r="L850" s="51">
        <f>IF(A850="","",DATE(YEAR(A850),MONTH(A850),1))</f>
        <v/>
      </c>
      <c r="M850" s="52">
        <f>IF(OR(A850="",NOT(ISNUMBER(I850))),"",IF(G850=Lists!$B$5,I850/2,IF(G850=Lists!$B$6,I850,0)))</f>
        <v/>
      </c>
      <c r="N850" s="52">
        <f>IF(OR(A850="",NOT(ISNUMBER(I850))),"",IF(G850=Lists!$B$5,I850/2,IF(G850=Lists!$B$7,I850,0)))</f>
        <v/>
      </c>
      <c r="O850" s="53">
        <f>IF(COUNTA(A850:K850)=0,"",IF(OR(A850="",B850="",C850="",D850="",E850="",F850="",G850="",NOT(ISNUMBER(I850))),"Incomplete",IF(COUNTIF(Lists!$H$4:$AA$4,C850)=0,"Check category",IF(COUNTIF(INDEX(Lists!$H$6:$AA$45,0,MATCH(C850,Lists!$H$4:$AA$4,0)),D850)=0,"Check sub-category","OK"))))</f>
        <v/>
      </c>
      <c r="P850">
        <f>IF(ISNUMBER(I850),I850+ROW()/10000000,"")</f>
        <v/>
      </c>
      <c r="Q850">
        <f>IF(AND(ISNUMBER(P850),ISNUMBER(A850)),IF(AND(A850&gt;=Dashboard!$Q$3,A850&lt;=Dashboard!$Q$4,OR(J850&lt;&gt;"Yes",Dashboard!$Q$15="Yes")),P850,""),"")</f>
        <v/>
      </c>
    </row>
    <row r="851">
      <c r="A851" s="47" t="n"/>
      <c r="B851" s="48" t="n"/>
      <c r="C851" s="48" t="n"/>
      <c r="D851" s="48" t="n"/>
      <c r="E851" s="48" t="n"/>
      <c r="F851" s="48" t="n"/>
      <c r="G851" s="48" t="n"/>
      <c r="H851" s="48" t="n"/>
      <c r="I851" s="49" t="n"/>
      <c r="J851" s="50" t="n"/>
      <c r="K851" s="48" t="n"/>
      <c r="L851" s="51">
        <f>IF(A851="","",DATE(YEAR(A851),MONTH(A851),1))</f>
        <v/>
      </c>
      <c r="M851" s="52">
        <f>IF(OR(A851="",NOT(ISNUMBER(I851))),"",IF(G851=Lists!$B$5,I851/2,IF(G851=Lists!$B$6,I851,0)))</f>
        <v/>
      </c>
      <c r="N851" s="52">
        <f>IF(OR(A851="",NOT(ISNUMBER(I851))),"",IF(G851=Lists!$B$5,I851/2,IF(G851=Lists!$B$7,I851,0)))</f>
        <v/>
      </c>
      <c r="O851" s="53">
        <f>IF(COUNTA(A851:K851)=0,"",IF(OR(A851="",B851="",C851="",D851="",E851="",F851="",G851="",NOT(ISNUMBER(I851))),"Incomplete",IF(COUNTIF(Lists!$H$4:$AA$4,C851)=0,"Check category",IF(COUNTIF(INDEX(Lists!$H$6:$AA$45,0,MATCH(C851,Lists!$H$4:$AA$4,0)),D851)=0,"Check sub-category","OK"))))</f>
        <v/>
      </c>
      <c r="P851">
        <f>IF(ISNUMBER(I851),I851+ROW()/10000000,"")</f>
        <v/>
      </c>
      <c r="Q851">
        <f>IF(AND(ISNUMBER(P851),ISNUMBER(A851)),IF(AND(A851&gt;=Dashboard!$Q$3,A851&lt;=Dashboard!$Q$4,OR(J851&lt;&gt;"Yes",Dashboard!$Q$15="Yes")),P851,""),"")</f>
        <v/>
      </c>
    </row>
    <row r="852">
      <c r="A852" s="47" t="n"/>
      <c r="B852" s="48" t="n"/>
      <c r="C852" s="48" t="n"/>
      <c r="D852" s="48" t="n"/>
      <c r="E852" s="48" t="n"/>
      <c r="F852" s="48" t="n"/>
      <c r="G852" s="48" t="n"/>
      <c r="H852" s="48" t="n"/>
      <c r="I852" s="49" t="n"/>
      <c r="J852" s="50" t="n"/>
      <c r="K852" s="48" t="n"/>
      <c r="L852" s="51">
        <f>IF(A852="","",DATE(YEAR(A852),MONTH(A852),1))</f>
        <v/>
      </c>
      <c r="M852" s="52">
        <f>IF(OR(A852="",NOT(ISNUMBER(I852))),"",IF(G852=Lists!$B$5,I852/2,IF(G852=Lists!$B$6,I852,0)))</f>
        <v/>
      </c>
      <c r="N852" s="52">
        <f>IF(OR(A852="",NOT(ISNUMBER(I852))),"",IF(G852=Lists!$B$5,I852/2,IF(G852=Lists!$B$7,I852,0)))</f>
        <v/>
      </c>
      <c r="O852" s="53">
        <f>IF(COUNTA(A852:K852)=0,"",IF(OR(A852="",B852="",C852="",D852="",E852="",F852="",G852="",NOT(ISNUMBER(I852))),"Incomplete",IF(COUNTIF(Lists!$H$4:$AA$4,C852)=0,"Check category",IF(COUNTIF(INDEX(Lists!$H$6:$AA$45,0,MATCH(C852,Lists!$H$4:$AA$4,0)),D852)=0,"Check sub-category","OK"))))</f>
        <v/>
      </c>
      <c r="P852">
        <f>IF(ISNUMBER(I852),I852+ROW()/10000000,"")</f>
        <v/>
      </c>
      <c r="Q852">
        <f>IF(AND(ISNUMBER(P852),ISNUMBER(A852)),IF(AND(A852&gt;=Dashboard!$Q$3,A852&lt;=Dashboard!$Q$4,OR(J852&lt;&gt;"Yes",Dashboard!$Q$15="Yes")),P852,""),"")</f>
        <v/>
      </c>
    </row>
    <row r="853">
      <c r="A853" s="47" t="n"/>
      <c r="B853" s="48" t="n"/>
      <c r="C853" s="48" t="n"/>
      <c r="D853" s="48" t="n"/>
      <c r="E853" s="48" t="n"/>
      <c r="F853" s="48" t="n"/>
      <c r="G853" s="48" t="n"/>
      <c r="H853" s="48" t="n"/>
      <c r="I853" s="49" t="n"/>
      <c r="J853" s="50" t="n"/>
      <c r="K853" s="48" t="n"/>
      <c r="L853" s="51">
        <f>IF(A853="","",DATE(YEAR(A853),MONTH(A853),1))</f>
        <v/>
      </c>
      <c r="M853" s="52">
        <f>IF(OR(A853="",NOT(ISNUMBER(I853))),"",IF(G853=Lists!$B$5,I853/2,IF(G853=Lists!$B$6,I853,0)))</f>
        <v/>
      </c>
      <c r="N853" s="52">
        <f>IF(OR(A853="",NOT(ISNUMBER(I853))),"",IF(G853=Lists!$B$5,I853/2,IF(G853=Lists!$B$7,I853,0)))</f>
        <v/>
      </c>
      <c r="O853" s="53">
        <f>IF(COUNTA(A853:K853)=0,"",IF(OR(A853="",B853="",C853="",D853="",E853="",F853="",G853="",NOT(ISNUMBER(I853))),"Incomplete",IF(COUNTIF(Lists!$H$4:$AA$4,C853)=0,"Check category",IF(COUNTIF(INDEX(Lists!$H$6:$AA$45,0,MATCH(C853,Lists!$H$4:$AA$4,0)),D853)=0,"Check sub-category","OK"))))</f>
        <v/>
      </c>
      <c r="P853">
        <f>IF(ISNUMBER(I853),I853+ROW()/10000000,"")</f>
        <v/>
      </c>
      <c r="Q853">
        <f>IF(AND(ISNUMBER(P853),ISNUMBER(A853)),IF(AND(A853&gt;=Dashboard!$Q$3,A853&lt;=Dashboard!$Q$4,OR(J853&lt;&gt;"Yes",Dashboard!$Q$15="Yes")),P853,""),"")</f>
        <v/>
      </c>
    </row>
    <row r="854">
      <c r="A854" s="47" t="n"/>
      <c r="B854" s="48" t="n"/>
      <c r="C854" s="48" t="n"/>
      <c r="D854" s="48" t="n"/>
      <c r="E854" s="48" t="n"/>
      <c r="F854" s="48" t="n"/>
      <c r="G854" s="48" t="n"/>
      <c r="H854" s="48" t="n"/>
      <c r="I854" s="49" t="n"/>
      <c r="J854" s="50" t="n"/>
      <c r="K854" s="48" t="n"/>
      <c r="L854" s="51">
        <f>IF(A854="","",DATE(YEAR(A854),MONTH(A854),1))</f>
        <v/>
      </c>
      <c r="M854" s="52">
        <f>IF(OR(A854="",NOT(ISNUMBER(I854))),"",IF(G854=Lists!$B$5,I854/2,IF(G854=Lists!$B$6,I854,0)))</f>
        <v/>
      </c>
      <c r="N854" s="52">
        <f>IF(OR(A854="",NOT(ISNUMBER(I854))),"",IF(G854=Lists!$B$5,I854/2,IF(G854=Lists!$B$7,I854,0)))</f>
        <v/>
      </c>
      <c r="O854" s="53">
        <f>IF(COUNTA(A854:K854)=0,"",IF(OR(A854="",B854="",C854="",D854="",E854="",F854="",G854="",NOT(ISNUMBER(I854))),"Incomplete",IF(COUNTIF(Lists!$H$4:$AA$4,C854)=0,"Check category",IF(COUNTIF(INDEX(Lists!$H$6:$AA$45,0,MATCH(C854,Lists!$H$4:$AA$4,0)),D854)=0,"Check sub-category","OK"))))</f>
        <v/>
      </c>
      <c r="P854">
        <f>IF(ISNUMBER(I854),I854+ROW()/10000000,"")</f>
        <v/>
      </c>
      <c r="Q854">
        <f>IF(AND(ISNUMBER(P854),ISNUMBER(A854)),IF(AND(A854&gt;=Dashboard!$Q$3,A854&lt;=Dashboard!$Q$4,OR(J854&lt;&gt;"Yes",Dashboard!$Q$15="Yes")),P854,""),"")</f>
        <v/>
      </c>
    </row>
    <row r="855">
      <c r="A855" s="47" t="n"/>
      <c r="B855" s="48" t="n"/>
      <c r="C855" s="48" t="n"/>
      <c r="D855" s="48" t="n"/>
      <c r="E855" s="48" t="n"/>
      <c r="F855" s="48" t="n"/>
      <c r="G855" s="48" t="n"/>
      <c r="H855" s="48" t="n"/>
      <c r="I855" s="49" t="n"/>
      <c r="J855" s="50" t="n"/>
      <c r="K855" s="48" t="n"/>
      <c r="L855" s="51">
        <f>IF(A855="","",DATE(YEAR(A855),MONTH(A855),1))</f>
        <v/>
      </c>
      <c r="M855" s="52">
        <f>IF(OR(A855="",NOT(ISNUMBER(I855))),"",IF(G855=Lists!$B$5,I855/2,IF(G855=Lists!$B$6,I855,0)))</f>
        <v/>
      </c>
      <c r="N855" s="52">
        <f>IF(OR(A855="",NOT(ISNUMBER(I855))),"",IF(G855=Lists!$B$5,I855/2,IF(G855=Lists!$B$7,I855,0)))</f>
        <v/>
      </c>
      <c r="O855" s="53">
        <f>IF(COUNTA(A855:K855)=0,"",IF(OR(A855="",B855="",C855="",D855="",E855="",F855="",G855="",NOT(ISNUMBER(I855))),"Incomplete",IF(COUNTIF(Lists!$H$4:$AA$4,C855)=0,"Check category",IF(COUNTIF(INDEX(Lists!$H$6:$AA$45,0,MATCH(C855,Lists!$H$4:$AA$4,0)),D855)=0,"Check sub-category","OK"))))</f>
        <v/>
      </c>
      <c r="P855">
        <f>IF(ISNUMBER(I855),I855+ROW()/10000000,"")</f>
        <v/>
      </c>
      <c r="Q855">
        <f>IF(AND(ISNUMBER(P855),ISNUMBER(A855)),IF(AND(A855&gt;=Dashboard!$Q$3,A855&lt;=Dashboard!$Q$4,OR(J855&lt;&gt;"Yes",Dashboard!$Q$15="Yes")),P855,""),"")</f>
        <v/>
      </c>
    </row>
    <row r="856">
      <c r="A856" s="47" t="n"/>
      <c r="B856" s="48" t="n"/>
      <c r="C856" s="48" t="n"/>
      <c r="D856" s="48" t="n"/>
      <c r="E856" s="48" t="n"/>
      <c r="F856" s="48" t="n"/>
      <c r="G856" s="48" t="n"/>
      <c r="H856" s="48" t="n"/>
      <c r="I856" s="49" t="n"/>
      <c r="J856" s="50" t="n"/>
      <c r="K856" s="48" t="n"/>
      <c r="L856" s="51">
        <f>IF(A856="","",DATE(YEAR(A856),MONTH(A856),1))</f>
        <v/>
      </c>
      <c r="M856" s="52">
        <f>IF(OR(A856="",NOT(ISNUMBER(I856))),"",IF(G856=Lists!$B$5,I856/2,IF(G856=Lists!$B$6,I856,0)))</f>
        <v/>
      </c>
      <c r="N856" s="52">
        <f>IF(OR(A856="",NOT(ISNUMBER(I856))),"",IF(G856=Lists!$B$5,I856/2,IF(G856=Lists!$B$7,I856,0)))</f>
        <v/>
      </c>
      <c r="O856" s="53">
        <f>IF(COUNTA(A856:K856)=0,"",IF(OR(A856="",B856="",C856="",D856="",E856="",F856="",G856="",NOT(ISNUMBER(I856))),"Incomplete",IF(COUNTIF(Lists!$H$4:$AA$4,C856)=0,"Check category",IF(COUNTIF(INDEX(Lists!$H$6:$AA$45,0,MATCH(C856,Lists!$H$4:$AA$4,0)),D856)=0,"Check sub-category","OK"))))</f>
        <v/>
      </c>
      <c r="P856">
        <f>IF(ISNUMBER(I856),I856+ROW()/10000000,"")</f>
        <v/>
      </c>
      <c r="Q856">
        <f>IF(AND(ISNUMBER(P856),ISNUMBER(A856)),IF(AND(A856&gt;=Dashboard!$Q$3,A856&lt;=Dashboard!$Q$4,OR(J856&lt;&gt;"Yes",Dashboard!$Q$15="Yes")),P856,""),"")</f>
        <v/>
      </c>
    </row>
    <row r="857">
      <c r="A857" s="47" t="n"/>
      <c r="B857" s="48" t="n"/>
      <c r="C857" s="48" t="n"/>
      <c r="D857" s="48" t="n"/>
      <c r="E857" s="48" t="n"/>
      <c r="F857" s="48" t="n"/>
      <c r="G857" s="48" t="n"/>
      <c r="H857" s="48" t="n"/>
      <c r="I857" s="49" t="n"/>
      <c r="J857" s="50" t="n"/>
      <c r="K857" s="48" t="n"/>
      <c r="L857" s="51">
        <f>IF(A857="","",DATE(YEAR(A857),MONTH(A857),1))</f>
        <v/>
      </c>
      <c r="M857" s="52">
        <f>IF(OR(A857="",NOT(ISNUMBER(I857))),"",IF(G857=Lists!$B$5,I857/2,IF(G857=Lists!$B$6,I857,0)))</f>
        <v/>
      </c>
      <c r="N857" s="52">
        <f>IF(OR(A857="",NOT(ISNUMBER(I857))),"",IF(G857=Lists!$B$5,I857/2,IF(G857=Lists!$B$7,I857,0)))</f>
        <v/>
      </c>
      <c r="O857" s="53">
        <f>IF(COUNTA(A857:K857)=0,"",IF(OR(A857="",B857="",C857="",D857="",E857="",F857="",G857="",NOT(ISNUMBER(I857))),"Incomplete",IF(COUNTIF(Lists!$H$4:$AA$4,C857)=0,"Check category",IF(COUNTIF(INDEX(Lists!$H$6:$AA$45,0,MATCH(C857,Lists!$H$4:$AA$4,0)),D857)=0,"Check sub-category","OK"))))</f>
        <v/>
      </c>
      <c r="P857">
        <f>IF(ISNUMBER(I857),I857+ROW()/10000000,"")</f>
        <v/>
      </c>
      <c r="Q857">
        <f>IF(AND(ISNUMBER(P857),ISNUMBER(A857)),IF(AND(A857&gt;=Dashboard!$Q$3,A857&lt;=Dashboard!$Q$4,OR(J857&lt;&gt;"Yes",Dashboard!$Q$15="Yes")),P857,""),"")</f>
        <v/>
      </c>
    </row>
    <row r="858">
      <c r="A858" s="47" t="n"/>
      <c r="B858" s="48" t="n"/>
      <c r="C858" s="48" t="n"/>
      <c r="D858" s="48" t="n"/>
      <c r="E858" s="48" t="n"/>
      <c r="F858" s="48" t="n"/>
      <c r="G858" s="48" t="n"/>
      <c r="H858" s="48" t="n"/>
      <c r="I858" s="49" t="n"/>
      <c r="J858" s="50" t="n"/>
      <c r="K858" s="48" t="n"/>
      <c r="L858" s="51">
        <f>IF(A858="","",DATE(YEAR(A858),MONTH(A858),1))</f>
        <v/>
      </c>
      <c r="M858" s="52">
        <f>IF(OR(A858="",NOT(ISNUMBER(I858))),"",IF(G858=Lists!$B$5,I858/2,IF(G858=Lists!$B$6,I858,0)))</f>
        <v/>
      </c>
      <c r="N858" s="52">
        <f>IF(OR(A858="",NOT(ISNUMBER(I858))),"",IF(G858=Lists!$B$5,I858/2,IF(G858=Lists!$B$7,I858,0)))</f>
        <v/>
      </c>
      <c r="O858" s="53">
        <f>IF(COUNTA(A858:K858)=0,"",IF(OR(A858="",B858="",C858="",D858="",E858="",F858="",G858="",NOT(ISNUMBER(I858))),"Incomplete",IF(COUNTIF(Lists!$H$4:$AA$4,C858)=0,"Check category",IF(COUNTIF(INDEX(Lists!$H$6:$AA$45,0,MATCH(C858,Lists!$H$4:$AA$4,0)),D858)=0,"Check sub-category","OK"))))</f>
        <v/>
      </c>
      <c r="P858">
        <f>IF(ISNUMBER(I858),I858+ROW()/10000000,"")</f>
        <v/>
      </c>
      <c r="Q858">
        <f>IF(AND(ISNUMBER(P858),ISNUMBER(A858)),IF(AND(A858&gt;=Dashboard!$Q$3,A858&lt;=Dashboard!$Q$4,OR(J858&lt;&gt;"Yes",Dashboard!$Q$15="Yes")),P858,""),"")</f>
        <v/>
      </c>
    </row>
    <row r="859">
      <c r="A859" s="47" t="n"/>
      <c r="B859" s="48" t="n"/>
      <c r="C859" s="48" t="n"/>
      <c r="D859" s="48" t="n"/>
      <c r="E859" s="48" t="n"/>
      <c r="F859" s="48" t="n"/>
      <c r="G859" s="48" t="n"/>
      <c r="H859" s="48" t="n"/>
      <c r="I859" s="49" t="n"/>
      <c r="J859" s="50" t="n"/>
      <c r="K859" s="48" t="n"/>
      <c r="L859" s="51">
        <f>IF(A859="","",DATE(YEAR(A859),MONTH(A859),1))</f>
        <v/>
      </c>
      <c r="M859" s="52">
        <f>IF(OR(A859="",NOT(ISNUMBER(I859))),"",IF(G859=Lists!$B$5,I859/2,IF(G859=Lists!$B$6,I859,0)))</f>
        <v/>
      </c>
      <c r="N859" s="52">
        <f>IF(OR(A859="",NOT(ISNUMBER(I859))),"",IF(G859=Lists!$B$5,I859/2,IF(G859=Lists!$B$7,I859,0)))</f>
        <v/>
      </c>
      <c r="O859" s="53">
        <f>IF(COUNTA(A859:K859)=0,"",IF(OR(A859="",B859="",C859="",D859="",E859="",F859="",G859="",NOT(ISNUMBER(I859))),"Incomplete",IF(COUNTIF(Lists!$H$4:$AA$4,C859)=0,"Check category",IF(COUNTIF(INDEX(Lists!$H$6:$AA$45,0,MATCH(C859,Lists!$H$4:$AA$4,0)),D859)=0,"Check sub-category","OK"))))</f>
        <v/>
      </c>
      <c r="P859">
        <f>IF(ISNUMBER(I859),I859+ROW()/10000000,"")</f>
        <v/>
      </c>
      <c r="Q859">
        <f>IF(AND(ISNUMBER(P859),ISNUMBER(A859)),IF(AND(A859&gt;=Dashboard!$Q$3,A859&lt;=Dashboard!$Q$4,OR(J859&lt;&gt;"Yes",Dashboard!$Q$15="Yes")),P859,""),"")</f>
        <v/>
      </c>
    </row>
    <row r="860">
      <c r="A860" s="47" t="n"/>
      <c r="B860" s="48" t="n"/>
      <c r="C860" s="48" t="n"/>
      <c r="D860" s="48" t="n"/>
      <c r="E860" s="48" t="n"/>
      <c r="F860" s="48" t="n"/>
      <c r="G860" s="48" t="n"/>
      <c r="H860" s="48" t="n"/>
      <c r="I860" s="49" t="n"/>
      <c r="J860" s="50" t="n"/>
      <c r="K860" s="48" t="n"/>
      <c r="L860" s="51">
        <f>IF(A860="","",DATE(YEAR(A860),MONTH(A860),1))</f>
        <v/>
      </c>
      <c r="M860" s="52">
        <f>IF(OR(A860="",NOT(ISNUMBER(I860))),"",IF(G860=Lists!$B$5,I860/2,IF(G860=Lists!$B$6,I860,0)))</f>
        <v/>
      </c>
      <c r="N860" s="52">
        <f>IF(OR(A860="",NOT(ISNUMBER(I860))),"",IF(G860=Lists!$B$5,I860/2,IF(G860=Lists!$B$7,I860,0)))</f>
        <v/>
      </c>
      <c r="O860" s="53">
        <f>IF(COUNTA(A860:K860)=0,"",IF(OR(A860="",B860="",C860="",D860="",E860="",F860="",G860="",NOT(ISNUMBER(I860))),"Incomplete",IF(COUNTIF(Lists!$H$4:$AA$4,C860)=0,"Check category",IF(COUNTIF(INDEX(Lists!$H$6:$AA$45,0,MATCH(C860,Lists!$H$4:$AA$4,0)),D860)=0,"Check sub-category","OK"))))</f>
        <v/>
      </c>
      <c r="P860">
        <f>IF(ISNUMBER(I860),I860+ROW()/10000000,"")</f>
        <v/>
      </c>
      <c r="Q860">
        <f>IF(AND(ISNUMBER(P860),ISNUMBER(A860)),IF(AND(A860&gt;=Dashboard!$Q$3,A860&lt;=Dashboard!$Q$4,OR(J860&lt;&gt;"Yes",Dashboard!$Q$15="Yes")),P860,""),"")</f>
        <v/>
      </c>
    </row>
    <row r="861">
      <c r="A861" s="47" t="n"/>
      <c r="B861" s="48" t="n"/>
      <c r="C861" s="48" t="n"/>
      <c r="D861" s="48" t="n"/>
      <c r="E861" s="48" t="n"/>
      <c r="F861" s="48" t="n"/>
      <c r="G861" s="48" t="n"/>
      <c r="H861" s="48" t="n"/>
      <c r="I861" s="49" t="n"/>
      <c r="J861" s="50" t="n"/>
      <c r="K861" s="48" t="n"/>
      <c r="L861" s="51">
        <f>IF(A861="","",DATE(YEAR(A861),MONTH(A861),1))</f>
        <v/>
      </c>
      <c r="M861" s="52">
        <f>IF(OR(A861="",NOT(ISNUMBER(I861))),"",IF(G861=Lists!$B$5,I861/2,IF(G861=Lists!$B$6,I861,0)))</f>
        <v/>
      </c>
      <c r="N861" s="52">
        <f>IF(OR(A861="",NOT(ISNUMBER(I861))),"",IF(G861=Lists!$B$5,I861/2,IF(G861=Lists!$B$7,I861,0)))</f>
        <v/>
      </c>
      <c r="O861" s="53">
        <f>IF(COUNTA(A861:K861)=0,"",IF(OR(A861="",B861="",C861="",D861="",E861="",F861="",G861="",NOT(ISNUMBER(I861))),"Incomplete",IF(COUNTIF(Lists!$H$4:$AA$4,C861)=0,"Check category",IF(COUNTIF(INDEX(Lists!$H$6:$AA$45,0,MATCH(C861,Lists!$H$4:$AA$4,0)),D861)=0,"Check sub-category","OK"))))</f>
        <v/>
      </c>
      <c r="P861">
        <f>IF(ISNUMBER(I861),I861+ROW()/10000000,"")</f>
        <v/>
      </c>
      <c r="Q861">
        <f>IF(AND(ISNUMBER(P861),ISNUMBER(A861)),IF(AND(A861&gt;=Dashboard!$Q$3,A861&lt;=Dashboard!$Q$4,OR(J861&lt;&gt;"Yes",Dashboard!$Q$15="Yes")),P861,""),"")</f>
        <v/>
      </c>
    </row>
    <row r="862">
      <c r="A862" s="47" t="n"/>
      <c r="B862" s="48" t="n"/>
      <c r="C862" s="48" t="n"/>
      <c r="D862" s="48" t="n"/>
      <c r="E862" s="48" t="n"/>
      <c r="F862" s="48" t="n"/>
      <c r="G862" s="48" t="n"/>
      <c r="H862" s="48" t="n"/>
      <c r="I862" s="49" t="n"/>
      <c r="J862" s="50" t="n"/>
      <c r="K862" s="48" t="n"/>
      <c r="L862" s="51">
        <f>IF(A862="","",DATE(YEAR(A862),MONTH(A862),1))</f>
        <v/>
      </c>
      <c r="M862" s="52">
        <f>IF(OR(A862="",NOT(ISNUMBER(I862))),"",IF(G862=Lists!$B$5,I862/2,IF(G862=Lists!$B$6,I862,0)))</f>
        <v/>
      </c>
      <c r="N862" s="52">
        <f>IF(OR(A862="",NOT(ISNUMBER(I862))),"",IF(G862=Lists!$B$5,I862/2,IF(G862=Lists!$B$7,I862,0)))</f>
        <v/>
      </c>
      <c r="O862" s="53">
        <f>IF(COUNTA(A862:K862)=0,"",IF(OR(A862="",B862="",C862="",D862="",E862="",F862="",G862="",NOT(ISNUMBER(I862))),"Incomplete",IF(COUNTIF(Lists!$H$4:$AA$4,C862)=0,"Check category",IF(COUNTIF(INDEX(Lists!$H$6:$AA$45,0,MATCH(C862,Lists!$H$4:$AA$4,0)),D862)=0,"Check sub-category","OK"))))</f>
        <v/>
      </c>
      <c r="P862">
        <f>IF(ISNUMBER(I862),I862+ROW()/10000000,"")</f>
        <v/>
      </c>
      <c r="Q862">
        <f>IF(AND(ISNUMBER(P862),ISNUMBER(A862)),IF(AND(A862&gt;=Dashboard!$Q$3,A862&lt;=Dashboard!$Q$4,OR(J862&lt;&gt;"Yes",Dashboard!$Q$15="Yes")),P862,""),"")</f>
        <v/>
      </c>
    </row>
    <row r="863">
      <c r="A863" s="47" t="n"/>
      <c r="B863" s="48" t="n"/>
      <c r="C863" s="48" t="n"/>
      <c r="D863" s="48" t="n"/>
      <c r="E863" s="48" t="n"/>
      <c r="F863" s="48" t="n"/>
      <c r="G863" s="48" t="n"/>
      <c r="H863" s="48" t="n"/>
      <c r="I863" s="49" t="n"/>
      <c r="J863" s="50" t="n"/>
      <c r="K863" s="48" t="n"/>
      <c r="L863" s="51">
        <f>IF(A863="","",DATE(YEAR(A863),MONTH(A863),1))</f>
        <v/>
      </c>
      <c r="M863" s="52">
        <f>IF(OR(A863="",NOT(ISNUMBER(I863))),"",IF(G863=Lists!$B$5,I863/2,IF(G863=Lists!$B$6,I863,0)))</f>
        <v/>
      </c>
      <c r="N863" s="52">
        <f>IF(OR(A863="",NOT(ISNUMBER(I863))),"",IF(G863=Lists!$B$5,I863/2,IF(G863=Lists!$B$7,I863,0)))</f>
        <v/>
      </c>
      <c r="O863" s="53">
        <f>IF(COUNTA(A863:K863)=0,"",IF(OR(A863="",B863="",C863="",D863="",E863="",F863="",G863="",NOT(ISNUMBER(I863))),"Incomplete",IF(COUNTIF(Lists!$H$4:$AA$4,C863)=0,"Check category",IF(COUNTIF(INDEX(Lists!$H$6:$AA$45,0,MATCH(C863,Lists!$H$4:$AA$4,0)),D863)=0,"Check sub-category","OK"))))</f>
        <v/>
      </c>
      <c r="P863">
        <f>IF(ISNUMBER(I863),I863+ROW()/10000000,"")</f>
        <v/>
      </c>
      <c r="Q863">
        <f>IF(AND(ISNUMBER(P863),ISNUMBER(A863)),IF(AND(A863&gt;=Dashboard!$Q$3,A863&lt;=Dashboard!$Q$4,OR(J863&lt;&gt;"Yes",Dashboard!$Q$15="Yes")),P863,""),"")</f>
        <v/>
      </c>
    </row>
    <row r="864">
      <c r="A864" s="47" t="n"/>
      <c r="B864" s="48" t="n"/>
      <c r="C864" s="48" t="n"/>
      <c r="D864" s="48" t="n"/>
      <c r="E864" s="48" t="n"/>
      <c r="F864" s="48" t="n"/>
      <c r="G864" s="48" t="n"/>
      <c r="H864" s="48" t="n"/>
      <c r="I864" s="49" t="n"/>
      <c r="J864" s="50" t="n"/>
      <c r="K864" s="48" t="n"/>
      <c r="L864" s="51">
        <f>IF(A864="","",DATE(YEAR(A864),MONTH(A864),1))</f>
        <v/>
      </c>
      <c r="M864" s="52">
        <f>IF(OR(A864="",NOT(ISNUMBER(I864))),"",IF(G864=Lists!$B$5,I864/2,IF(G864=Lists!$B$6,I864,0)))</f>
        <v/>
      </c>
      <c r="N864" s="52">
        <f>IF(OR(A864="",NOT(ISNUMBER(I864))),"",IF(G864=Lists!$B$5,I864/2,IF(G864=Lists!$B$7,I864,0)))</f>
        <v/>
      </c>
      <c r="O864" s="53">
        <f>IF(COUNTA(A864:K864)=0,"",IF(OR(A864="",B864="",C864="",D864="",E864="",F864="",G864="",NOT(ISNUMBER(I864))),"Incomplete",IF(COUNTIF(Lists!$H$4:$AA$4,C864)=0,"Check category",IF(COUNTIF(INDEX(Lists!$H$6:$AA$45,0,MATCH(C864,Lists!$H$4:$AA$4,0)),D864)=0,"Check sub-category","OK"))))</f>
        <v/>
      </c>
      <c r="P864">
        <f>IF(ISNUMBER(I864),I864+ROW()/10000000,"")</f>
        <v/>
      </c>
      <c r="Q864">
        <f>IF(AND(ISNUMBER(P864),ISNUMBER(A864)),IF(AND(A864&gt;=Dashboard!$Q$3,A864&lt;=Dashboard!$Q$4,OR(J864&lt;&gt;"Yes",Dashboard!$Q$15="Yes")),P864,""),"")</f>
        <v/>
      </c>
    </row>
    <row r="865">
      <c r="A865" s="47" t="n"/>
      <c r="B865" s="48" t="n"/>
      <c r="C865" s="48" t="n"/>
      <c r="D865" s="48" t="n"/>
      <c r="E865" s="48" t="n"/>
      <c r="F865" s="48" t="n"/>
      <c r="G865" s="48" t="n"/>
      <c r="H865" s="48" t="n"/>
      <c r="I865" s="49" t="n"/>
      <c r="J865" s="50" t="n"/>
      <c r="K865" s="48" t="n"/>
      <c r="L865" s="51">
        <f>IF(A865="","",DATE(YEAR(A865),MONTH(A865),1))</f>
        <v/>
      </c>
      <c r="M865" s="52">
        <f>IF(OR(A865="",NOT(ISNUMBER(I865))),"",IF(G865=Lists!$B$5,I865/2,IF(G865=Lists!$B$6,I865,0)))</f>
        <v/>
      </c>
      <c r="N865" s="52">
        <f>IF(OR(A865="",NOT(ISNUMBER(I865))),"",IF(G865=Lists!$B$5,I865/2,IF(G865=Lists!$B$7,I865,0)))</f>
        <v/>
      </c>
      <c r="O865" s="53">
        <f>IF(COUNTA(A865:K865)=0,"",IF(OR(A865="",B865="",C865="",D865="",E865="",F865="",G865="",NOT(ISNUMBER(I865))),"Incomplete",IF(COUNTIF(Lists!$H$4:$AA$4,C865)=0,"Check category",IF(COUNTIF(INDEX(Lists!$H$6:$AA$45,0,MATCH(C865,Lists!$H$4:$AA$4,0)),D865)=0,"Check sub-category","OK"))))</f>
        <v/>
      </c>
      <c r="P865">
        <f>IF(ISNUMBER(I865),I865+ROW()/10000000,"")</f>
        <v/>
      </c>
      <c r="Q865">
        <f>IF(AND(ISNUMBER(P865),ISNUMBER(A865)),IF(AND(A865&gt;=Dashboard!$Q$3,A865&lt;=Dashboard!$Q$4,OR(J865&lt;&gt;"Yes",Dashboard!$Q$15="Yes")),P865,""),"")</f>
        <v/>
      </c>
    </row>
    <row r="866">
      <c r="A866" s="47" t="n"/>
      <c r="B866" s="48" t="n"/>
      <c r="C866" s="48" t="n"/>
      <c r="D866" s="48" t="n"/>
      <c r="E866" s="48" t="n"/>
      <c r="F866" s="48" t="n"/>
      <c r="G866" s="48" t="n"/>
      <c r="H866" s="48" t="n"/>
      <c r="I866" s="49" t="n"/>
      <c r="J866" s="50" t="n"/>
      <c r="K866" s="48" t="n"/>
      <c r="L866" s="51">
        <f>IF(A866="","",DATE(YEAR(A866),MONTH(A866),1))</f>
        <v/>
      </c>
      <c r="M866" s="52">
        <f>IF(OR(A866="",NOT(ISNUMBER(I866))),"",IF(G866=Lists!$B$5,I866/2,IF(G866=Lists!$B$6,I866,0)))</f>
        <v/>
      </c>
      <c r="N866" s="52">
        <f>IF(OR(A866="",NOT(ISNUMBER(I866))),"",IF(G866=Lists!$B$5,I866/2,IF(G866=Lists!$B$7,I866,0)))</f>
        <v/>
      </c>
      <c r="O866" s="53">
        <f>IF(COUNTA(A866:K866)=0,"",IF(OR(A866="",B866="",C866="",D866="",E866="",F866="",G866="",NOT(ISNUMBER(I866))),"Incomplete",IF(COUNTIF(Lists!$H$4:$AA$4,C866)=0,"Check category",IF(COUNTIF(INDEX(Lists!$H$6:$AA$45,0,MATCH(C866,Lists!$H$4:$AA$4,0)),D866)=0,"Check sub-category","OK"))))</f>
        <v/>
      </c>
      <c r="P866">
        <f>IF(ISNUMBER(I866),I866+ROW()/10000000,"")</f>
        <v/>
      </c>
      <c r="Q866">
        <f>IF(AND(ISNUMBER(P866),ISNUMBER(A866)),IF(AND(A866&gt;=Dashboard!$Q$3,A866&lt;=Dashboard!$Q$4,OR(J866&lt;&gt;"Yes",Dashboard!$Q$15="Yes")),P866,""),"")</f>
        <v/>
      </c>
    </row>
    <row r="867">
      <c r="A867" s="47" t="n"/>
      <c r="B867" s="48" t="n"/>
      <c r="C867" s="48" t="n"/>
      <c r="D867" s="48" t="n"/>
      <c r="E867" s="48" t="n"/>
      <c r="F867" s="48" t="n"/>
      <c r="G867" s="48" t="n"/>
      <c r="H867" s="48" t="n"/>
      <c r="I867" s="49" t="n"/>
      <c r="J867" s="50" t="n"/>
      <c r="K867" s="48" t="n"/>
      <c r="L867" s="51">
        <f>IF(A867="","",DATE(YEAR(A867),MONTH(A867),1))</f>
        <v/>
      </c>
      <c r="M867" s="52">
        <f>IF(OR(A867="",NOT(ISNUMBER(I867))),"",IF(G867=Lists!$B$5,I867/2,IF(G867=Lists!$B$6,I867,0)))</f>
        <v/>
      </c>
      <c r="N867" s="52">
        <f>IF(OR(A867="",NOT(ISNUMBER(I867))),"",IF(G867=Lists!$B$5,I867/2,IF(G867=Lists!$B$7,I867,0)))</f>
        <v/>
      </c>
      <c r="O867" s="53">
        <f>IF(COUNTA(A867:K867)=0,"",IF(OR(A867="",B867="",C867="",D867="",E867="",F867="",G867="",NOT(ISNUMBER(I867))),"Incomplete",IF(COUNTIF(Lists!$H$4:$AA$4,C867)=0,"Check category",IF(COUNTIF(INDEX(Lists!$H$6:$AA$45,0,MATCH(C867,Lists!$H$4:$AA$4,0)),D867)=0,"Check sub-category","OK"))))</f>
        <v/>
      </c>
      <c r="P867">
        <f>IF(ISNUMBER(I867),I867+ROW()/10000000,"")</f>
        <v/>
      </c>
      <c r="Q867">
        <f>IF(AND(ISNUMBER(P867),ISNUMBER(A867)),IF(AND(A867&gt;=Dashboard!$Q$3,A867&lt;=Dashboard!$Q$4,OR(J867&lt;&gt;"Yes",Dashboard!$Q$15="Yes")),P867,""),"")</f>
        <v/>
      </c>
    </row>
    <row r="868">
      <c r="A868" s="47" t="n"/>
      <c r="B868" s="48" t="n"/>
      <c r="C868" s="48" t="n"/>
      <c r="D868" s="48" t="n"/>
      <c r="E868" s="48" t="n"/>
      <c r="F868" s="48" t="n"/>
      <c r="G868" s="48" t="n"/>
      <c r="H868" s="48" t="n"/>
      <c r="I868" s="49" t="n"/>
      <c r="J868" s="50" t="n"/>
      <c r="K868" s="48" t="n"/>
      <c r="L868" s="51">
        <f>IF(A868="","",DATE(YEAR(A868),MONTH(A868),1))</f>
        <v/>
      </c>
      <c r="M868" s="52">
        <f>IF(OR(A868="",NOT(ISNUMBER(I868))),"",IF(G868=Lists!$B$5,I868/2,IF(G868=Lists!$B$6,I868,0)))</f>
        <v/>
      </c>
      <c r="N868" s="52">
        <f>IF(OR(A868="",NOT(ISNUMBER(I868))),"",IF(G868=Lists!$B$5,I868/2,IF(G868=Lists!$B$7,I868,0)))</f>
        <v/>
      </c>
      <c r="O868" s="53">
        <f>IF(COUNTA(A868:K868)=0,"",IF(OR(A868="",B868="",C868="",D868="",E868="",F868="",G868="",NOT(ISNUMBER(I868))),"Incomplete",IF(COUNTIF(Lists!$H$4:$AA$4,C868)=0,"Check category",IF(COUNTIF(INDEX(Lists!$H$6:$AA$45,0,MATCH(C868,Lists!$H$4:$AA$4,0)),D868)=0,"Check sub-category","OK"))))</f>
        <v/>
      </c>
      <c r="P868">
        <f>IF(ISNUMBER(I868),I868+ROW()/10000000,"")</f>
        <v/>
      </c>
      <c r="Q868">
        <f>IF(AND(ISNUMBER(P868),ISNUMBER(A868)),IF(AND(A868&gt;=Dashboard!$Q$3,A868&lt;=Dashboard!$Q$4,OR(J868&lt;&gt;"Yes",Dashboard!$Q$15="Yes")),P868,""),"")</f>
        <v/>
      </c>
    </row>
    <row r="869">
      <c r="A869" s="47" t="n"/>
      <c r="B869" s="48" t="n"/>
      <c r="C869" s="48" t="n"/>
      <c r="D869" s="48" t="n"/>
      <c r="E869" s="48" t="n"/>
      <c r="F869" s="48" t="n"/>
      <c r="G869" s="48" t="n"/>
      <c r="H869" s="48" t="n"/>
      <c r="I869" s="49" t="n"/>
      <c r="J869" s="50" t="n"/>
      <c r="K869" s="48" t="n"/>
      <c r="L869" s="51">
        <f>IF(A869="","",DATE(YEAR(A869),MONTH(A869),1))</f>
        <v/>
      </c>
      <c r="M869" s="52">
        <f>IF(OR(A869="",NOT(ISNUMBER(I869))),"",IF(G869=Lists!$B$5,I869/2,IF(G869=Lists!$B$6,I869,0)))</f>
        <v/>
      </c>
      <c r="N869" s="52">
        <f>IF(OR(A869="",NOT(ISNUMBER(I869))),"",IF(G869=Lists!$B$5,I869/2,IF(G869=Lists!$B$7,I869,0)))</f>
        <v/>
      </c>
      <c r="O869" s="53">
        <f>IF(COUNTA(A869:K869)=0,"",IF(OR(A869="",B869="",C869="",D869="",E869="",F869="",G869="",NOT(ISNUMBER(I869))),"Incomplete",IF(COUNTIF(Lists!$H$4:$AA$4,C869)=0,"Check category",IF(COUNTIF(INDEX(Lists!$H$6:$AA$45,0,MATCH(C869,Lists!$H$4:$AA$4,0)),D869)=0,"Check sub-category","OK"))))</f>
        <v/>
      </c>
      <c r="P869">
        <f>IF(ISNUMBER(I869),I869+ROW()/10000000,"")</f>
        <v/>
      </c>
      <c r="Q869">
        <f>IF(AND(ISNUMBER(P869),ISNUMBER(A869)),IF(AND(A869&gt;=Dashboard!$Q$3,A869&lt;=Dashboard!$Q$4,OR(J869&lt;&gt;"Yes",Dashboard!$Q$15="Yes")),P869,""),"")</f>
        <v/>
      </c>
    </row>
    <row r="870">
      <c r="A870" s="47" t="n"/>
      <c r="B870" s="48" t="n"/>
      <c r="C870" s="48" t="n"/>
      <c r="D870" s="48" t="n"/>
      <c r="E870" s="48" t="n"/>
      <c r="F870" s="48" t="n"/>
      <c r="G870" s="48" t="n"/>
      <c r="H870" s="48" t="n"/>
      <c r="I870" s="49" t="n"/>
      <c r="J870" s="50" t="n"/>
      <c r="K870" s="48" t="n"/>
      <c r="L870" s="51">
        <f>IF(A870="","",DATE(YEAR(A870),MONTH(A870),1))</f>
        <v/>
      </c>
      <c r="M870" s="52">
        <f>IF(OR(A870="",NOT(ISNUMBER(I870))),"",IF(G870=Lists!$B$5,I870/2,IF(G870=Lists!$B$6,I870,0)))</f>
        <v/>
      </c>
      <c r="N870" s="52">
        <f>IF(OR(A870="",NOT(ISNUMBER(I870))),"",IF(G870=Lists!$B$5,I870/2,IF(G870=Lists!$B$7,I870,0)))</f>
        <v/>
      </c>
      <c r="O870" s="53">
        <f>IF(COUNTA(A870:K870)=0,"",IF(OR(A870="",B870="",C870="",D870="",E870="",F870="",G870="",NOT(ISNUMBER(I870))),"Incomplete",IF(COUNTIF(Lists!$H$4:$AA$4,C870)=0,"Check category",IF(COUNTIF(INDEX(Lists!$H$6:$AA$45,0,MATCH(C870,Lists!$H$4:$AA$4,0)),D870)=0,"Check sub-category","OK"))))</f>
        <v/>
      </c>
      <c r="P870">
        <f>IF(ISNUMBER(I870),I870+ROW()/10000000,"")</f>
        <v/>
      </c>
      <c r="Q870">
        <f>IF(AND(ISNUMBER(P870),ISNUMBER(A870)),IF(AND(A870&gt;=Dashboard!$Q$3,A870&lt;=Dashboard!$Q$4,OR(J870&lt;&gt;"Yes",Dashboard!$Q$15="Yes")),P870,""),"")</f>
        <v/>
      </c>
    </row>
    <row r="871">
      <c r="A871" s="47" t="n"/>
      <c r="B871" s="48" t="n"/>
      <c r="C871" s="48" t="n"/>
      <c r="D871" s="48" t="n"/>
      <c r="E871" s="48" t="n"/>
      <c r="F871" s="48" t="n"/>
      <c r="G871" s="48" t="n"/>
      <c r="H871" s="48" t="n"/>
      <c r="I871" s="49" t="n"/>
      <c r="J871" s="50" t="n"/>
      <c r="K871" s="48" t="n"/>
      <c r="L871" s="51">
        <f>IF(A871="","",DATE(YEAR(A871),MONTH(A871),1))</f>
        <v/>
      </c>
      <c r="M871" s="52">
        <f>IF(OR(A871="",NOT(ISNUMBER(I871))),"",IF(G871=Lists!$B$5,I871/2,IF(G871=Lists!$B$6,I871,0)))</f>
        <v/>
      </c>
      <c r="N871" s="52">
        <f>IF(OR(A871="",NOT(ISNUMBER(I871))),"",IF(G871=Lists!$B$5,I871/2,IF(G871=Lists!$B$7,I871,0)))</f>
        <v/>
      </c>
      <c r="O871" s="53">
        <f>IF(COUNTA(A871:K871)=0,"",IF(OR(A871="",B871="",C871="",D871="",E871="",F871="",G871="",NOT(ISNUMBER(I871))),"Incomplete",IF(COUNTIF(Lists!$H$4:$AA$4,C871)=0,"Check category",IF(COUNTIF(INDEX(Lists!$H$6:$AA$45,0,MATCH(C871,Lists!$H$4:$AA$4,0)),D871)=0,"Check sub-category","OK"))))</f>
        <v/>
      </c>
      <c r="P871">
        <f>IF(ISNUMBER(I871),I871+ROW()/10000000,"")</f>
        <v/>
      </c>
      <c r="Q871">
        <f>IF(AND(ISNUMBER(P871),ISNUMBER(A871)),IF(AND(A871&gt;=Dashboard!$Q$3,A871&lt;=Dashboard!$Q$4,OR(J871&lt;&gt;"Yes",Dashboard!$Q$15="Yes")),P871,""),"")</f>
        <v/>
      </c>
    </row>
    <row r="872">
      <c r="A872" s="47" t="n"/>
      <c r="B872" s="48" t="n"/>
      <c r="C872" s="48" t="n"/>
      <c r="D872" s="48" t="n"/>
      <c r="E872" s="48" t="n"/>
      <c r="F872" s="48" t="n"/>
      <c r="G872" s="48" t="n"/>
      <c r="H872" s="48" t="n"/>
      <c r="I872" s="49" t="n"/>
      <c r="J872" s="50" t="n"/>
      <c r="K872" s="48" t="n"/>
      <c r="L872" s="51">
        <f>IF(A872="","",DATE(YEAR(A872),MONTH(A872),1))</f>
        <v/>
      </c>
      <c r="M872" s="52">
        <f>IF(OR(A872="",NOT(ISNUMBER(I872))),"",IF(G872=Lists!$B$5,I872/2,IF(G872=Lists!$B$6,I872,0)))</f>
        <v/>
      </c>
      <c r="N872" s="52">
        <f>IF(OR(A872="",NOT(ISNUMBER(I872))),"",IF(G872=Lists!$B$5,I872/2,IF(G872=Lists!$B$7,I872,0)))</f>
        <v/>
      </c>
      <c r="O872" s="53">
        <f>IF(COUNTA(A872:K872)=0,"",IF(OR(A872="",B872="",C872="",D872="",E872="",F872="",G872="",NOT(ISNUMBER(I872))),"Incomplete",IF(COUNTIF(Lists!$H$4:$AA$4,C872)=0,"Check category",IF(COUNTIF(INDEX(Lists!$H$6:$AA$45,0,MATCH(C872,Lists!$H$4:$AA$4,0)),D872)=0,"Check sub-category","OK"))))</f>
        <v/>
      </c>
      <c r="P872">
        <f>IF(ISNUMBER(I872),I872+ROW()/10000000,"")</f>
        <v/>
      </c>
      <c r="Q872">
        <f>IF(AND(ISNUMBER(P872),ISNUMBER(A872)),IF(AND(A872&gt;=Dashboard!$Q$3,A872&lt;=Dashboard!$Q$4,OR(J872&lt;&gt;"Yes",Dashboard!$Q$15="Yes")),P872,""),"")</f>
        <v/>
      </c>
    </row>
    <row r="873">
      <c r="A873" s="47" t="n"/>
      <c r="B873" s="48" t="n"/>
      <c r="C873" s="48" t="n"/>
      <c r="D873" s="48" t="n"/>
      <c r="E873" s="48" t="n"/>
      <c r="F873" s="48" t="n"/>
      <c r="G873" s="48" t="n"/>
      <c r="H873" s="48" t="n"/>
      <c r="I873" s="49" t="n"/>
      <c r="J873" s="50" t="n"/>
      <c r="K873" s="48" t="n"/>
      <c r="L873" s="51">
        <f>IF(A873="","",DATE(YEAR(A873),MONTH(A873),1))</f>
        <v/>
      </c>
      <c r="M873" s="52">
        <f>IF(OR(A873="",NOT(ISNUMBER(I873))),"",IF(G873=Lists!$B$5,I873/2,IF(G873=Lists!$B$6,I873,0)))</f>
        <v/>
      </c>
      <c r="N873" s="52">
        <f>IF(OR(A873="",NOT(ISNUMBER(I873))),"",IF(G873=Lists!$B$5,I873/2,IF(G873=Lists!$B$7,I873,0)))</f>
        <v/>
      </c>
      <c r="O873" s="53">
        <f>IF(COUNTA(A873:K873)=0,"",IF(OR(A873="",B873="",C873="",D873="",E873="",F873="",G873="",NOT(ISNUMBER(I873))),"Incomplete",IF(COUNTIF(Lists!$H$4:$AA$4,C873)=0,"Check category",IF(COUNTIF(INDEX(Lists!$H$6:$AA$45,0,MATCH(C873,Lists!$H$4:$AA$4,0)),D873)=0,"Check sub-category","OK"))))</f>
        <v/>
      </c>
      <c r="P873">
        <f>IF(ISNUMBER(I873),I873+ROW()/10000000,"")</f>
        <v/>
      </c>
      <c r="Q873">
        <f>IF(AND(ISNUMBER(P873),ISNUMBER(A873)),IF(AND(A873&gt;=Dashboard!$Q$3,A873&lt;=Dashboard!$Q$4,OR(J873&lt;&gt;"Yes",Dashboard!$Q$15="Yes")),P873,""),"")</f>
        <v/>
      </c>
    </row>
    <row r="874">
      <c r="A874" s="47" t="n"/>
      <c r="B874" s="48" t="n"/>
      <c r="C874" s="48" t="n"/>
      <c r="D874" s="48" t="n"/>
      <c r="E874" s="48" t="n"/>
      <c r="F874" s="48" t="n"/>
      <c r="G874" s="48" t="n"/>
      <c r="H874" s="48" t="n"/>
      <c r="I874" s="49" t="n"/>
      <c r="J874" s="50" t="n"/>
      <c r="K874" s="48" t="n"/>
      <c r="L874" s="51">
        <f>IF(A874="","",DATE(YEAR(A874),MONTH(A874),1))</f>
        <v/>
      </c>
      <c r="M874" s="52">
        <f>IF(OR(A874="",NOT(ISNUMBER(I874))),"",IF(G874=Lists!$B$5,I874/2,IF(G874=Lists!$B$6,I874,0)))</f>
        <v/>
      </c>
      <c r="N874" s="52">
        <f>IF(OR(A874="",NOT(ISNUMBER(I874))),"",IF(G874=Lists!$B$5,I874/2,IF(G874=Lists!$B$7,I874,0)))</f>
        <v/>
      </c>
      <c r="O874" s="53">
        <f>IF(COUNTA(A874:K874)=0,"",IF(OR(A874="",B874="",C874="",D874="",E874="",F874="",G874="",NOT(ISNUMBER(I874))),"Incomplete",IF(COUNTIF(Lists!$H$4:$AA$4,C874)=0,"Check category",IF(COUNTIF(INDEX(Lists!$H$6:$AA$45,0,MATCH(C874,Lists!$H$4:$AA$4,0)),D874)=0,"Check sub-category","OK"))))</f>
        <v/>
      </c>
      <c r="P874">
        <f>IF(ISNUMBER(I874),I874+ROW()/10000000,"")</f>
        <v/>
      </c>
      <c r="Q874">
        <f>IF(AND(ISNUMBER(P874),ISNUMBER(A874)),IF(AND(A874&gt;=Dashboard!$Q$3,A874&lt;=Dashboard!$Q$4,OR(J874&lt;&gt;"Yes",Dashboard!$Q$15="Yes")),P874,""),"")</f>
        <v/>
      </c>
    </row>
    <row r="875">
      <c r="A875" s="47" t="n"/>
      <c r="B875" s="48" t="n"/>
      <c r="C875" s="48" t="n"/>
      <c r="D875" s="48" t="n"/>
      <c r="E875" s="48" t="n"/>
      <c r="F875" s="48" t="n"/>
      <c r="G875" s="48" t="n"/>
      <c r="H875" s="48" t="n"/>
      <c r="I875" s="49" t="n"/>
      <c r="J875" s="50" t="n"/>
      <c r="K875" s="48" t="n"/>
      <c r="L875" s="51">
        <f>IF(A875="","",DATE(YEAR(A875),MONTH(A875),1))</f>
        <v/>
      </c>
      <c r="M875" s="52">
        <f>IF(OR(A875="",NOT(ISNUMBER(I875))),"",IF(G875=Lists!$B$5,I875/2,IF(G875=Lists!$B$6,I875,0)))</f>
        <v/>
      </c>
      <c r="N875" s="52">
        <f>IF(OR(A875="",NOT(ISNUMBER(I875))),"",IF(G875=Lists!$B$5,I875/2,IF(G875=Lists!$B$7,I875,0)))</f>
        <v/>
      </c>
      <c r="O875" s="53">
        <f>IF(COUNTA(A875:K875)=0,"",IF(OR(A875="",B875="",C875="",D875="",E875="",F875="",G875="",NOT(ISNUMBER(I875))),"Incomplete",IF(COUNTIF(Lists!$H$4:$AA$4,C875)=0,"Check category",IF(COUNTIF(INDEX(Lists!$H$6:$AA$45,0,MATCH(C875,Lists!$H$4:$AA$4,0)),D875)=0,"Check sub-category","OK"))))</f>
        <v/>
      </c>
      <c r="P875">
        <f>IF(ISNUMBER(I875),I875+ROW()/10000000,"")</f>
        <v/>
      </c>
      <c r="Q875">
        <f>IF(AND(ISNUMBER(P875),ISNUMBER(A875)),IF(AND(A875&gt;=Dashboard!$Q$3,A875&lt;=Dashboard!$Q$4,OR(J875&lt;&gt;"Yes",Dashboard!$Q$15="Yes")),P875,""),"")</f>
        <v/>
      </c>
    </row>
    <row r="876">
      <c r="A876" s="47" t="n"/>
      <c r="B876" s="48" t="n"/>
      <c r="C876" s="48" t="n"/>
      <c r="D876" s="48" t="n"/>
      <c r="E876" s="48" t="n"/>
      <c r="F876" s="48" t="n"/>
      <c r="G876" s="48" t="n"/>
      <c r="H876" s="48" t="n"/>
      <c r="I876" s="49" t="n"/>
      <c r="J876" s="50" t="n"/>
      <c r="K876" s="48" t="n"/>
      <c r="L876" s="51">
        <f>IF(A876="","",DATE(YEAR(A876),MONTH(A876),1))</f>
        <v/>
      </c>
      <c r="M876" s="52">
        <f>IF(OR(A876="",NOT(ISNUMBER(I876))),"",IF(G876=Lists!$B$5,I876/2,IF(G876=Lists!$B$6,I876,0)))</f>
        <v/>
      </c>
      <c r="N876" s="52">
        <f>IF(OR(A876="",NOT(ISNUMBER(I876))),"",IF(G876=Lists!$B$5,I876/2,IF(G876=Lists!$B$7,I876,0)))</f>
        <v/>
      </c>
      <c r="O876" s="53">
        <f>IF(COUNTA(A876:K876)=0,"",IF(OR(A876="",B876="",C876="",D876="",E876="",F876="",G876="",NOT(ISNUMBER(I876))),"Incomplete",IF(COUNTIF(Lists!$H$4:$AA$4,C876)=0,"Check category",IF(COUNTIF(INDEX(Lists!$H$6:$AA$45,0,MATCH(C876,Lists!$H$4:$AA$4,0)),D876)=0,"Check sub-category","OK"))))</f>
        <v/>
      </c>
      <c r="P876">
        <f>IF(ISNUMBER(I876),I876+ROW()/10000000,"")</f>
        <v/>
      </c>
      <c r="Q876">
        <f>IF(AND(ISNUMBER(P876),ISNUMBER(A876)),IF(AND(A876&gt;=Dashboard!$Q$3,A876&lt;=Dashboard!$Q$4,OR(J876&lt;&gt;"Yes",Dashboard!$Q$15="Yes")),P876,""),"")</f>
        <v/>
      </c>
    </row>
    <row r="877">
      <c r="A877" s="47" t="n"/>
      <c r="B877" s="48" t="n"/>
      <c r="C877" s="48" t="n"/>
      <c r="D877" s="48" t="n"/>
      <c r="E877" s="48" t="n"/>
      <c r="F877" s="48" t="n"/>
      <c r="G877" s="48" t="n"/>
      <c r="H877" s="48" t="n"/>
      <c r="I877" s="49" t="n"/>
      <c r="J877" s="50" t="n"/>
      <c r="K877" s="48" t="n"/>
      <c r="L877" s="51">
        <f>IF(A877="","",DATE(YEAR(A877),MONTH(A877),1))</f>
        <v/>
      </c>
      <c r="M877" s="52">
        <f>IF(OR(A877="",NOT(ISNUMBER(I877))),"",IF(G877=Lists!$B$5,I877/2,IF(G877=Lists!$B$6,I877,0)))</f>
        <v/>
      </c>
      <c r="N877" s="52">
        <f>IF(OR(A877="",NOT(ISNUMBER(I877))),"",IF(G877=Lists!$B$5,I877/2,IF(G877=Lists!$B$7,I877,0)))</f>
        <v/>
      </c>
      <c r="O877" s="53">
        <f>IF(COUNTA(A877:K877)=0,"",IF(OR(A877="",B877="",C877="",D877="",E877="",F877="",G877="",NOT(ISNUMBER(I877))),"Incomplete",IF(COUNTIF(Lists!$H$4:$AA$4,C877)=0,"Check category",IF(COUNTIF(INDEX(Lists!$H$6:$AA$45,0,MATCH(C877,Lists!$H$4:$AA$4,0)),D877)=0,"Check sub-category","OK"))))</f>
        <v/>
      </c>
      <c r="P877">
        <f>IF(ISNUMBER(I877),I877+ROW()/10000000,"")</f>
        <v/>
      </c>
      <c r="Q877">
        <f>IF(AND(ISNUMBER(P877),ISNUMBER(A877)),IF(AND(A877&gt;=Dashboard!$Q$3,A877&lt;=Dashboard!$Q$4,OR(J877&lt;&gt;"Yes",Dashboard!$Q$15="Yes")),P877,""),"")</f>
        <v/>
      </c>
    </row>
    <row r="878">
      <c r="A878" s="47" t="n"/>
      <c r="B878" s="48" t="n"/>
      <c r="C878" s="48" t="n"/>
      <c r="D878" s="48" t="n"/>
      <c r="E878" s="48" t="n"/>
      <c r="F878" s="48" t="n"/>
      <c r="G878" s="48" t="n"/>
      <c r="H878" s="48" t="n"/>
      <c r="I878" s="49" t="n"/>
      <c r="J878" s="50" t="n"/>
      <c r="K878" s="48" t="n"/>
      <c r="L878" s="51">
        <f>IF(A878="","",DATE(YEAR(A878),MONTH(A878),1))</f>
        <v/>
      </c>
      <c r="M878" s="52">
        <f>IF(OR(A878="",NOT(ISNUMBER(I878))),"",IF(G878=Lists!$B$5,I878/2,IF(G878=Lists!$B$6,I878,0)))</f>
        <v/>
      </c>
      <c r="N878" s="52">
        <f>IF(OR(A878="",NOT(ISNUMBER(I878))),"",IF(G878=Lists!$B$5,I878/2,IF(G878=Lists!$B$7,I878,0)))</f>
        <v/>
      </c>
      <c r="O878" s="53">
        <f>IF(COUNTA(A878:K878)=0,"",IF(OR(A878="",B878="",C878="",D878="",E878="",F878="",G878="",NOT(ISNUMBER(I878))),"Incomplete",IF(COUNTIF(Lists!$H$4:$AA$4,C878)=0,"Check category",IF(COUNTIF(INDEX(Lists!$H$6:$AA$45,0,MATCH(C878,Lists!$H$4:$AA$4,0)),D878)=0,"Check sub-category","OK"))))</f>
        <v/>
      </c>
      <c r="P878">
        <f>IF(ISNUMBER(I878),I878+ROW()/10000000,"")</f>
        <v/>
      </c>
      <c r="Q878">
        <f>IF(AND(ISNUMBER(P878),ISNUMBER(A878)),IF(AND(A878&gt;=Dashboard!$Q$3,A878&lt;=Dashboard!$Q$4,OR(J878&lt;&gt;"Yes",Dashboard!$Q$15="Yes")),P878,""),"")</f>
        <v/>
      </c>
    </row>
    <row r="879">
      <c r="A879" s="47" t="n"/>
      <c r="B879" s="48" t="n"/>
      <c r="C879" s="48" t="n"/>
      <c r="D879" s="48" t="n"/>
      <c r="E879" s="48" t="n"/>
      <c r="F879" s="48" t="n"/>
      <c r="G879" s="48" t="n"/>
      <c r="H879" s="48" t="n"/>
      <c r="I879" s="49" t="n"/>
      <c r="J879" s="50" t="n"/>
      <c r="K879" s="48" t="n"/>
      <c r="L879" s="51">
        <f>IF(A879="","",DATE(YEAR(A879),MONTH(A879),1))</f>
        <v/>
      </c>
      <c r="M879" s="52">
        <f>IF(OR(A879="",NOT(ISNUMBER(I879))),"",IF(G879=Lists!$B$5,I879/2,IF(G879=Lists!$B$6,I879,0)))</f>
        <v/>
      </c>
      <c r="N879" s="52">
        <f>IF(OR(A879="",NOT(ISNUMBER(I879))),"",IF(G879=Lists!$B$5,I879/2,IF(G879=Lists!$B$7,I879,0)))</f>
        <v/>
      </c>
      <c r="O879" s="53">
        <f>IF(COUNTA(A879:K879)=0,"",IF(OR(A879="",B879="",C879="",D879="",E879="",F879="",G879="",NOT(ISNUMBER(I879))),"Incomplete",IF(COUNTIF(Lists!$H$4:$AA$4,C879)=0,"Check category",IF(COUNTIF(INDEX(Lists!$H$6:$AA$45,0,MATCH(C879,Lists!$H$4:$AA$4,0)),D879)=0,"Check sub-category","OK"))))</f>
        <v/>
      </c>
      <c r="P879">
        <f>IF(ISNUMBER(I879),I879+ROW()/10000000,"")</f>
        <v/>
      </c>
      <c r="Q879">
        <f>IF(AND(ISNUMBER(P879),ISNUMBER(A879)),IF(AND(A879&gt;=Dashboard!$Q$3,A879&lt;=Dashboard!$Q$4,OR(J879&lt;&gt;"Yes",Dashboard!$Q$15="Yes")),P879,""),"")</f>
        <v/>
      </c>
    </row>
    <row r="880">
      <c r="A880" s="47" t="n"/>
      <c r="B880" s="48" t="n"/>
      <c r="C880" s="48" t="n"/>
      <c r="D880" s="48" t="n"/>
      <c r="E880" s="48" t="n"/>
      <c r="F880" s="48" t="n"/>
      <c r="G880" s="48" t="n"/>
      <c r="H880" s="48" t="n"/>
      <c r="I880" s="49" t="n"/>
      <c r="J880" s="50" t="n"/>
      <c r="K880" s="48" t="n"/>
      <c r="L880" s="51">
        <f>IF(A880="","",DATE(YEAR(A880),MONTH(A880),1))</f>
        <v/>
      </c>
      <c r="M880" s="52">
        <f>IF(OR(A880="",NOT(ISNUMBER(I880))),"",IF(G880=Lists!$B$5,I880/2,IF(G880=Lists!$B$6,I880,0)))</f>
        <v/>
      </c>
      <c r="N880" s="52">
        <f>IF(OR(A880="",NOT(ISNUMBER(I880))),"",IF(G880=Lists!$B$5,I880/2,IF(G880=Lists!$B$7,I880,0)))</f>
        <v/>
      </c>
      <c r="O880" s="53">
        <f>IF(COUNTA(A880:K880)=0,"",IF(OR(A880="",B880="",C880="",D880="",E880="",F880="",G880="",NOT(ISNUMBER(I880))),"Incomplete",IF(COUNTIF(Lists!$H$4:$AA$4,C880)=0,"Check category",IF(COUNTIF(INDEX(Lists!$H$6:$AA$45,0,MATCH(C880,Lists!$H$4:$AA$4,0)),D880)=0,"Check sub-category","OK"))))</f>
        <v/>
      </c>
      <c r="P880">
        <f>IF(ISNUMBER(I880),I880+ROW()/10000000,"")</f>
        <v/>
      </c>
      <c r="Q880">
        <f>IF(AND(ISNUMBER(P880),ISNUMBER(A880)),IF(AND(A880&gt;=Dashboard!$Q$3,A880&lt;=Dashboard!$Q$4,OR(J880&lt;&gt;"Yes",Dashboard!$Q$15="Yes")),P880,""),"")</f>
        <v/>
      </c>
    </row>
    <row r="881">
      <c r="A881" s="47" t="n"/>
      <c r="B881" s="48" t="n"/>
      <c r="C881" s="48" t="n"/>
      <c r="D881" s="48" t="n"/>
      <c r="E881" s="48" t="n"/>
      <c r="F881" s="48" t="n"/>
      <c r="G881" s="48" t="n"/>
      <c r="H881" s="48" t="n"/>
      <c r="I881" s="49" t="n"/>
      <c r="J881" s="50" t="n"/>
      <c r="K881" s="48" t="n"/>
      <c r="L881" s="51">
        <f>IF(A881="","",DATE(YEAR(A881),MONTH(A881),1))</f>
        <v/>
      </c>
      <c r="M881" s="52">
        <f>IF(OR(A881="",NOT(ISNUMBER(I881))),"",IF(G881=Lists!$B$5,I881/2,IF(G881=Lists!$B$6,I881,0)))</f>
        <v/>
      </c>
      <c r="N881" s="52">
        <f>IF(OR(A881="",NOT(ISNUMBER(I881))),"",IF(G881=Lists!$B$5,I881/2,IF(G881=Lists!$B$7,I881,0)))</f>
        <v/>
      </c>
      <c r="O881" s="53">
        <f>IF(COUNTA(A881:K881)=0,"",IF(OR(A881="",B881="",C881="",D881="",E881="",F881="",G881="",NOT(ISNUMBER(I881))),"Incomplete",IF(COUNTIF(Lists!$H$4:$AA$4,C881)=0,"Check category",IF(COUNTIF(INDEX(Lists!$H$6:$AA$45,0,MATCH(C881,Lists!$H$4:$AA$4,0)),D881)=0,"Check sub-category","OK"))))</f>
        <v/>
      </c>
      <c r="P881">
        <f>IF(ISNUMBER(I881),I881+ROW()/10000000,"")</f>
        <v/>
      </c>
      <c r="Q881">
        <f>IF(AND(ISNUMBER(P881),ISNUMBER(A881)),IF(AND(A881&gt;=Dashboard!$Q$3,A881&lt;=Dashboard!$Q$4,OR(J881&lt;&gt;"Yes",Dashboard!$Q$15="Yes")),P881,""),"")</f>
        <v/>
      </c>
    </row>
    <row r="882">
      <c r="A882" s="47" t="n"/>
      <c r="B882" s="48" t="n"/>
      <c r="C882" s="48" t="n"/>
      <c r="D882" s="48" t="n"/>
      <c r="E882" s="48" t="n"/>
      <c r="F882" s="48" t="n"/>
      <c r="G882" s="48" t="n"/>
      <c r="H882" s="48" t="n"/>
      <c r="I882" s="49" t="n"/>
      <c r="J882" s="50" t="n"/>
      <c r="K882" s="48" t="n"/>
      <c r="L882" s="51">
        <f>IF(A882="","",DATE(YEAR(A882),MONTH(A882),1))</f>
        <v/>
      </c>
      <c r="M882" s="52">
        <f>IF(OR(A882="",NOT(ISNUMBER(I882))),"",IF(G882=Lists!$B$5,I882/2,IF(G882=Lists!$B$6,I882,0)))</f>
        <v/>
      </c>
      <c r="N882" s="52">
        <f>IF(OR(A882="",NOT(ISNUMBER(I882))),"",IF(G882=Lists!$B$5,I882/2,IF(G882=Lists!$B$7,I882,0)))</f>
        <v/>
      </c>
      <c r="O882" s="53">
        <f>IF(COUNTA(A882:K882)=0,"",IF(OR(A882="",B882="",C882="",D882="",E882="",F882="",G882="",NOT(ISNUMBER(I882))),"Incomplete",IF(COUNTIF(Lists!$H$4:$AA$4,C882)=0,"Check category",IF(COUNTIF(INDEX(Lists!$H$6:$AA$45,0,MATCH(C882,Lists!$H$4:$AA$4,0)),D882)=0,"Check sub-category","OK"))))</f>
        <v/>
      </c>
      <c r="P882">
        <f>IF(ISNUMBER(I882),I882+ROW()/10000000,"")</f>
        <v/>
      </c>
      <c r="Q882">
        <f>IF(AND(ISNUMBER(P882),ISNUMBER(A882)),IF(AND(A882&gt;=Dashboard!$Q$3,A882&lt;=Dashboard!$Q$4,OR(J882&lt;&gt;"Yes",Dashboard!$Q$15="Yes")),P882,""),"")</f>
        <v/>
      </c>
    </row>
    <row r="883">
      <c r="A883" s="47" t="n"/>
      <c r="B883" s="48" t="n"/>
      <c r="C883" s="48" t="n"/>
      <c r="D883" s="48" t="n"/>
      <c r="E883" s="48" t="n"/>
      <c r="F883" s="48" t="n"/>
      <c r="G883" s="48" t="n"/>
      <c r="H883" s="48" t="n"/>
      <c r="I883" s="49" t="n"/>
      <c r="J883" s="50" t="n"/>
      <c r="K883" s="48" t="n"/>
      <c r="L883" s="51">
        <f>IF(A883="","",DATE(YEAR(A883),MONTH(A883),1))</f>
        <v/>
      </c>
      <c r="M883" s="52">
        <f>IF(OR(A883="",NOT(ISNUMBER(I883))),"",IF(G883=Lists!$B$5,I883/2,IF(G883=Lists!$B$6,I883,0)))</f>
        <v/>
      </c>
      <c r="N883" s="52">
        <f>IF(OR(A883="",NOT(ISNUMBER(I883))),"",IF(G883=Lists!$B$5,I883/2,IF(G883=Lists!$B$7,I883,0)))</f>
        <v/>
      </c>
      <c r="O883" s="53">
        <f>IF(COUNTA(A883:K883)=0,"",IF(OR(A883="",B883="",C883="",D883="",E883="",F883="",G883="",NOT(ISNUMBER(I883))),"Incomplete",IF(COUNTIF(Lists!$H$4:$AA$4,C883)=0,"Check category",IF(COUNTIF(INDEX(Lists!$H$6:$AA$45,0,MATCH(C883,Lists!$H$4:$AA$4,0)),D883)=0,"Check sub-category","OK"))))</f>
        <v/>
      </c>
      <c r="P883">
        <f>IF(ISNUMBER(I883),I883+ROW()/10000000,"")</f>
        <v/>
      </c>
      <c r="Q883">
        <f>IF(AND(ISNUMBER(P883),ISNUMBER(A883)),IF(AND(A883&gt;=Dashboard!$Q$3,A883&lt;=Dashboard!$Q$4,OR(J883&lt;&gt;"Yes",Dashboard!$Q$15="Yes")),P883,""),"")</f>
        <v/>
      </c>
    </row>
    <row r="884">
      <c r="A884" s="47" t="n"/>
      <c r="B884" s="48" t="n"/>
      <c r="C884" s="48" t="n"/>
      <c r="D884" s="48" t="n"/>
      <c r="E884" s="48" t="n"/>
      <c r="F884" s="48" t="n"/>
      <c r="G884" s="48" t="n"/>
      <c r="H884" s="48" t="n"/>
      <c r="I884" s="49" t="n"/>
      <c r="J884" s="50" t="n"/>
      <c r="K884" s="48" t="n"/>
      <c r="L884" s="51">
        <f>IF(A884="","",DATE(YEAR(A884),MONTH(A884),1))</f>
        <v/>
      </c>
      <c r="M884" s="52">
        <f>IF(OR(A884="",NOT(ISNUMBER(I884))),"",IF(G884=Lists!$B$5,I884/2,IF(G884=Lists!$B$6,I884,0)))</f>
        <v/>
      </c>
      <c r="N884" s="52">
        <f>IF(OR(A884="",NOT(ISNUMBER(I884))),"",IF(G884=Lists!$B$5,I884/2,IF(G884=Lists!$B$7,I884,0)))</f>
        <v/>
      </c>
      <c r="O884" s="53">
        <f>IF(COUNTA(A884:K884)=0,"",IF(OR(A884="",B884="",C884="",D884="",E884="",F884="",G884="",NOT(ISNUMBER(I884))),"Incomplete",IF(COUNTIF(Lists!$H$4:$AA$4,C884)=0,"Check category",IF(COUNTIF(INDEX(Lists!$H$6:$AA$45,0,MATCH(C884,Lists!$H$4:$AA$4,0)),D884)=0,"Check sub-category","OK"))))</f>
        <v/>
      </c>
      <c r="P884">
        <f>IF(ISNUMBER(I884),I884+ROW()/10000000,"")</f>
        <v/>
      </c>
      <c r="Q884">
        <f>IF(AND(ISNUMBER(P884),ISNUMBER(A884)),IF(AND(A884&gt;=Dashboard!$Q$3,A884&lt;=Dashboard!$Q$4,OR(J884&lt;&gt;"Yes",Dashboard!$Q$15="Yes")),P884,""),"")</f>
        <v/>
      </c>
    </row>
    <row r="885">
      <c r="A885" s="47" t="n"/>
      <c r="B885" s="48" t="n"/>
      <c r="C885" s="48" t="n"/>
      <c r="D885" s="48" t="n"/>
      <c r="E885" s="48" t="n"/>
      <c r="F885" s="48" t="n"/>
      <c r="G885" s="48" t="n"/>
      <c r="H885" s="48" t="n"/>
      <c r="I885" s="49" t="n"/>
      <c r="J885" s="50" t="n"/>
      <c r="K885" s="48" t="n"/>
      <c r="L885" s="51">
        <f>IF(A885="","",DATE(YEAR(A885),MONTH(A885),1))</f>
        <v/>
      </c>
      <c r="M885" s="52">
        <f>IF(OR(A885="",NOT(ISNUMBER(I885))),"",IF(G885=Lists!$B$5,I885/2,IF(G885=Lists!$B$6,I885,0)))</f>
        <v/>
      </c>
      <c r="N885" s="52">
        <f>IF(OR(A885="",NOT(ISNUMBER(I885))),"",IF(G885=Lists!$B$5,I885/2,IF(G885=Lists!$B$7,I885,0)))</f>
        <v/>
      </c>
      <c r="O885" s="53">
        <f>IF(COUNTA(A885:K885)=0,"",IF(OR(A885="",B885="",C885="",D885="",E885="",F885="",G885="",NOT(ISNUMBER(I885))),"Incomplete",IF(COUNTIF(Lists!$H$4:$AA$4,C885)=0,"Check category",IF(COUNTIF(INDEX(Lists!$H$6:$AA$45,0,MATCH(C885,Lists!$H$4:$AA$4,0)),D885)=0,"Check sub-category","OK"))))</f>
        <v/>
      </c>
      <c r="P885">
        <f>IF(ISNUMBER(I885),I885+ROW()/10000000,"")</f>
        <v/>
      </c>
      <c r="Q885">
        <f>IF(AND(ISNUMBER(P885),ISNUMBER(A885)),IF(AND(A885&gt;=Dashboard!$Q$3,A885&lt;=Dashboard!$Q$4,OR(J885&lt;&gt;"Yes",Dashboard!$Q$15="Yes")),P885,""),"")</f>
        <v/>
      </c>
    </row>
    <row r="886">
      <c r="A886" s="47" t="n"/>
      <c r="B886" s="48" t="n"/>
      <c r="C886" s="48" t="n"/>
      <c r="D886" s="48" t="n"/>
      <c r="E886" s="48" t="n"/>
      <c r="F886" s="48" t="n"/>
      <c r="G886" s="48" t="n"/>
      <c r="H886" s="48" t="n"/>
      <c r="I886" s="49" t="n"/>
      <c r="J886" s="50" t="n"/>
      <c r="K886" s="48" t="n"/>
      <c r="L886" s="51">
        <f>IF(A886="","",DATE(YEAR(A886),MONTH(A886),1))</f>
        <v/>
      </c>
      <c r="M886" s="52">
        <f>IF(OR(A886="",NOT(ISNUMBER(I886))),"",IF(G886=Lists!$B$5,I886/2,IF(G886=Lists!$B$6,I886,0)))</f>
        <v/>
      </c>
      <c r="N886" s="52">
        <f>IF(OR(A886="",NOT(ISNUMBER(I886))),"",IF(G886=Lists!$B$5,I886/2,IF(G886=Lists!$B$7,I886,0)))</f>
        <v/>
      </c>
      <c r="O886" s="53">
        <f>IF(COUNTA(A886:K886)=0,"",IF(OR(A886="",B886="",C886="",D886="",E886="",F886="",G886="",NOT(ISNUMBER(I886))),"Incomplete",IF(COUNTIF(Lists!$H$4:$AA$4,C886)=0,"Check category",IF(COUNTIF(INDEX(Lists!$H$6:$AA$45,0,MATCH(C886,Lists!$H$4:$AA$4,0)),D886)=0,"Check sub-category","OK"))))</f>
        <v/>
      </c>
      <c r="P886">
        <f>IF(ISNUMBER(I886),I886+ROW()/10000000,"")</f>
        <v/>
      </c>
      <c r="Q886">
        <f>IF(AND(ISNUMBER(P886),ISNUMBER(A886)),IF(AND(A886&gt;=Dashboard!$Q$3,A886&lt;=Dashboard!$Q$4,OR(J886&lt;&gt;"Yes",Dashboard!$Q$15="Yes")),P886,""),"")</f>
        <v/>
      </c>
    </row>
    <row r="887">
      <c r="A887" s="47" t="n"/>
      <c r="B887" s="48" t="n"/>
      <c r="C887" s="48" t="n"/>
      <c r="D887" s="48" t="n"/>
      <c r="E887" s="48" t="n"/>
      <c r="F887" s="48" t="n"/>
      <c r="G887" s="48" t="n"/>
      <c r="H887" s="48" t="n"/>
      <c r="I887" s="49" t="n"/>
      <c r="J887" s="50" t="n"/>
      <c r="K887" s="48" t="n"/>
      <c r="L887" s="51">
        <f>IF(A887="","",DATE(YEAR(A887),MONTH(A887),1))</f>
        <v/>
      </c>
      <c r="M887" s="52">
        <f>IF(OR(A887="",NOT(ISNUMBER(I887))),"",IF(G887=Lists!$B$5,I887/2,IF(G887=Lists!$B$6,I887,0)))</f>
        <v/>
      </c>
      <c r="N887" s="52">
        <f>IF(OR(A887="",NOT(ISNUMBER(I887))),"",IF(G887=Lists!$B$5,I887/2,IF(G887=Lists!$B$7,I887,0)))</f>
        <v/>
      </c>
      <c r="O887" s="53">
        <f>IF(COUNTA(A887:K887)=0,"",IF(OR(A887="",B887="",C887="",D887="",E887="",F887="",G887="",NOT(ISNUMBER(I887))),"Incomplete",IF(COUNTIF(Lists!$H$4:$AA$4,C887)=0,"Check category",IF(COUNTIF(INDEX(Lists!$H$6:$AA$45,0,MATCH(C887,Lists!$H$4:$AA$4,0)),D887)=0,"Check sub-category","OK"))))</f>
        <v/>
      </c>
      <c r="P887">
        <f>IF(ISNUMBER(I887),I887+ROW()/10000000,"")</f>
        <v/>
      </c>
      <c r="Q887">
        <f>IF(AND(ISNUMBER(P887),ISNUMBER(A887)),IF(AND(A887&gt;=Dashboard!$Q$3,A887&lt;=Dashboard!$Q$4,OR(J887&lt;&gt;"Yes",Dashboard!$Q$15="Yes")),P887,""),"")</f>
        <v/>
      </c>
    </row>
    <row r="888">
      <c r="A888" s="47" t="n"/>
      <c r="B888" s="48" t="n"/>
      <c r="C888" s="48" t="n"/>
      <c r="D888" s="48" t="n"/>
      <c r="E888" s="48" t="n"/>
      <c r="F888" s="48" t="n"/>
      <c r="G888" s="48" t="n"/>
      <c r="H888" s="48" t="n"/>
      <c r="I888" s="49" t="n"/>
      <c r="J888" s="50" t="n"/>
      <c r="K888" s="48" t="n"/>
      <c r="L888" s="51">
        <f>IF(A888="","",DATE(YEAR(A888),MONTH(A888),1))</f>
        <v/>
      </c>
      <c r="M888" s="52">
        <f>IF(OR(A888="",NOT(ISNUMBER(I888))),"",IF(G888=Lists!$B$5,I888/2,IF(G888=Lists!$B$6,I888,0)))</f>
        <v/>
      </c>
      <c r="N888" s="52">
        <f>IF(OR(A888="",NOT(ISNUMBER(I888))),"",IF(G888=Lists!$B$5,I888/2,IF(G888=Lists!$B$7,I888,0)))</f>
        <v/>
      </c>
      <c r="O888" s="53">
        <f>IF(COUNTA(A888:K888)=0,"",IF(OR(A888="",B888="",C888="",D888="",E888="",F888="",G888="",NOT(ISNUMBER(I888))),"Incomplete",IF(COUNTIF(Lists!$H$4:$AA$4,C888)=0,"Check category",IF(COUNTIF(INDEX(Lists!$H$6:$AA$45,0,MATCH(C888,Lists!$H$4:$AA$4,0)),D888)=0,"Check sub-category","OK"))))</f>
        <v/>
      </c>
      <c r="P888">
        <f>IF(ISNUMBER(I888),I888+ROW()/10000000,"")</f>
        <v/>
      </c>
      <c r="Q888">
        <f>IF(AND(ISNUMBER(P888),ISNUMBER(A888)),IF(AND(A888&gt;=Dashboard!$Q$3,A888&lt;=Dashboard!$Q$4,OR(J888&lt;&gt;"Yes",Dashboard!$Q$15="Yes")),P888,""),"")</f>
        <v/>
      </c>
    </row>
    <row r="889">
      <c r="A889" s="47" t="n"/>
      <c r="B889" s="48" t="n"/>
      <c r="C889" s="48" t="n"/>
      <c r="D889" s="48" t="n"/>
      <c r="E889" s="48" t="n"/>
      <c r="F889" s="48" t="n"/>
      <c r="G889" s="48" t="n"/>
      <c r="H889" s="48" t="n"/>
      <c r="I889" s="49" t="n"/>
      <c r="J889" s="50" t="n"/>
      <c r="K889" s="48" t="n"/>
      <c r="L889" s="51">
        <f>IF(A889="","",DATE(YEAR(A889),MONTH(A889),1))</f>
        <v/>
      </c>
      <c r="M889" s="52">
        <f>IF(OR(A889="",NOT(ISNUMBER(I889))),"",IF(G889=Lists!$B$5,I889/2,IF(G889=Lists!$B$6,I889,0)))</f>
        <v/>
      </c>
      <c r="N889" s="52">
        <f>IF(OR(A889="",NOT(ISNUMBER(I889))),"",IF(G889=Lists!$B$5,I889/2,IF(G889=Lists!$B$7,I889,0)))</f>
        <v/>
      </c>
      <c r="O889" s="53">
        <f>IF(COUNTA(A889:K889)=0,"",IF(OR(A889="",B889="",C889="",D889="",E889="",F889="",G889="",NOT(ISNUMBER(I889))),"Incomplete",IF(COUNTIF(Lists!$H$4:$AA$4,C889)=0,"Check category",IF(COUNTIF(INDEX(Lists!$H$6:$AA$45,0,MATCH(C889,Lists!$H$4:$AA$4,0)),D889)=0,"Check sub-category","OK"))))</f>
        <v/>
      </c>
      <c r="P889">
        <f>IF(ISNUMBER(I889),I889+ROW()/10000000,"")</f>
        <v/>
      </c>
      <c r="Q889">
        <f>IF(AND(ISNUMBER(P889),ISNUMBER(A889)),IF(AND(A889&gt;=Dashboard!$Q$3,A889&lt;=Dashboard!$Q$4,OR(J889&lt;&gt;"Yes",Dashboard!$Q$15="Yes")),P889,""),"")</f>
        <v/>
      </c>
    </row>
    <row r="890">
      <c r="A890" s="47" t="n"/>
      <c r="B890" s="48" t="n"/>
      <c r="C890" s="48" t="n"/>
      <c r="D890" s="48" t="n"/>
      <c r="E890" s="48" t="n"/>
      <c r="F890" s="48" t="n"/>
      <c r="G890" s="48" t="n"/>
      <c r="H890" s="48" t="n"/>
      <c r="I890" s="49" t="n"/>
      <c r="J890" s="50" t="n"/>
      <c r="K890" s="48" t="n"/>
      <c r="L890" s="51">
        <f>IF(A890="","",DATE(YEAR(A890),MONTH(A890),1))</f>
        <v/>
      </c>
      <c r="M890" s="52">
        <f>IF(OR(A890="",NOT(ISNUMBER(I890))),"",IF(G890=Lists!$B$5,I890/2,IF(G890=Lists!$B$6,I890,0)))</f>
        <v/>
      </c>
      <c r="N890" s="52">
        <f>IF(OR(A890="",NOT(ISNUMBER(I890))),"",IF(G890=Lists!$B$5,I890/2,IF(G890=Lists!$B$7,I890,0)))</f>
        <v/>
      </c>
      <c r="O890" s="53">
        <f>IF(COUNTA(A890:K890)=0,"",IF(OR(A890="",B890="",C890="",D890="",E890="",F890="",G890="",NOT(ISNUMBER(I890))),"Incomplete",IF(COUNTIF(Lists!$H$4:$AA$4,C890)=0,"Check category",IF(COUNTIF(INDEX(Lists!$H$6:$AA$45,0,MATCH(C890,Lists!$H$4:$AA$4,0)),D890)=0,"Check sub-category","OK"))))</f>
        <v/>
      </c>
      <c r="P890">
        <f>IF(ISNUMBER(I890),I890+ROW()/10000000,"")</f>
        <v/>
      </c>
      <c r="Q890">
        <f>IF(AND(ISNUMBER(P890),ISNUMBER(A890)),IF(AND(A890&gt;=Dashboard!$Q$3,A890&lt;=Dashboard!$Q$4,OR(J890&lt;&gt;"Yes",Dashboard!$Q$15="Yes")),P890,""),"")</f>
        <v/>
      </c>
    </row>
    <row r="891">
      <c r="A891" s="47" t="n"/>
      <c r="B891" s="48" t="n"/>
      <c r="C891" s="48" t="n"/>
      <c r="D891" s="48" t="n"/>
      <c r="E891" s="48" t="n"/>
      <c r="F891" s="48" t="n"/>
      <c r="G891" s="48" t="n"/>
      <c r="H891" s="48" t="n"/>
      <c r="I891" s="49" t="n"/>
      <c r="J891" s="50" t="n"/>
      <c r="K891" s="48" t="n"/>
      <c r="L891" s="51">
        <f>IF(A891="","",DATE(YEAR(A891),MONTH(A891),1))</f>
        <v/>
      </c>
      <c r="M891" s="52">
        <f>IF(OR(A891="",NOT(ISNUMBER(I891))),"",IF(G891=Lists!$B$5,I891/2,IF(G891=Lists!$B$6,I891,0)))</f>
        <v/>
      </c>
      <c r="N891" s="52">
        <f>IF(OR(A891="",NOT(ISNUMBER(I891))),"",IF(G891=Lists!$B$5,I891/2,IF(G891=Lists!$B$7,I891,0)))</f>
        <v/>
      </c>
      <c r="O891" s="53">
        <f>IF(COUNTA(A891:K891)=0,"",IF(OR(A891="",B891="",C891="",D891="",E891="",F891="",G891="",NOT(ISNUMBER(I891))),"Incomplete",IF(COUNTIF(Lists!$H$4:$AA$4,C891)=0,"Check category",IF(COUNTIF(INDEX(Lists!$H$6:$AA$45,0,MATCH(C891,Lists!$H$4:$AA$4,0)),D891)=0,"Check sub-category","OK"))))</f>
        <v/>
      </c>
      <c r="P891">
        <f>IF(ISNUMBER(I891),I891+ROW()/10000000,"")</f>
        <v/>
      </c>
      <c r="Q891">
        <f>IF(AND(ISNUMBER(P891),ISNUMBER(A891)),IF(AND(A891&gt;=Dashboard!$Q$3,A891&lt;=Dashboard!$Q$4,OR(J891&lt;&gt;"Yes",Dashboard!$Q$15="Yes")),P891,""),"")</f>
        <v/>
      </c>
    </row>
    <row r="892">
      <c r="A892" s="47" t="n"/>
      <c r="B892" s="48" t="n"/>
      <c r="C892" s="48" t="n"/>
      <c r="D892" s="48" t="n"/>
      <c r="E892" s="48" t="n"/>
      <c r="F892" s="48" t="n"/>
      <c r="G892" s="48" t="n"/>
      <c r="H892" s="48" t="n"/>
      <c r="I892" s="49" t="n"/>
      <c r="J892" s="50" t="n"/>
      <c r="K892" s="48" t="n"/>
      <c r="L892" s="51">
        <f>IF(A892="","",DATE(YEAR(A892),MONTH(A892),1))</f>
        <v/>
      </c>
      <c r="M892" s="52">
        <f>IF(OR(A892="",NOT(ISNUMBER(I892))),"",IF(G892=Lists!$B$5,I892/2,IF(G892=Lists!$B$6,I892,0)))</f>
        <v/>
      </c>
      <c r="N892" s="52">
        <f>IF(OR(A892="",NOT(ISNUMBER(I892))),"",IF(G892=Lists!$B$5,I892/2,IF(G892=Lists!$B$7,I892,0)))</f>
        <v/>
      </c>
      <c r="O892" s="53">
        <f>IF(COUNTA(A892:K892)=0,"",IF(OR(A892="",B892="",C892="",D892="",E892="",F892="",G892="",NOT(ISNUMBER(I892))),"Incomplete",IF(COUNTIF(Lists!$H$4:$AA$4,C892)=0,"Check category",IF(COUNTIF(INDEX(Lists!$H$6:$AA$45,0,MATCH(C892,Lists!$H$4:$AA$4,0)),D892)=0,"Check sub-category","OK"))))</f>
        <v/>
      </c>
      <c r="P892">
        <f>IF(ISNUMBER(I892),I892+ROW()/10000000,"")</f>
        <v/>
      </c>
      <c r="Q892">
        <f>IF(AND(ISNUMBER(P892),ISNUMBER(A892)),IF(AND(A892&gt;=Dashboard!$Q$3,A892&lt;=Dashboard!$Q$4,OR(J892&lt;&gt;"Yes",Dashboard!$Q$15="Yes")),P892,""),"")</f>
        <v/>
      </c>
    </row>
    <row r="893">
      <c r="A893" s="47" t="n"/>
      <c r="B893" s="48" t="n"/>
      <c r="C893" s="48" t="n"/>
      <c r="D893" s="48" t="n"/>
      <c r="E893" s="48" t="n"/>
      <c r="F893" s="48" t="n"/>
      <c r="G893" s="48" t="n"/>
      <c r="H893" s="48" t="n"/>
      <c r="I893" s="49" t="n"/>
      <c r="J893" s="50" t="n"/>
      <c r="K893" s="48" t="n"/>
      <c r="L893" s="51">
        <f>IF(A893="","",DATE(YEAR(A893),MONTH(A893),1))</f>
        <v/>
      </c>
      <c r="M893" s="52">
        <f>IF(OR(A893="",NOT(ISNUMBER(I893))),"",IF(G893=Lists!$B$5,I893/2,IF(G893=Lists!$B$6,I893,0)))</f>
        <v/>
      </c>
      <c r="N893" s="52">
        <f>IF(OR(A893="",NOT(ISNUMBER(I893))),"",IF(G893=Lists!$B$5,I893/2,IF(G893=Lists!$B$7,I893,0)))</f>
        <v/>
      </c>
      <c r="O893" s="53">
        <f>IF(COUNTA(A893:K893)=0,"",IF(OR(A893="",B893="",C893="",D893="",E893="",F893="",G893="",NOT(ISNUMBER(I893))),"Incomplete",IF(COUNTIF(Lists!$H$4:$AA$4,C893)=0,"Check category",IF(COUNTIF(INDEX(Lists!$H$6:$AA$45,0,MATCH(C893,Lists!$H$4:$AA$4,0)),D893)=0,"Check sub-category","OK"))))</f>
        <v/>
      </c>
      <c r="P893">
        <f>IF(ISNUMBER(I893),I893+ROW()/10000000,"")</f>
        <v/>
      </c>
      <c r="Q893">
        <f>IF(AND(ISNUMBER(P893),ISNUMBER(A893)),IF(AND(A893&gt;=Dashboard!$Q$3,A893&lt;=Dashboard!$Q$4,OR(J893&lt;&gt;"Yes",Dashboard!$Q$15="Yes")),P893,""),"")</f>
        <v/>
      </c>
    </row>
    <row r="894">
      <c r="A894" s="47" t="n"/>
      <c r="B894" s="48" t="n"/>
      <c r="C894" s="48" t="n"/>
      <c r="D894" s="48" t="n"/>
      <c r="E894" s="48" t="n"/>
      <c r="F894" s="48" t="n"/>
      <c r="G894" s="48" t="n"/>
      <c r="H894" s="48" t="n"/>
      <c r="I894" s="49" t="n"/>
      <c r="J894" s="50" t="n"/>
      <c r="K894" s="48" t="n"/>
      <c r="L894" s="51">
        <f>IF(A894="","",DATE(YEAR(A894),MONTH(A894),1))</f>
        <v/>
      </c>
      <c r="M894" s="52">
        <f>IF(OR(A894="",NOT(ISNUMBER(I894))),"",IF(G894=Lists!$B$5,I894/2,IF(G894=Lists!$B$6,I894,0)))</f>
        <v/>
      </c>
      <c r="N894" s="52">
        <f>IF(OR(A894="",NOT(ISNUMBER(I894))),"",IF(G894=Lists!$B$5,I894/2,IF(G894=Lists!$B$7,I894,0)))</f>
        <v/>
      </c>
      <c r="O894" s="53">
        <f>IF(COUNTA(A894:K894)=0,"",IF(OR(A894="",B894="",C894="",D894="",E894="",F894="",G894="",NOT(ISNUMBER(I894))),"Incomplete",IF(COUNTIF(Lists!$H$4:$AA$4,C894)=0,"Check category",IF(COUNTIF(INDEX(Lists!$H$6:$AA$45,0,MATCH(C894,Lists!$H$4:$AA$4,0)),D894)=0,"Check sub-category","OK"))))</f>
        <v/>
      </c>
      <c r="P894">
        <f>IF(ISNUMBER(I894),I894+ROW()/10000000,"")</f>
        <v/>
      </c>
      <c r="Q894">
        <f>IF(AND(ISNUMBER(P894),ISNUMBER(A894)),IF(AND(A894&gt;=Dashboard!$Q$3,A894&lt;=Dashboard!$Q$4,OR(J894&lt;&gt;"Yes",Dashboard!$Q$15="Yes")),P894,""),"")</f>
        <v/>
      </c>
    </row>
    <row r="895">
      <c r="A895" s="47" t="n"/>
      <c r="B895" s="48" t="n"/>
      <c r="C895" s="48" t="n"/>
      <c r="D895" s="48" t="n"/>
      <c r="E895" s="48" t="n"/>
      <c r="F895" s="48" t="n"/>
      <c r="G895" s="48" t="n"/>
      <c r="H895" s="48" t="n"/>
      <c r="I895" s="49" t="n"/>
      <c r="J895" s="50" t="n"/>
      <c r="K895" s="48" t="n"/>
      <c r="L895" s="51">
        <f>IF(A895="","",DATE(YEAR(A895),MONTH(A895),1))</f>
        <v/>
      </c>
      <c r="M895" s="52">
        <f>IF(OR(A895="",NOT(ISNUMBER(I895))),"",IF(G895=Lists!$B$5,I895/2,IF(G895=Lists!$B$6,I895,0)))</f>
        <v/>
      </c>
      <c r="N895" s="52">
        <f>IF(OR(A895="",NOT(ISNUMBER(I895))),"",IF(G895=Lists!$B$5,I895/2,IF(G895=Lists!$B$7,I895,0)))</f>
        <v/>
      </c>
      <c r="O895" s="53">
        <f>IF(COUNTA(A895:K895)=0,"",IF(OR(A895="",B895="",C895="",D895="",E895="",F895="",G895="",NOT(ISNUMBER(I895))),"Incomplete",IF(COUNTIF(Lists!$H$4:$AA$4,C895)=0,"Check category",IF(COUNTIF(INDEX(Lists!$H$6:$AA$45,0,MATCH(C895,Lists!$H$4:$AA$4,0)),D895)=0,"Check sub-category","OK"))))</f>
        <v/>
      </c>
      <c r="P895">
        <f>IF(ISNUMBER(I895),I895+ROW()/10000000,"")</f>
        <v/>
      </c>
      <c r="Q895">
        <f>IF(AND(ISNUMBER(P895),ISNUMBER(A895)),IF(AND(A895&gt;=Dashboard!$Q$3,A895&lt;=Dashboard!$Q$4,OR(J895&lt;&gt;"Yes",Dashboard!$Q$15="Yes")),P895,""),"")</f>
        <v/>
      </c>
    </row>
    <row r="896">
      <c r="A896" s="47" t="n"/>
      <c r="B896" s="48" t="n"/>
      <c r="C896" s="48" t="n"/>
      <c r="D896" s="48" t="n"/>
      <c r="E896" s="48" t="n"/>
      <c r="F896" s="48" t="n"/>
      <c r="G896" s="48" t="n"/>
      <c r="H896" s="48" t="n"/>
      <c r="I896" s="49" t="n"/>
      <c r="J896" s="50" t="n"/>
      <c r="K896" s="48" t="n"/>
      <c r="L896" s="51">
        <f>IF(A896="","",DATE(YEAR(A896),MONTH(A896),1))</f>
        <v/>
      </c>
      <c r="M896" s="52">
        <f>IF(OR(A896="",NOT(ISNUMBER(I896))),"",IF(G896=Lists!$B$5,I896/2,IF(G896=Lists!$B$6,I896,0)))</f>
        <v/>
      </c>
      <c r="N896" s="52">
        <f>IF(OR(A896="",NOT(ISNUMBER(I896))),"",IF(G896=Lists!$B$5,I896/2,IF(G896=Lists!$B$7,I896,0)))</f>
        <v/>
      </c>
      <c r="O896" s="53">
        <f>IF(COUNTA(A896:K896)=0,"",IF(OR(A896="",B896="",C896="",D896="",E896="",F896="",G896="",NOT(ISNUMBER(I896))),"Incomplete",IF(COUNTIF(Lists!$H$4:$AA$4,C896)=0,"Check category",IF(COUNTIF(INDEX(Lists!$H$6:$AA$45,0,MATCH(C896,Lists!$H$4:$AA$4,0)),D896)=0,"Check sub-category","OK"))))</f>
        <v/>
      </c>
      <c r="P896">
        <f>IF(ISNUMBER(I896),I896+ROW()/10000000,"")</f>
        <v/>
      </c>
      <c r="Q896">
        <f>IF(AND(ISNUMBER(P896),ISNUMBER(A896)),IF(AND(A896&gt;=Dashboard!$Q$3,A896&lt;=Dashboard!$Q$4,OR(J896&lt;&gt;"Yes",Dashboard!$Q$15="Yes")),P896,""),"")</f>
        <v/>
      </c>
    </row>
    <row r="897">
      <c r="A897" s="47" t="n"/>
      <c r="B897" s="48" t="n"/>
      <c r="C897" s="48" t="n"/>
      <c r="D897" s="48" t="n"/>
      <c r="E897" s="48" t="n"/>
      <c r="F897" s="48" t="n"/>
      <c r="G897" s="48" t="n"/>
      <c r="H897" s="48" t="n"/>
      <c r="I897" s="49" t="n"/>
      <c r="J897" s="50" t="n"/>
      <c r="K897" s="48" t="n"/>
      <c r="L897" s="51">
        <f>IF(A897="","",DATE(YEAR(A897),MONTH(A897),1))</f>
        <v/>
      </c>
      <c r="M897" s="52">
        <f>IF(OR(A897="",NOT(ISNUMBER(I897))),"",IF(G897=Lists!$B$5,I897/2,IF(G897=Lists!$B$6,I897,0)))</f>
        <v/>
      </c>
      <c r="N897" s="52">
        <f>IF(OR(A897="",NOT(ISNUMBER(I897))),"",IF(G897=Lists!$B$5,I897/2,IF(G897=Lists!$B$7,I897,0)))</f>
        <v/>
      </c>
      <c r="O897" s="53">
        <f>IF(COUNTA(A897:K897)=0,"",IF(OR(A897="",B897="",C897="",D897="",E897="",F897="",G897="",NOT(ISNUMBER(I897))),"Incomplete",IF(COUNTIF(Lists!$H$4:$AA$4,C897)=0,"Check category",IF(COUNTIF(INDEX(Lists!$H$6:$AA$45,0,MATCH(C897,Lists!$H$4:$AA$4,0)),D897)=0,"Check sub-category","OK"))))</f>
        <v/>
      </c>
      <c r="P897">
        <f>IF(ISNUMBER(I897),I897+ROW()/10000000,"")</f>
        <v/>
      </c>
      <c r="Q897">
        <f>IF(AND(ISNUMBER(P897),ISNUMBER(A897)),IF(AND(A897&gt;=Dashboard!$Q$3,A897&lt;=Dashboard!$Q$4,OR(J897&lt;&gt;"Yes",Dashboard!$Q$15="Yes")),P897,""),"")</f>
        <v/>
      </c>
    </row>
    <row r="898">
      <c r="A898" s="47" t="n"/>
      <c r="B898" s="48" t="n"/>
      <c r="C898" s="48" t="n"/>
      <c r="D898" s="48" t="n"/>
      <c r="E898" s="48" t="n"/>
      <c r="F898" s="48" t="n"/>
      <c r="G898" s="48" t="n"/>
      <c r="H898" s="48" t="n"/>
      <c r="I898" s="49" t="n"/>
      <c r="J898" s="50" t="n"/>
      <c r="K898" s="48" t="n"/>
      <c r="L898" s="51">
        <f>IF(A898="","",DATE(YEAR(A898),MONTH(A898),1))</f>
        <v/>
      </c>
      <c r="M898" s="52">
        <f>IF(OR(A898="",NOT(ISNUMBER(I898))),"",IF(G898=Lists!$B$5,I898/2,IF(G898=Lists!$B$6,I898,0)))</f>
        <v/>
      </c>
      <c r="N898" s="52">
        <f>IF(OR(A898="",NOT(ISNUMBER(I898))),"",IF(G898=Lists!$B$5,I898/2,IF(G898=Lists!$B$7,I898,0)))</f>
        <v/>
      </c>
      <c r="O898" s="53">
        <f>IF(COUNTA(A898:K898)=0,"",IF(OR(A898="",B898="",C898="",D898="",E898="",F898="",G898="",NOT(ISNUMBER(I898))),"Incomplete",IF(COUNTIF(Lists!$H$4:$AA$4,C898)=0,"Check category",IF(COUNTIF(INDEX(Lists!$H$6:$AA$45,0,MATCH(C898,Lists!$H$4:$AA$4,0)),D898)=0,"Check sub-category","OK"))))</f>
        <v/>
      </c>
      <c r="P898">
        <f>IF(ISNUMBER(I898),I898+ROW()/10000000,"")</f>
        <v/>
      </c>
      <c r="Q898">
        <f>IF(AND(ISNUMBER(P898),ISNUMBER(A898)),IF(AND(A898&gt;=Dashboard!$Q$3,A898&lt;=Dashboard!$Q$4,OR(J898&lt;&gt;"Yes",Dashboard!$Q$15="Yes")),P898,""),"")</f>
        <v/>
      </c>
    </row>
    <row r="899">
      <c r="A899" s="47" t="n"/>
      <c r="B899" s="48" t="n"/>
      <c r="C899" s="48" t="n"/>
      <c r="D899" s="48" t="n"/>
      <c r="E899" s="48" t="n"/>
      <c r="F899" s="48" t="n"/>
      <c r="G899" s="48" t="n"/>
      <c r="H899" s="48" t="n"/>
      <c r="I899" s="49" t="n"/>
      <c r="J899" s="50" t="n"/>
      <c r="K899" s="48" t="n"/>
      <c r="L899" s="51">
        <f>IF(A899="","",DATE(YEAR(A899),MONTH(A899),1))</f>
        <v/>
      </c>
      <c r="M899" s="52">
        <f>IF(OR(A899="",NOT(ISNUMBER(I899))),"",IF(G899=Lists!$B$5,I899/2,IF(G899=Lists!$B$6,I899,0)))</f>
        <v/>
      </c>
      <c r="N899" s="52">
        <f>IF(OR(A899="",NOT(ISNUMBER(I899))),"",IF(G899=Lists!$B$5,I899/2,IF(G899=Lists!$B$7,I899,0)))</f>
        <v/>
      </c>
      <c r="O899" s="53">
        <f>IF(COUNTA(A899:K899)=0,"",IF(OR(A899="",B899="",C899="",D899="",E899="",F899="",G899="",NOT(ISNUMBER(I899))),"Incomplete",IF(COUNTIF(Lists!$H$4:$AA$4,C899)=0,"Check category",IF(COUNTIF(INDEX(Lists!$H$6:$AA$45,0,MATCH(C899,Lists!$H$4:$AA$4,0)),D899)=0,"Check sub-category","OK"))))</f>
        <v/>
      </c>
      <c r="P899">
        <f>IF(ISNUMBER(I899),I899+ROW()/10000000,"")</f>
        <v/>
      </c>
      <c r="Q899">
        <f>IF(AND(ISNUMBER(P899),ISNUMBER(A899)),IF(AND(A899&gt;=Dashboard!$Q$3,A899&lt;=Dashboard!$Q$4,OR(J899&lt;&gt;"Yes",Dashboard!$Q$15="Yes")),P899,""),"")</f>
        <v/>
      </c>
    </row>
    <row r="900">
      <c r="A900" s="47" t="n"/>
      <c r="B900" s="48" t="n"/>
      <c r="C900" s="48" t="n"/>
      <c r="D900" s="48" t="n"/>
      <c r="E900" s="48" t="n"/>
      <c r="F900" s="48" t="n"/>
      <c r="G900" s="48" t="n"/>
      <c r="H900" s="48" t="n"/>
      <c r="I900" s="49" t="n"/>
      <c r="J900" s="50" t="n"/>
      <c r="K900" s="48" t="n"/>
      <c r="L900" s="51">
        <f>IF(A900="","",DATE(YEAR(A900),MONTH(A900),1))</f>
        <v/>
      </c>
      <c r="M900" s="52">
        <f>IF(OR(A900="",NOT(ISNUMBER(I900))),"",IF(G900=Lists!$B$5,I900/2,IF(G900=Lists!$B$6,I900,0)))</f>
        <v/>
      </c>
      <c r="N900" s="52">
        <f>IF(OR(A900="",NOT(ISNUMBER(I900))),"",IF(G900=Lists!$B$5,I900/2,IF(G900=Lists!$B$7,I900,0)))</f>
        <v/>
      </c>
      <c r="O900" s="53">
        <f>IF(COUNTA(A900:K900)=0,"",IF(OR(A900="",B900="",C900="",D900="",E900="",F900="",G900="",NOT(ISNUMBER(I900))),"Incomplete",IF(COUNTIF(Lists!$H$4:$AA$4,C900)=0,"Check category",IF(COUNTIF(INDEX(Lists!$H$6:$AA$45,0,MATCH(C900,Lists!$H$4:$AA$4,0)),D900)=0,"Check sub-category","OK"))))</f>
        <v/>
      </c>
      <c r="P900">
        <f>IF(ISNUMBER(I900),I900+ROW()/10000000,"")</f>
        <v/>
      </c>
      <c r="Q900">
        <f>IF(AND(ISNUMBER(P900),ISNUMBER(A900)),IF(AND(A900&gt;=Dashboard!$Q$3,A900&lt;=Dashboard!$Q$4,OR(J900&lt;&gt;"Yes",Dashboard!$Q$15="Yes")),P900,""),"")</f>
        <v/>
      </c>
    </row>
    <row r="901">
      <c r="A901" s="47" t="n"/>
      <c r="B901" s="48" t="n"/>
      <c r="C901" s="48" t="n"/>
      <c r="D901" s="48" t="n"/>
      <c r="E901" s="48" t="n"/>
      <c r="F901" s="48" t="n"/>
      <c r="G901" s="48" t="n"/>
      <c r="H901" s="48" t="n"/>
      <c r="I901" s="49" t="n"/>
      <c r="J901" s="50" t="n"/>
      <c r="K901" s="48" t="n"/>
      <c r="L901" s="51">
        <f>IF(A901="","",DATE(YEAR(A901),MONTH(A901),1))</f>
        <v/>
      </c>
      <c r="M901" s="52">
        <f>IF(OR(A901="",NOT(ISNUMBER(I901))),"",IF(G901=Lists!$B$5,I901/2,IF(G901=Lists!$B$6,I901,0)))</f>
        <v/>
      </c>
      <c r="N901" s="52">
        <f>IF(OR(A901="",NOT(ISNUMBER(I901))),"",IF(G901=Lists!$B$5,I901/2,IF(G901=Lists!$B$7,I901,0)))</f>
        <v/>
      </c>
      <c r="O901" s="53">
        <f>IF(COUNTA(A901:K901)=0,"",IF(OR(A901="",B901="",C901="",D901="",E901="",F901="",G901="",NOT(ISNUMBER(I901))),"Incomplete",IF(COUNTIF(Lists!$H$4:$AA$4,C901)=0,"Check category",IF(COUNTIF(INDEX(Lists!$H$6:$AA$45,0,MATCH(C901,Lists!$H$4:$AA$4,0)),D901)=0,"Check sub-category","OK"))))</f>
        <v/>
      </c>
      <c r="P901">
        <f>IF(ISNUMBER(I901),I901+ROW()/10000000,"")</f>
        <v/>
      </c>
      <c r="Q901">
        <f>IF(AND(ISNUMBER(P901),ISNUMBER(A901)),IF(AND(A901&gt;=Dashboard!$Q$3,A901&lt;=Dashboard!$Q$4,OR(J901&lt;&gt;"Yes",Dashboard!$Q$15="Yes")),P901,""),"")</f>
        <v/>
      </c>
    </row>
    <row r="902">
      <c r="A902" s="47" t="n"/>
      <c r="B902" s="48" t="n"/>
      <c r="C902" s="48" t="n"/>
      <c r="D902" s="48" t="n"/>
      <c r="E902" s="48" t="n"/>
      <c r="F902" s="48" t="n"/>
      <c r="G902" s="48" t="n"/>
      <c r="H902" s="48" t="n"/>
      <c r="I902" s="49" t="n"/>
      <c r="J902" s="50" t="n"/>
      <c r="K902" s="48" t="n"/>
      <c r="L902" s="51">
        <f>IF(A902="","",DATE(YEAR(A902),MONTH(A902),1))</f>
        <v/>
      </c>
      <c r="M902" s="52">
        <f>IF(OR(A902="",NOT(ISNUMBER(I902))),"",IF(G902=Lists!$B$5,I902/2,IF(G902=Lists!$B$6,I902,0)))</f>
        <v/>
      </c>
      <c r="N902" s="52">
        <f>IF(OR(A902="",NOT(ISNUMBER(I902))),"",IF(G902=Lists!$B$5,I902/2,IF(G902=Lists!$B$7,I902,0)))</f>
        <v/>
      </c>
      <c r="O902" s="53">
        <f>IF(COUNTA(A902:K902)=0,"",IF(OR(A902="",B902="",C902="",D902="",E902="",F902="",G902="",NOT(ISNUMBER(I902))),"Incomplete",IF(COUNTIF(Lists!$H$4:$AA$4,C902)=0,"Check category",IF(COUNTIF(INDEX(Lists!$H$6:$AA$45,0,MATCH(C902,Lists!$H$4:$AA$4,0)),D902)=0,"Check sub-category","OK"))))</f>
        <v/>
      </c>
      <c r="P902">
        <f>IF(ISNUMBER(I902),I902+ROW()/10000000,"")</f>
        <v/>
      </c>
      <c r="Q902">
        <f>IF(AND(ISNUMBER(P902),ISNUMBER(A902)),IF(AND(A902&gt;=Dashboard!$Q$3,A902&lt;=Dashboard!$Q$4,OR(J902&lt;&gt;"Yes",Dashboard!$Q$15="Yes")),P902,""),"")</f>
        <v/>
      </c>
    </row>
    <row r="903">
      <c r="A903" s="47" t="n"/>
      <c r="B903" s="48" t="n"/>
      <c r="C903" s="48" t="n"/>
      <c r="D903" s="48" t="n"/>
      <c r="E903" s="48" t="n"/>
      <c r="F903" s="48" t="n"/>
      <c r="G903" s="48" t="n"/>
      <c r="H903" s="48" t="n"/>
      <c r="I903" s="49" t="n"/>
      <c r="J903" s="50" t="n"/>
      <c r="K903" s="48" t="n"/>
      <c r="L903" s="51">
        <f>IF(A903="","",DATE(YEAR(A903),MONTH(A903),1))</f>
        <v/>
      </c>
      <c r="M903" s="52">
        <f>IF(OR(A903="",NOT(ISNUMBER(I903))),"",IF(G903=Lists!$B$5,I903/2,IF(G903=Lists!$B$6,I903,0)))</f>
        <v/>
      </c>
      <c r="N903" s="52">
        <f>IF(OR(A903="",NOT(ISNUMBER(I903))),"",IF(G903=Lists!$B$5,I903/2,IF(G903=Lists!$B$7,I903,0)))</f>
        <v/>
      </c>
      <c r="O903" s="53">
        <f>IF(COUNTA(A903:K903)=0,"",IF(OR(A903="",B903="",C903="",D903="",E903="",F903="",G903="",NOT(ISNUMBER(I903))),"Incomplete",IF(COUNTIF(Lists!$H$4:$AA$4,C903)=0,"Check category",IF(COUNTIF(INDEX(Lists!$H$6:$AA$45,0,MATCH(C903,Lists!$H$4:$AA$4,0)),D903)=0,"Check sub-category","OK"))))</f>
        <v/>
      </c>
      <c r="P903">
        <f>IF(ISNUMBER(I903),I903+ROW()/10000000,"")</f>
        <v/>
      </c>
      <c r="Q903">
        <f>IF(AND(ISNUMBER(P903),ISNUMBER(A903)),IF(AND(A903&gt;=Dashboard!$Q$3,A903&lt;=Dashboard!$Q$4,OR(J903&lt;&gt;"Yes",Dashboard!$Q$15="Yes")),P903,""),"")</f>
        <v/>
      </c>
    </row>
    <row r="904">
      <c r="A904" s="47" t="n"/>
      <c r="B904" s="48" t="n"/>
      <c r="C904" s="48" t="n"/>
      <c r="D904" s="48" t="n"/>
      <c r="E904" s="48" t="n"/>
      <c r="F904" s="48" t="n"/>
      <c r="G904" s="48" t="n"/>
      <c r="H904" s="48" t="n"/>
      <c r="I904" s="49" t="n"/>
      <c r="J904" s="50" t="n"/>
      <c r="K904" s="48" t="n"/>
      <c r="L904" s="51">
        <f>IF(A904="","",DATE(YEAR(A904),MONTH(A904),1))</f>
        <v/>
      </c>
      <c r="M904" s="52">
        <f>IF(OR(A904="",NOT(ISNUMBER(I904))),"",IF(G904=Lists!$B$5,I904/2,IF(G904=Lists!$B$6,I904,0)))</f>
        <v/>
      </c>
      <c r="N904" s="52">
        <f>IF(OR(A904="",NOT(ISNUMBER(I904))),"",IF(G904=Lists!$B$5,I904/2,IF(G904=Lists!$B$7,I904,0)))</f>
        <v/>
      </c>
      <c r="O904" s="53">
        <f>IF(COUNTA(A904:K904)=0,"",IF(OR(A904="",B904="",C904="",D904="",E904="",F904="",G904="",NOT(ISNUMBER(I904))),"Incomplete",IF(COUNTIF(Lists!$H$4:$AA$4,C904)=0,"Check category",IF(COUNTIF(INDEX(Lists!$H$6:$AA$45,0,MATCH(C904,Lists!$H$4:$AA$4,0)),D904)=0,"Check sub-category","OK"))))</f>
        <v/>
      </c>
      <c r="P904">
        <f>IF(ISNUMBER(I904),I904+ROW()/10000000,"")</f>
        <v/>
      </c>
      <c r="Q904">
        <f>IF(AND(ISNUMBER(P904),ISNUMBER(A904)),IF(AND(A904&gt;=Dashboard!$Q$3,A904&lt;=Dashboard!$Q$4,OR(J904&lt;&gt;"Yes",Dashboard!$Q$15="Yes")),P904,""),"")</f>
        <v/>
      </c>
    </row>
    <row r="905">
      <c r="A905" s="47" t="n"/>
      <c r="B905" s="48" t="n"/>
      <c r="C905" s="48" t="n"/>
      <c r="D905" s="48" t="n"/>
      <c r="E905" s="48" t="n"/>
      <c r="F905" s="48" t="n"/>
      <c r="G905" s="48" t="n"/>
      <c r="H905" s="48" t="n"/>
      <c r="I905" s="49" t="n"/>
      <c r="J905" s="50" t="n"/>
      <c r="K905" s="48" t="n"/>
      <c r="L905" s="51">
        <f>IF(A905="","",DATE(YEAR(A905),MONTH(A905),1))</f>
        <v/>
      </c>
      <c r="M905" s="52">
        <f>IF(OR(A905="",NOT(ISNUMBER(I905))),"",IF(G905=Lists!$B$5,I905/2,IF(G905=Lists!$B$6,I905,0)))</f>
        <v/>
      </c>
      <c r="N905" s="52">
        <f>IF(OR(A905="",NOT(ISNUMBER(I905))),"",IF(G905=Lists!$B$5,I905/2,IF(G905=Lists!$B$7,I905,0)))</f>
        <v/>
      </c>
      <c r="O905" s="53">
        <f>IF(COUNTA(A905:K905)=0,"",IF(OR(A905="",B905="",C905="",D905="",E905="",F905="",G905="",NOT(ISNUMBER(I905))),"Incomplete",IF(COUNTIF(Lists!$H$4:$AA$4,C905)=0,"Check category",IF(COUNTIF(INDEX(Lists!$H$6:$AA$45,0,MATCH(C905,Lists!$H$4:$AA$4,0)),D905)=0,"Check sub-category","OK"))))</f>
        <v/>
      </c>
      <c r="P905">
        <f>IF(ISNUMBER(I905),I905+ROW()/10000000,"")</f>
        <v/>
      </c>
      <c r="Q905">
        <f>IF(AND(ISNUMBER(P905),ISNUMBER(A905)),IF(AND(A905&gt;=Dashboard!$Q$3,A905&lt;=Dashboard!$Q$4,OR(J905&lt;&gt;"Yes",Dashboard!$Q$15="Yes")),P905,""),"")</f>
        <v/>
      </c>
    </row>
    <row r="906">
      <c r="A906" s="47" t="n"/>
      <c r="B906" s="48" t="n"/>
      <c r="C906" s="48" t="n"/>
      <c r="D906" s="48" t="n"/>
      <c r="E906" s="48" t="n"/>
      <c r="F906" s="48" t="n"/>
      <c r="G906" s="48" t="n"/>
      <c r="H906" s="48" t="n"/>
      <c r="I906" s="49" t="n"/>
      <c r="J906" s="50" t="n"/>
      <c r="K906" s="48" t="n"/>
      <c r="L906" s="51">
        <f>IF(A906="","",DATE(YEAR(A906),MONTH(A906),1))</f>
        <v/>
      </c>
      <c r="M906" s="52">
        <f>IF(OR(A906="",NOT(ISNUMBER(I906))),"",IF(G906=Lists!$B$5,I906/2,IF(G906=Lists!$B$6,I906,0)))</f>
        <v/>
      </c>
      <c r="N906" s="52">
        <f>IF(OR(A906="",NOT(ISNUMBER(I906))),"",IF(G906=Lists!$B$5,I906/2,IF(G906=Lists!$B$7,I906,0)))</f>
        <v/>
      </c>
      <c r="O906" s="53">
        <f>IF(COUNTA(A906:K906)=0,"",IF(OR(A906="",B906="",C906="",D906="",E906="",F906="",G906="",NOT(ISNUMBER(I906))),"Incomplete",IF(COUNTIF(Lists!$H$4:$AA$4,C906)=0,"Check category",IF(COUNTIF(INDEX(Lists!$H$6:$AA$45,0,MATCH(C906,Lists!$H$4:$AA$4,0)),D906)=0,"Check sub-category","OK"))))</f>
        <v/>
      </c>
      <c r="P906">
        <f>IF(ISNUMBER(I906),I906+ROW()/10000000,"")</f>
        <v/>
      </c>
      <c r="Q906">
        <f>IF(AND(ISNUMBER(P906),ISNUMBER(A906)),IF(AND(A906&gt;=Dashboard!$Q$3,A906&lt;=Dashboard!$Q$4,OR(J906&lt;&gt;"Yes",Dashboard!$Q$15="Yes")),P906,""),"")</f>
        <v/>
      </c>
    </row>
    <row r="907">
      <c r="A907" s="47" t="n"/>
      <c r="B907" s="48" t="n"/>
      <c r="C907" s="48" t="n"/>
      <c r="D907" s="48" t="n"/>
      <c r="E907" s="48" t="n"/>
      <c r="F907" s="48" t="n"/>
      <c r="G907" s="48" t="n"/>
      <c r="H907" s="48" t="n"/>
      <c r="I907" s="49" t="n"/>
      <c r="J907" s="50" t="n"/>
      <c r="K907" s="48" t="n"/>
      <c r="L907" s="51">
        <f>IF(A907="","",DATE(YEAR(A907),MONTH(A907),1))</f>
        <v/>
      </c>
      <c r="M907" s="52">
        <f>IF(OR(A907="",NOT(ISNUMBER(I907))),"",IF(G907=Lists!$B$5,I907/2,IF(G907=Lists!$B$6,I907,0)))</f>
        <v/>
      </c>
      <c r="N907" s="52">
        <f>IF(OR(A907="",NOT(ISNUMBER(I907))),"",IF(G907=Lists!$B$5,I907/2,IF(G907=Lists!$B$7,I907,0)))</f>
        <v/>
      </c>
      <c r="O907" s="53">
        <f>IF(COUNTA(A907:K907)=0,"",IF(OR(A907="",B907="",C907="",D907="",E907="",F907="",G907="",NOT(ISNUMBER(I907))),"Incomplete",IF(COUNTIF(Lists!$H$4:$AA$4,C907)=0,"Check category",IF(COUNTIF(INDEX(Lists!$H$6:$AA$45,0,MATCH(C907,Lists!$H$4:$AA$4,0)),D907)=0,"Check sub-category","OK"))))</f>
        <v/>
      </c>
      <c r="P907">
        <f>IF(ISNUMBER(I907),I907+ROW()/10000000,"")</f>
        <v/>
      </c>
      <c r="Q907">
        <f>IF(AND(ISNUMBER(P907),ISNUMBER(A907)),IF(AND(A907&gt;=Dashboard!$Q$3,A907&lt;=Dashboard!$Q$4,OR(J907&lt;&gt;"Yes",Dashboard!$Q$15="Yes")),P907,""),"")</f>
        <v/>
      </c>
    </row>
    <row r="908">
      <c r="A908" s="47" t="n"/>
      <c r="B908" s="48" t="n"/>
      <c r="C908" s="48" t="n"/>
      <c r="D908" s="48" t="n"/>
      <c r="E908" s="48" t="n"/>
      <c r="F908" s="48" t="n"/>
      <c r="G908" s="48" t="n"/>
      <c r="H908" s="48" t="n"/>
      <c r="I908" s="49" t="n"/>
      <c r="J908" s="50" t="n"/>
      <c r="K908" s="48" t="n"/>
      <c r="L908" s="51">
        <f>IF(A908="","",DATE(YEAR(A908),MONTH(A908),1))</f>
        <v/>
      </c>
      <c r="M908" s="52">
        <f>IF(OR(A908="",NOT(ISNUMBER(I908))),"",IF(G908=Lists!$B$5,I908/2,IF(G908=Lists!$B$6,I908,0)))</f>
        <v/>
      </c>
      <c r="N908" s="52">
        <f>IF(OR(A908="",NOT(ISNUMBER(I908))),"",IF(G908=Lists!$B$5,I908/2,IF(G908=Lists!$B$7,I908,0)))</f>
        <v/>
      </c>
      <c r="O908" s="53">
        <f>IF(COUNTA(A908:K908)=0,"",IF(OR(A908="",B908="",C908="",D908="",E908="",F908="",G908="",NOT(ISNUMBER(I908))),"Incomplete",IF(COUNTIF(Lists!$H$4:$AA$4,C908)=0,"Check category",IF(COUNTIF(INDEX(Lists!$H$6:$AA$45,0,MATCH(C908,Lists!$H$4:$AA$4,0)),D908)=0,"Check sub-category","OK"))))</f>
        <v/>
      </c>
      <c r="P908">
        <f>IF(ISNUMBER(I908),I908+ROW()/10000000,"")</f>
        <v/>
      </c>
      <c r="Q908">
        <f>IF(AND(ISNUMBER(P908),ISNUMBER(A908)),IF(AND(A908&gt;=Dashboard!$Q$3,A908&lt;=Dashboard!$Q$4,OR(J908&lt;&gt;"Yes",Dashboard!$Q$15="Yes")),P908,""),"")</f>
        <v/>
      </c>
    </row>
    <row r="909">
      <c r="A909" s="47" t="n"/>
      <c r="B909" s="48" t="n"/>
      <c r="C909" s="48" t="n"/>
      <c r="D909" s="48" t="n"/>
      <c r="E909" s="48" t="n"/>
      <c r="F909" s="48" t="n"/>
      <c r="G909" s="48" t="n"/>
      <c r="H909" s="48" t="n"/>
      <c r="I909" s="49" t="n"/>
      <c r="J909" s="50" t="n"/>
      <c r="K909" s="48" t="n"/>
      <c r="L909" s="51">
        <f>IF(A909="","",DATE(YEAR(A909),MONTH(A909),1))</f>
        <v/>
      </c>
      <c r="M909" s="52">
        <f>IF(OR(A909="",NOT(ISNUMBER(I909))),"",IF(G909=Lists!$B$5,I909/2,IF(G909=Lists!$B$6,I909,0)))</f>
        <v/>
      </c>
      <c r="N909" s="52">
        <f>IF(OR(A909="",NOT(ISNUMBER(I909))),"",IF(G909=Lists!$B$5,I909/2,IF(G909=Lists!$B$7,I909,0)))</f>
        <v/>
      </c>
      <c r="O909" s="53">
        <f>IF(COUNTA(A909:K909)=0,"",IF(OR(A909="",B909="",C909="",D909="",E909="",F909="",G909="",NOT(ISNUMBER(I909))),"Incomplete",IF(COUNTIF(Lists!$H$4:$AA$4,C909)=0,"Check category",IF(COUNTIF(INDEX(Lists!$H$6:$AA$45,0,MATCH(C909,Lists!$H$4:$AA$4,0)),D909)=0,"Check sub-category","OK"))))</f>
        <v/>
      </c>
      <c r="P909">
        <f>IF(ISNUMBER(I909),I909+ROW()/10000000,"")</f>
        <v/>
      </c>
      <c r="Q909">
        <f>IF(AND(ISNUMBER(P909),ISNUMBER(A909)),IF(AND(A909&gt;=Dashboard!$Q$3,A909&lt;=Dashboard!$Q$4,OR(J909&lt;&gt;"Yes",Dashboard!$Q$15="Yes")),P909,""),"")</f>
        <v/>
      </c>
    </row>
    <row r="910">
      <c r="A910" s="47" t="n"/>
      <c r="B910" s="48" t="n"/>
      <c r="C910" s="48" t="n"/>
      <c r="D910" s="48" t="n"/>
      <c r="E910" s="48" t="n"/>
      <c r="F910" s="48" t="n"/>
      <c r="G910" s="48" t="n"/>
      <c r="H910" s="48" t="n"/>
      <c r="I910" s="49" t="n"/>
      <c r="J910" s="50" t="n"/>
      <c r="K910" s="48" t="n"/>
      <c r="L910" s="51">
        <f>IF(A910="","",DATE(YEAR(A910),MONTH(A910),1))</f>
        <v/>
      </c>
      <c r="M910" s="52">
        <f>IF(OR(A910="",NOT(ISNUMBER(I910))),"",IF(G910=Lists!$B$5,I910/2,IF(G910=Lists!$B$6,I910,0)))</f>
        <v/>
      </c>
      <c r="N910" s="52">
        <f>IF(OR(A910="",NOT(ISNUMBER(I910))),"",IF(G910=Lists!$B$5,I910/2,IF(G910=Lists!$B$7,I910,0)))</f>
        <v/>
      </c>
      <c r="O910" s="53">
        <f>IF(COUNTA(A910:K910)=0,"",IF(OR(A910="",B910="",C910="",D910="",E910="",F910="",G910="",NOT(ISNUMBER(I910))),"Incomplete",IF(COUNTIF(Lists!$H$4:$AA$4,C910)=0,"Check category",IF(COUNTIF(INDEX(Lists!$H$6:$AA$45,0,MATCH(C910,Lists!$H$4:$AA$4,0)),D910)=0,"Check sub-category","OK"))))</f>
        <v/>
      </c>
      <c r="P910">
        <f>IF(ISNUMBER(I910),I910+ROW()/10000000,"")</f>
        <v/>
      </c>
      <c r="Q910">
        <f>IF(AND(ISNUMBER(P910),ISNUMBER(A910)),IF(AND(A910&gt;=Dashboard!$Q$3,A910&lt;=Dashboard!$Q$4,OR(J910&lt;&gt;"Yes",Dashboard!$Q$15="Yes")),P910,""),"")</f>
        <v/>
      </c>
    </row>
    <row r="911">
      <c r="A911" s="47" t="n"/>
      <c r="B911" s="48" t="n"/>
      <c r="C911" s="48" t="n"/>
      <c r="D911" s="48" t="n"/>
      <c r="E911" s="48" t="n"/>
      <c r="F911" s="48" t="n"/>
      <c r="G911" s="48" t="n"/>
      <c r="H911" s="48" t="n"/>
      <c r="I911" s="49" t="n"/>
      <c r="J911" s="50" t="n"/>
      <c r="K911" s="48" t="n"/>
      <c r="L911" s="51">
        <f>IF(A911="","",DATE(YEAR(A911),MONTH(A911),1))</f>
        <v/>
      </c>
      <c r="M911" s="52">
        <f>IF(OR(A911="",NOT(ISNUMBER(I911))),"",IF(G911=Lists!$B$5,I911/2,IF(G911=Lists!$B$6,I911,0)))</f>
        <v/>
      </c>
      <c r="N911" s="52">
        <f>IF(OR(A911="",NOT(ISNUMBER(I911))),"",IF(G911=Lists!$B$5,I911/2,IF(G911=Lists!$B$7,I911,0)))</f>
        <v/>
      </c>
      <c r="O911" s="53">
        <f>IF(COUNTA(A911:K911)=0,"",IF(OR(A911="",B911="",C911="",D911="",E911="",F911="",G911="",NOT(ISNUMBER(I911))),"Incomplete",IF(COUNTIF(Lists!$H$4:$AA$4,C911)=0,"Check category",IF(COUNTIF(INDEX(Lists!$H$6:$AA$45,0,MATCH(C911,Lists!$H$4:$AA$4,0)),D911)=0,"Check sub-category","OK"))))</f>
        <v/>
      </c>
      <c r="P911">
        <f>IF(ISNUMBER(I911),I911+ROW()/10000000,"")</f>
        <v/>
      </c>
      <c r="Q911">
        <f>IF(AND(ISNUMBER(P911),ISNUMBER(A911)),IF(AND(A911&gt;=Dashboard!$Q$3,A911&lt;=Dashboard!$Q$4,OR(J911&lt;&gt;"Yes",Dashboard!$Q$15="Yes")),P911,""),"")</f>
        <v/>
      </c>
    </row>
    <row r="912">
      <c r="A912" s="47" t="n"/>
      <c r="B912" s="48" t="n"/>
      <c r="C912" s="48" t="n"/>
      <c r="D912" s="48" t="n"/>
      <c r="E912" s="48" t="n"/>
      <c r="F912" s="48" t="n"/>
      <c r="G912" s="48" t="n"/>
      <c r="H912" s="48" t="n"/>
      <c r="I912" s="49" t="n"/>
      <c r="J912" s="50" t="n"/>
      <c r="K912" s="48" t="n"/>
      <c r="L912" s="51">
        <f>IF(A912="","",DATE(YEAR(A912),MONTH(A912),1))</f>
        <v/>
      </c>
      <c r="M912" s="52">
        <f>IF(OR(A912="",NOT(ISNUMBER(I912))),"",IF(G912=Lists!$B$5,I912/2,IF(G912=Lists!$B$6,I912,0)))</f>
        <v/>
      </c>
      <c r="N912" s="52">
        <f>IF(OR(A912="",NOT(ISNUMBER(I912))),"",IF(G912=Lists!$B$5,I912/2,IF(G912=Lists!$B$7,I912,0)))</f>
        <v/>
      </c>
      <c r="O912" s="53">
        <f>IF(COUNTA(A912:K912)=0,"",IF(OR(A912="",B912="",C912="",D912="",E912="",F912="",G912="",NOT(ISNUMBER(I912))),"Incomplete",IF(COUNTIF(Lists!$H$4:$AA$4,C912)=0,"Check category",IF(COUNTIF(INDEX(Lists!$H$6:$AA$45,0,MATCH(C912,Lists!$H$4:$AA$4,0)),D912)=0,"Check sub-category","OK"))))</f>
        <v/>
      </c>
      <c r="P912">
        <f>IF(ISNUMBER(I912),I912+ROW()/10000000,"")</f>
        <v/>
      </c>
      <c r="Q912">
        <f>IF(AND(ISNUMBER(P912),ISNUMBER(A912)),IF(AND(A912&gt;=Dashboard!$Q$3,A912&lt;=Dashboard!$Q$4,OR(J912&lt;&gt;"Yes",Dashboard!$Q$15="Yes")),P912,""),"")</f>
        <v/>
      </c>
    </row>
    <row r="913">
      <c r="A913" s="47" t="n"/>
      <c r="B913" s="48" t="n"/>
      <c r="C913" s="48" t="n"/>
      <c r="D913" s="48" t="n"/>
      <c r="E913" s="48" t="n"/>
      <c r="F913" s="48" t="n"/>
      <c r="G913" s="48" t="n"/>
      <c r="H913" s="48" t="n"/>
      <c r="I913" s="49" t="n"/>
      <c r="J913" s="50" t="n"/>
      <c r="K913" s="48" t="n"/>
      <c r="L913" s="51">
        <f>IF(A913="","",DATE(YEAR(A913),MONTH(A913),1))</f>
        <v/>
      </c>
      <c r="M913" s="52">
        <f>IF(OR(A913="",NOT(ISNUMBER(I913))),"",IF(G913=Lists!$B$5,I913/2,IF(G913=Lists!$B$6,I913,0)))</f>
        <v/>
      </c>
      <c r="N913" s="52">
        <f>IF(OR(A913="",NOT(ISNUMBER(I913))),"",IF(G913=Lists!$B$5,I913/2,IF(G913=Lists!$B$7,I913,0)))</f>
        <v/>
      </c>
      <c r="O913" s="53">
        <f>IF(COUNTA(A913:K913)=0,"",IF(OR(A913="",B913="",C913="",D913="",E913="",F913="",G913="",NOT(ISNUMBER(I913))),"Incomplete",IF(COUNTIF(Lists!$H$4:$AA$4,C913)=0,"Check category",IF(COUNTIF(INDEX(Lists!$H$6:$AA$45,0,MATCH(C913,Lists!$H$4:$AA$4,0)),D913)=0,"Check sub-category","OK"))))</f>
        <v/>
      </c>
      <c r="P913">
        <f>IF(ISNUMBER(I913),I913+ROW()/10000000,"")</f>
        <v/>
      </c>
      <c r="Q913">
        <f>IF(AND(ISNUMBER(P913),ISNUMBER(A913)),IF(AND(A913&gt;=Dashboard!$Q$3,A913&lt;=Dashboard!$Q$4,OR(J913&lt;&gt;"Yes",Dashboard!$Q$15="Yes")),P913,""),"")</f>
        <v/>
      </c>
    </row>
    <row r="914">
      <c r="A914" s="47" t="n"/>
      <c r="B914" s="48" t="n"/>
      <c r="C914" s="48" t="n"/>
      <c r="D914" s="48" t="n"/>
      <c r="E914" s="48" t="n"/>
      <c r="F914" s="48" t="n"/>
      <c r="G914" s="48" t="n"/>
      <c r="H914" s="48" t="n"/>
      <c r="I914" s="49" t="n"/>
      <c r="J914" s="50" t="n"/>
      <c r="K914" s="48" t="n"/>
      <c r="L914" s="51">
        <f>IF(A914="","",DATE(YEAR(A914),MONTH(A914),1))</f>
        <v/>
      </c>
      <c r="M914" s="52">
        <f>IF(OR(A914="",NOT(ISNUMBER(I914))),"",IF(G914=Lists!$B$5,I914/2,IF(G914=Lists!$B$6,I914,0)))</f>
        <v/>
      </c>
      <c r="N914" s="52">
        <f>IF(OR(A914="",NOT(ISNUMBER(I914))),"",IF(G914=Lists!$B$5,I914/2,IF(G914=Lists!$B$7,I914,0)))</f>
        <v/>
      </c>
      <c r="O914" s="53">
        <f>IF(COUNTA(A914:K914)=0,"",IF(OR(A914="",B914="",C914="",D914="",E914="",F914="",G914="",NOT(ISNUMBER(I914))),"Incomplete",IF(COUNTIF(Lists!$H$4:$AA$4,C914)=0,"Check category",IF(COUNTIF(INDEX(Lists!$H$6:$AA$45,0,MATCH(C914,Lists!$H$4:$AA$4,0)),D914)=0,"Check sub-category","OK"))))</f>
        <v/>
      </c>
      <c r="P914">
        <f>IF(ISNUMBER(I914),I914+ROW()/10000000,"")</f>
        <v/>
      </c>
      <c r="Q914">
        <f>IF(AND(ISNUMBER(P914),ISNUMBER(A914)),IF(AND(A914&gt;=Dashboard!$Q$3,A914&lt;=Dashboard!$Q$4,OR(J914&lt;&gt;"Yes",Dashboard!$Q$15="Yes")),P914,""),"")</f>
        <v/>
      </c>
    </row>
    <row r="915">
      <c r="A915" s="47" t="n"/>
      <c r="B915" s="48" t="n"/>
      <c r="C915" s="48" t="n"/>
      <c r="D915" s="48" t="n"/>
      <c r="E915" s="48" t="n"/>
      <c r="F915" s="48" t="n"/>
      <c r="G915" s="48" t="n"/>
      <c r="H915" s="48" t="n"/>
      <c r="I915" s="49" t="n"/>
      <c r="J915" s="50" t="n"/>
      <c r="K915" s="48" t="n"/>
      <c r="L915" s="51">
        <f>IF(A915="","",DATE(YEAR(A915),MONTH(A915),1))</f>
        <v/>
      </c>
      <c r="M915" s="52">
        <f>IF(OR(A915="",NOT(ISNUMBER(I915))),"",IF(G915=Lists!$B$5,I915/2,IF(G915=Lists!$B$6,I915,0)))</f>
        <v/>
      </c>
      <c r="N915" s="52">
        <f>IF(OR(A915="",NOT(ISNUMBER(I915))),"",IF(G915=Lists!$B$5,I915/2,IF(G915=Lists!$B$7,I915,0)))</f>
        <v/>
      </c>
      <c r="O915" s="53">
        <f>IF(COUNTA(A915:K915)=0,"",IF(OR(A915="",B915="",C915="",D915="",E915="",F915="",G915="",NOT(ISNUMBER(I915))),"Incomplete",IF(COUNTIF(Lists!$H$4:$AA$4,C915)=0,"Check category",IF(COUNTIF(INDEX(Lists!$H$6:$AA$45,0,MATCH(C915,Lists!$H$4:$AA$4,0)),D915)=0,"Check sub-category","OK"))))</f>
        <v/>
      </c>
      <c r="P915">
        <f>IF(ISNUMBER(I915),I915+ROW()/10000000,"")</f>
        <v/>
      </c>
      <c r="Q915">
        <f>IF(AND(ISNUMBER(P915),ISNUMBER(A915)),IF(AND(A915&gt;=Dashboard!$Q$3,A915&lt;=Dashboard!$Q$4,OR(J915&lt;&gt;"Yes",Dashboard!$Q$15="Yes")),P915,""),"")</f>
        <v/>
      </c>
    </row>
    <row r="916">
      <c r="A916" s="47" t="n"/>
      <c r="B916" s="48" t="n"/>
      <c r="C916" s="48" t="n"/>
      <c r="D916" s="48" t="n"/>
      <c r="E916" s="48" t="n"/>
      <c r="F916" s="48" t="n"/>
      <c r="G916" s="48" t="n"/>
      <c r="H916" s="48" t="n"/>
      <c r="I916" s="49" t="n"/>
      <c r="J916" s="50" t="n"/>
      <c r="K916" s="48" t="n"/>
      <c r="L916" s="51">
        <f>IF(A916="","",DATE(YEAR(A916),MONTH(A916),1))</f>
        <v/>
      </c>
      <c r="M916" s="52">
        <f>IF(OR(A916="",NOT(ISNUMBER(I916))),"",IF(G916=Lists!$B$5,I916/2,IF(G916=Lists!$B$6,I916,0)))</f>
        <v/>
      </c>
      <c r="N916" s="52">
        <f>IF(OR(A916="",NOT(ISNUMBER(I916))),"",IF(G916=Lists!$B$5,I916/2,IF(G916=Lists!$B$7,I916,0)))</f>
        <v/>
      </c>
      <c r="O916" s="53">
        <f>IF(COUNTA(A916:K916)=0,"",IF(OR(A916="",B916="",C916="",D916="",E916="",F916="",G916="",NOT(ISNUMBER(I916))),"Incomplete",IF(COUNTIF(Lists!$H$4:$AA$4,C916)=0,"Check category",IF(COUNTIF(INDEX(Lists!$H$6:$AA$45,0,MATCH(C916,Lists!$H$4:$AA$4,0)),D916)=0,"Check sub-category","OK"))))</f>
        <v/>
      </c>
      <c r="P916">
        <f>IF(ISNUMBER(I916),I916+ROW()/10000000,"")</f>
        <v/>
      </c>
      <c r="Q916">
        <f>IF(AND(ISNUMBER(P916),ISNUMBER(A916)),IF(AND(A916&gt;=Dashboard!$Q$3,A916&lt;=Dashboard!$Q$4,OR(J916&lt;&gt;"Yes",Dashboard!$Q$15="Yes")),P916,""),"")</f>
        <v/>
      </c>
    </row>
    <row r="917">
      <c r="A917" s="47" t="n"/>
      <c r="B917" s="48" t="n"/>
      <c r="C917" s="48" t="n"/>
      <c r="D917" s="48" t="n"/>
      <c r="E917" s="48" t="n"/>
      <c r="F917" s="48" t="n"/>
      <c r="G917" s="48" t="n"/>
      <c r="H917" s="48" t="n"/>
      <c r="I917" s="49" t="n"/>
      <c r="J917" s="50" t="n"/>
      <c r="K917" s="48" t="n"/>
      <c r="L917" s="51">
        <f>IF(A917="","",DATE(YEAR(A917),MONTH(A917),1))</f>
        <v/>
      </c>
      <c r="M917" s="52">
        <f>IF(OR(A917="",NOT(ISNUMBER(I917))),"",IF(G917=Lists!$B$5,I917/2,IF(G917=Lists!$B$6,I917,0)))</f>
        <v/>
      </c>
      <c r="N917" s="52">
        <f>IF(OR(A917="",NOT(ISNUMBER(I917))),"",IF(G917=Lists!$B$5,I917/2,IF(G917=Lists!$B$7,I917,0)))</f>
        <v/>
      </c>
      <c r="O917" s="53">
        <f>IF(COUNTA(A917:K917)=0,"",IF(OR(A917="",B917="",C917="",D917="",E917="",F917="",G917="",NOT(ISNUMBER(I917))),"Incomplete",IF(COUNTIF(Lists!$H$4:$AA$4,C917)=0,"Check category",IF(COUNTIF(INDEX(Lists!$H$6:$AA$45,0,MATCH(C917,Lists!$H$4:$AA$4,0)),D917)=0,"Check sub-category","OK"))))</f>
        <v/>
      </c>
      <c r="P917">
        <f>IF(ISNUMBER(I917),I917+ROW()/10000000,"")</f>
        <v/>
      </c>
      <c r="Q917">
        <f>IF(AND(ISNUMBER(P917),ISNUMBER(A917)),IF(AND(A917&gt;=Dashboard!$Q$3,A917&lt;=Dashboard!$Q$4,OR(J917&lt;&gt;"Yes",Dashboard!$Q$15="Yes")),P917,""),"")</f>
        <v/>
      </c>
    </row>
    <row r="918">
      <c r="A918" s="47" t="n"/>
      <c r="B918" s="48" t="n"/>
      <c r="C918" s="48" t="n"/>
      <c r="D918" s="48" t="n"/>
      <c r="E918" s="48" t="n"/>
      <c r="F918" s="48" t="n"/>
      <c r="G918" s="48" t="n"/>
      <c r="H918" s="48" t="n"/>
      <c r="I918" s="49" t="n"/>
      <c r="J918" s="50" t="n"/>
      <c r="K918" s="48" t="n"/>
      <c r="L918" s="51">
        <f>IF(A918="","",DATE(YEAR(A918),MONTH(A918),1))</f>
        <v/>
      </c>
      <c r="M918" s="52">
        <f>IF(OR(A918="",NOT(ISNUMBER(I918))),"",IF(G918=Lists!$B$5,I918/2,IF(G918=Lists!$B$6,I918,0)))</f>
        <v/>
      </c>
      <c r="N918" s="52">
        <f>IF(OR(A918="",NOT(ISNUMBER(I918))),"",IF(G918=Lists!$B$5,I918/2,IF(G918=Lists!$B$7,I918,0)))</f>
        <v/>
      </c>
      <c r="O918" s="53">
        <f>IF(COUNTA(A918:K918)=0,"",IF(OR(A918="",B918="",C918="",D918="",E918="",F918="",G918="",NOT(ISNUMBER(I918))),"Incomplete",IF(COUNTIF(Lists!$H$4:$AA$4,C918)=0,"Check category",IF(COUNTIF(INDEX(Lists!$H$6:$AA$45,0,MATCH(C918,Lists!$H$4:$AA$4,0)),D918)=0,"Check sub-category","OK"))))</f>
        <v/>
      </c>
      <c r="P918">
        <f>IF(ISNUMBER(I918),I918+ROW()/10000000,"")</f>
        <v/>
      </c>
      <c r="Q918">
        <f>IF(AND(ISNUMBER(P918),ISNUMBER(A918)),IF(AND(A918&gt;=Dashboard!$Q$3,A918&lt;=Dashboard!$Q$4,OR(J918&lt;&gt;"Yes",Dashboard!$Q$15="Yes")),P918,""),"")</f>
        <v/>
      </c>
    </row>
    <row r="919">
      <c r="A919" s="47" t="n"/>
      <c r="B919" s="48" t="n"/>
      <c r="C919" s="48" t="n"/>
      <c r="D919" s="48" t="n"/>
      <c r="E919" s="48" t="n"/>
      <c r="F919" s="48" t="n"/>
      <c r="G919" s="48" t="n"/>
      <c r="H919" s="48" t="n"/>
      <c r="I919" s="49" t="n"/>
      <c r="J919" s="50" t="n"/>
      <c r="K919" s="48" t="n"/>
      <c r="L919" s="51">
        <f>IF(A919="","",DATE(YEAR(A919),MONTH(A919),1))</f>
        <v/>
      </c>
      <c r="M919" s="52">
        <f>IF(OR(A919="",NOT(ISNUMBER(I919))),"",IF(G919=Lists!$B$5,I919/2,IF(G919=Lists!$B$6,I919,0)))</f>
        <v/>
      </c>
      <c r="N919" s="52">
        <f>IF(OR(A919="",NOT(ISNUMBER(I919))),"",IF(G919=Lists!$B$5,I919/2,IF(G919=Lists!$B$7,I919,0)))</f>
        <v/>
      </c>
      <c r="O919" s="53">
        <f>IF(COUNTA(A919:K919)=0,"",IF(OR(A919="",B919="",C919="",D919="",E919="",F919="",G919="",NOT(ISNUMBER(I919))),"Incomplete",IF(COUNTIF(Lists!$H$4:$AA$4,C919)=0,"Check category",IF(COUNTIF(INDEX(Lists!$H$6:$AA$45,0,MATCH(C919,Lists!$H$4:$AA$4,0)),D919)=0,"Check sub-category","OK"))))</f>
        <v/>
      </c>
      <c r="P919">
        <f>IF(ISNUMBER(I919),I919+ROW()/10000000,"")</f>
        <v/>
      </c>
      <c r="Q919">
        <f>IF(AND(ISNUMBER(P919),ISNUMBER(A919)),IF(AND(A919&gt;=Dashboard!$Q$3,A919&lt;=Dashboard!$Q$4,OR(J919&lt;&gt;"Yes",Dashboard!$Q$15="Yes")),P919,""),"")</f>
        <v/>
      </c>
    </row>
    <row r="920">
      <c r="A920" s="47" t="n"/>
      <c r="B920" s="48" t="n"/>
      <c r="C920" s="48" t="n"/>
      <c r="D920" s="48" t="n"/>
      <c r="E920" s="48" t="n"/>
      <c r="F920" s="48" t="n"/>
      <c r="G920" s="48" t="n"/>
      <c r="H920" s="48" t="n"/>
      <c r="I920" s="49" t="n"/>
      <c r="J920" s="50" t="n"/>
      <c r="K920" s="48" t="n"/>
      <c r="L920" s="51">
        <f>IF(A920="","",DATE(YEAR(A920),MONTH(A920),1))</f>
        <v/>
      </c>
      <c r="M920" s="52">
        <f>IF(OR(A920="",NOT(ISNUMBER(I920))),"",IF(G920=Lists!$B$5,I920/2,IF(G920=Lists!$B$6,I920,0)))</f>
        <v/>
      </c>
      <c r="N920" s="52">
        <f>IF(OR(A920="",NOT(ISNUMBER(I920))),"",IF(G920=Lists!$B$5,I920/2,IF(G920=Lists!$B$7,I920,0)))</f>
        <v/>
      </c>
      <c r="O920" s="53">
        <f>IF(COUNTA(A920:K920)=0,"",IF(OR(A920="",B920="",C920="",D920="",E920="",F920="",G920="",NOT(ISNUMBER(I920))),"Incomplete",IF(COUNTIF(Lists!$H$4:$AA$4,C920)=0,"Check category",IF(COUNTIF(INDEX(Lists!$H$6:$AA$45,0,MATCH(C920,Lists!$H$4:$AA$4,0)),D920)=0,"Check sub-category","OK"))))</f>
        <v/>
      </c>
      <c r="P920">
        <f>IF(ISNUMBER(I920),I920+ROW()/10000000,"")</f>
        <v/>
      </c>
      <c r="Q920">
        <f>IF(AND(ISNUMBER(P920),ISNUMBER(A920)),IF(AND(A920&gt;=Dashboard!$Q$3,A920&lt;=Dashboard!$Q$4,OR(J920&lt;&gt;"Yes",Dashboard!$Q$15="Yes")),P920,""),"")</f>
        <v/>
      </c>
    </row>
    <row r="921">
      <c r="A921" s="47" t="n"/>
      <c r="B921" s="48" t="n"/>
      <c r="C921" s="48" t="n"/>
      <c r="D921" s="48" t="n"/>
      <c r="E921" s="48" t="n"/>
      <c r="F921" s="48" t="n"/>
      <c r="G921" s="48" t="n"/>
      <c r="H921" s="48" t="n"/>
      <c r="I921" s="49" t="n"/>
      <c r="J921" s="50" t="n"/>
      <c r="K921" s="48" t="n"/>
      <c r="L921" s="51">
        <f>IF(A921="","",DATE(YEAR(A921),MONTH(A921),1))</f>
        <v/>
      </c>
      <c r="M921" s="52">
        <f>IF(OR(A921="",NOT(ISNUMBER(I921))),"",IF(G921=Lists!$B$5,I921/2,IF(G921=Lists!$B$6,I921,0)))</f>
        <v/>
      </c>
      <c r="N921" s="52">
        <f>IF(OR(A921="",NOT(ISNUMBER(I921))),"",IF(G921=Lists!$B$5,I921/2,IF(G921=Lists!$B$7,I921,0)))</f>
        <v/>
      </c>
      <c r="O921" s="53">
        <f>IF(COUNTA(A921:K921)=0,"",IF(OR(A921="",B921="",C921="",D921="",E921="",F921="",G921="",NOT(ISNUMBER(I921))),"Incomplete",IF(COUNTIF(Lists!$H$4:$AA$4,C921)=0,"Check category",IF(COUNTIF(INDEX(Lists!$H$6:$AA$45,0,MATCH(C921,Lists!$H$4:$AA$4,0)),D921)=0,"Check sub-category","OK"))))</f>
        <v/>
      </c>
      <c r="P921">
        <f>IF(ISNUMBER(I921),I921+ROW()/10000000,"")</f>
        <v/>
      </c>
      <c r="Q921">
        <f>IF(AND(ISNUMBER(P921),ISNUMBER(A921)),IF(AND(A921&gt;=Dashboard!$Q$3,A921&lt;=Dashboard!$Q$4,OR(J921&lt;&gt;"Yes",Dashboard!$Q$15="Yes")),P921,""),"")</f>
        <v/>
      </c>
    </row>
    <row r="922">
      <c r="A922" s="47" t="n"/>
      <c r="B922" s="48" t="n"/>
      <c r="C922" s="48" t="n"/>
      <c r="D922" s="48" t="n"/>
      <c r="E922" s="48" t="n"/>
      <c r="F922" s="48" t="n"/>
      <c r="G922" s="48" t="n"/>
      <c r="H922" s="48" t="n"/>
      <c r="I922" s="49" t="n"/>
      <c r="J922" s="50" t="n"/>
      <c r="K922" s="48" t="n"/>
      <c r="L922" s="51">
        <f>IF(A922="","",DATE(YEAR(A922),MONTH(A922),1))</f>
        <v/>
      </c>
      <c r="M922" s="52">
        <f>IF(OR(A922="",NOT(ISNUMBER(I922))),"",IF(G922=Lists!$B$5,I922/2,IF(G922=Lists!$B$6,I922,0)))</f>
        <v/>
      </c>
      <c r="N922" s="52">
        <f>IF(OR(A922="",NOT(ISNUMBER(I922))),"",IF(G922=Lists!$B$5,I922/2,IF(G922=Lists!$B$7,I922,0)))</f>
        <v/>
      </c>
      <c r="O922" s="53">
        <f>IF(COUNTA(A922:K922)=0,"",IF(OR(A922="",B922="",C922="",D922="",E922="",F922="",G922="",NOT(ISNUMBER(I922))),"Incomplete",IF(COUNTIF(Lists!$H$4:$AA$4,C922)=0,"Check category",IF(COUNTIF(INDEX(Lists!$H$6:$AA$45,0,MATCH(C922,Lists!$H$4:$AA$4,0)),D922)=0,"Check sub-category","OK"))))</f>
        <v/>
      </c>
      <c r="P922">
        <f>IF(ISNUMBER(I922),I922+ROW()/10000000,"")</f>
        <v/>
      </c>
      <c r="Q922">
        <f>IF(AND(ISNUMBER(P922),ISNUMBER(A922)),IF(AND(A922&gt;=Dashboard!$Q$3,A922&lt;=Dashboard!$Q$4,OR(J922&lt;&gt;"Yes",Dashboard!$Q$15="Yes")),P922,""),"")</f>
        <v/>
      </c>
    </row>
    <row r="923">
      <c r="A923" s="47" t="n"/>
      <c r="B923" s="48" t="n"/>
      <c r="C923" s="48" t="n"/>
      <c r="D923" s="48" t="n"/>
      <c r="E923" s="48" t="n"/>
      <c r="F923" s="48" t="n"/>
      <c r="G923" s="48" t="n"/>
      <c r="H923" s="48" t="n"/>
      <c r="I923" s="49" t="n"/>
      <c r="J923" s="50" t="n"/>
      <c r="K923" s="48" t="n"/>
      <c r="L923" s="51">
        <f>IF(A923="","",DATE(YEAR(A923),MONTH(A923),1))</f>
        <v/>
      </c>
      <c r="M923" s="52">
        <f>IF(OR(A923="",NOT(ISNUMBER(I923))),"",IF(G923=Lists!$B$5,I923/2,IF(G923=Lists!$B$6,I923,0)))</f>
        <v/>
      </c>
      <c r="N923" s="52">
        <f>IF(OR(A923="",NOT(ISNUMBER(I923))),"",IF(G923=Lists!$B$5,I923/2,IF(G923=Lists!$B$7,I923,0)))</f>
        <v/>
      </c>
      <c r="O923" s="53">
        <f>IF(COUNTA(A923:K923)=0,"",IF(OR(A923="",B923="",C923="",D923="",E923="",F923="",G923="",NOT(ISNUMBER(I923))),"Incomplete",IF(COUNTIF(Lists!$H$4:$AA$4,C923)=0,"Check category",IF(COUNTIF(INDEX(Lists!$H$6:$AA$45,0,MATCH(C923,Lists!$H$4:$AA$4,0)),D923)=0,"Check sub-category","OK"))))</f>
        <v/>
      </c>
      <c r="P923">
        <f>IF(ISNUMBER(I923),I923+ROW()/10000000,"")</f>
        <v/>
      </c>
      <c r="Q923">
        <f>IF(AND(ISNUMBER(P923),ISNUMBER(A923)),IF(AND(A923&gt;=Dashboard!$Q$3,A923&lt;=Dashboard!$Q$4,OR(J923&lt;&gt;"Yes",Dashboard!$Q$15="Yes")),P923,""),"")</f>
        <v/>
      </c>
    </row>
    <row r="924">
      <c r="A924" s="47" t="n"/>
      <c r="B924" s="48" t="n"/>
      <c r="C924" s="48" t="n"/>
      <c r="D924" s="48" t="n"/>
      <c r="E924" s="48" t="n"/>
      <c r="F924" s="48" t="n"/>
      <c r="G924" s="48" t="n"/>
      <c r="H924" s="48" t="n"/>
      <c r="I924" s="49" t="n"/>
      <c r="J924" s="50" t="n"/>
      <c r="K924" s="48" t="n"/>
      <c r="L924" s="51">
        <f>IF(A924="","",DATE(YEAR(A924),MONTH(A924),1))</f>
        <v/>
      </c>
      <c r="M924" s="52">
        <f>IF(OR(A924="",NOT(ISNUMBER(I924))),"",IF(G924=Lists!$B$5,I924/2,IF(G924=Lists!$B$6,I924,0)))</f>
        <v/>
      </c>
      <c r="N924" s="52">
        <f>IF(OR(A924="",NOT(ISNUMBER(I924))),"",IF(G924=Lists!$B$5,I924/2,IF(G924=Lists!$B$7,I924,0)))</f>
        <v/>
      </c>
      <c r="O924" s="53">
        <f>IF(COUNTA(A924:K924)=0,"",IF(OR(A924="",B924="",C924="",D924="",E924="",F924="",G924="",NOT(ISNUMBER(I924))),"Incomplete",IF(COUNTIF(Lists!$H$4:$AA$4,C924)=0,"Check category",IF(COUNTIF(INDEX(Lists!$H$6:$AA$45,0,MATCH(C924,Lists!$H$4:$AA$4,0)),D924)=0,"Check sub-category","OK"))))</f>
        <v/>
      </c>
      <c r="P924">
        <f>IF(ISNUMBER(I924),I924+ROW()/10000000,"")</f>
        <v/>
      </c>
      <c r="Q924">
        <f>IF(AND(ISNUMBER(P924),ISNUMBER(A924)),IF(AND(A924&gt;=Dashboard!$Q$3,A924&lt;=Dashboard!$Q$4,OR(J924&lt;&gt;"Yes",Dashboard!$Q$15="Yes")),P924,""),"")</f>
        <v/>
      </c>
    </row>
    <row r="925">
      <c r="A925" s="47" t="n"/>
      <c r="B925" s="48" t="n"/>
      <c r="C925" s="48" t="n"/>
      <c r="D925" s="48" t="n"/>
      <c r="E925" s="48" t="n"/>
      <c r="F925" s="48" t="n"/>
      <c r="G925" s="48" t="n"/>
      <c r="H925" s="48" t="n"/>
      <c r="I925" s="49" t="n"/>
      <c r="J925" s="50" t="n"/>
      <c r="K925" s="48" t="n"/>
      <c r="L925" s="51">
        <f>IF(A925="","",DATE(YEAR(A925),MONTH(A925),1))</f>
        <v/>
      </c>
      <c r="M925" s="52">
        <f>IF(OR(A925="",NOT(ISNUMBER(I925))),"",IF(G925=Lists!$B$5,I925/2,IF(G925=Lists!$B$6,I925,0)))</f>
        <v/>
      </c>
      <c r="N925" s="52">
        <f>IF(OR(A925="",NOT(ISNUMBER(I925))),"",IF(G925=Lists!$B$5,I925/2,IF(G925=Lists!$B$7,I925,0)))</f>
        <v/>
      </c>
      <c r="O925" s="53">
        <f>IF(COUNTA(A925:K925)=0,"",IF(OR(A925="",B925="",C925="",D925="",E925="",F925="",G925="",NOT(ISNUMBER(I925))),"Incomplete",IF(COUNTIF(Lists!$H$4:$AA$4,C925)=0,"Check category",IF(COUNTIF(INDEX(Lists!$H$6:$AA$45,0,MATCH(C925,Lists!$H$4:$AA$4,0)),D925)=0,"Check sub-category","OK"))))</f>
        <v/>
      </c>
      <c r="P925">
        <f>IF(ISNUMBER(I925),I925+ROW()/10000000,"")</f>
        <v/>
      </c>
      <c r="Q925">
        <f>IF(AND(ISNUMBER(P925),ISNUMBER(A925)),IF(AND(A925&gt;=Dashboard!$Q$3,A925&lt;=Dashboard!$Q$4,OR(J925&lt;&gt;"Yes",Dashboard!$Q$15="Yes")),P925,""),"")</f>
        <v/>
      </c>
    </row>
    <row r="926">
      <c r="A926" s="47" t="n"/>
      <c r="B926" s="48" t="n"/>
      <c r="C926" s="48" t="n"/>
      <c r="D926" s="48" t="n"/>
      <c r="E926" s="48" t="n"/>
      <c r="F926" s="48" t="n"/>
      <c r="G926" s="48" t="n"/>
      <c r="H926" s="48" t="n"/>
      <c r="I926" s="49" t="n"/>
      <c r="J926" s="50" t="n"/>
      <c r="K926" s="48" t="n"/>
      <c r="L926" s="51">
        <f>IF(A926="","",DATE(YEAR(A926),MONTH(A926),1))</f>
        <v/>
      </c>
      <c r="M926" s="52">
        <f>IF(OR(A926="",NOT(ISNUMBER(I926))),"",IF(G926=Lists!$B$5,I926/2,IF(G926=Lists!$B$6,I926,0)))</f>
        <v/>
      </c>
      <c r="N926" s="52">
        <f>IF(OR(A926="",NOT(ISNUMBER(I926))),"",IF(G926=Lists!$B$5,I926/2,IF(G926=Lists!$B$7,I926,0)))</f>
        <v/>
      </c>
      <c r="O926" s="53">
        <f>IF(COUNTA(A926:K926)=0,"",IF(OR(A926="",B926="",C926="",D926="",E926="",F926="",G926="",NOT(ISNUMBER(I926))),"Incomplete",IF(COUNTIF(Lists!$H$4:$AA$4,C926)=0,"Check category",IF(COUNTIF(INDEX(Lists!$H$6:$AA$45,0,MATCH(C926,Lists!$H$4:$AA$4,0)),D926)=0,"Check sub-category","OK"))))</f>
        <v/>
      </c>
      <c r="P926">
        <f>IF(ISNUMBER(I926),I926+ROW()/10000000,"")</f>
        <v/>
      </c>
      <c r="Q926">
        <f>IF(AND(ISNUMBER(P926),ISNUMBER(A926)),IF(AND(A926&gt;=Dashboard!$Q$3,A926&lt;=Dashboard!$Q$4,OR(J926&lt;&gt;"Yes",Dashboard!$Q$15="Yes")),P926,""),"")</f>
        <v/>
      </c>
    </row>
    <row r="927">
      <c r="A927" s="47" t="n"/>
      <c r="B927" s="48" t="n"/>
      <c r="C927" s="48" t="n"/>
      <c r="D927" s="48" t="n"/>
      <c r="E927" s="48" t="n"/>
      <c r="F927" s="48" t="n"/>
      <c r="G927" s="48" t="n"/>
      <c r="H927" s="48" t="n"/>
      <c r="I927" s="49" t="n"/>
      <c r="J927" s="50" t="n"/>
      <c r="K927" s="48" t="n"/>
      <c r="L927" s="51">
        <f>IF(A927="","",DATE(YEAR(A927),MONTH(A927),1))</f>
        <v/>
      </c>
      <c r="M927" s="52">
        <f>IF(OR(A927="",NOT(ISNUMBER(I927))),"",IF(G927=Lists!$B$5,I927/2,IF(G927=Lists!$B$6,I927,0)))</f>
        <v/>
      </c>
      <c r="N927" s="52">
        <f>IF(OR(A927="",NOT(ISNUMBER(I927))),"",IF(G927=Lists!$B$5,I927/2,IF(G927=Lists!$B$7,I927,0)))</f>
        <v/>
      </c>
      <c r="O927" s="53">
        <f>IF(COUNTA(A927:K927)=0,"",IF(OR(A927="",B927="",C927="",D927="",E927="",F927="",G927="",NOT(ISNUMBER(I927))),"Incomplete",IF(COUNTIF(Lists!$H$4:$AA$4,C927)=0,"Check category",IF(COUNTIF(INDEX(Lists!$H$6:$AA$45,0,MATCH(C927,Lists!$H$4:$AA$4,0)),D927)=0,"Check sub-category","OK"))))</f>
        <v/>
      </c>
      <c r="P927">
        <f>IF(ISNUMBER(I927),I927+ROW()/10000000,"")</f>
        <v/>
      </c>
      <c r="Q927">
        <f>IF(AND(ISNUMBER(P927),ISNUMBER(A927)),IF(AND(A927&gt;=Dashboard!$Q$3,A927&lt;=Dashboard!$Q$4,OR(J927&lt;&gt;"Yes",Dashboard!$Q$15="Yes")),P927,""),"")</f>
        <v/>
      </c>
    </row>
    <row r="928">
      <c r="A928" s="47" t="n"/>
      <c r="B928" s="48" t="n"/>
      <c r="C928" s="48" t="n"/>
      <c r="D928" s="48" t="n"/>
      <c r="E928" s="48" t="n"/>
      <c r="F928" s="48" t="n"/>
      <c r="G928" s="48" t="n"/>
      <c r="H928" s="48" t="n"/>
      <c r="I928" s="49" t="n"/>
      <c r="J928" s="50" t="n"/>
      <c r="K928" s="48" t="n"/>
      <c r="L928" s="51">
        <f>IF(A928="","",DATE(YEAR(A928),MONTH(A928),1))</f>
        <v/>
      </c>
      <c r="M928" s="52">
        <f>IF(OR(A928="",NOT(ISNUMBER(I928))),"",IF(G928=Lists!$B$5,I928/2,IF(G928=Lists!$B$6,I928,0)))</f>
        <v/>
      </c>
      <c r="N928" s="52">
        <f>IF(OR(A928="",NOT(ISNUMBER(I928))),"",IF(G928=Lists!$B$5,I928/2,IF(G928=Lists!$B$7,I928,0)))</f>
        <v/>
      </c>
      <c r="O928" s="53">
        <f>IF(COUNTA(A928:K928)=0,"",IF(OR(A928="",B928="",C928="",D928="",E928="",F928="",G928="",NOT(ISNUMBER(I928))),"Incomplete",IF(COUNTIF(Lists!$H$4:$AA$4,C928)=0,"Check category",IF(COUNTIF(INDEX(Lists!$H$6:$AA$45,0,MATCH(C928,Lists!$H$4:$AA$4,0)),D928)=0,"Check sub-category","OK"))))</f>
        <v/>
      </c>
      <c r="P928">
        <f>IF(ISNUMBER(I928),I928+ROW()/10000000,"")</f>
        <v/>
      </c>
      <c r="Q928">
        <f>IF(AND(ISNUMBER(P928),ISNUMBER(A928)),IF(AND(A928&gt;=Dashboard!$Q$3,A928&lt;=Dashboard!$Q$4,OR(J928&lt;&gt;"Yes",Dashboard!$Q$15="Yes")),P928,""),"")</f>
        <v/>
      </c>
    </row>
    <row r="929">
      <c r="A929" s="47" t="n"/>
      <c r="B929" s="48" t="n"/>
      <c r="C929" s="48" t="n"/>
      <c r="D929" s="48" t="n"/>
      <c r="E929" s="48" t="n"/>
      <c r="F929" s="48" t="n"/>
      <c r="G929" s="48" t="n"/>
      <c r="H929" s="48" t="n"/>
      <c r="I929" s="49" t="n"/>
      <c r="J929" s="50" t="n"/>
      <c r="K929" s="48" t="n"/>
      <c r="L929" s="51">
        <f>IF(A929="","",DATE(YEAR(A929),MONTH(A929),1))</f>
        <v/>
      </c>
      <c r="M929" s="52">
        <f>IF(OR(A929="",NOT(ISNUMBER(I929))),"",IF(G929=Lists!$B$5,I929/2,IF(G929=Lists!$B$6,I929,0)))</f>
        <v/>
      </c>
      <c r="N929" s="52">
        <f>IF(OR(A929="",NOT(ISNUMBER(I929))),"",IF(G929=Lists!$B$5,I929/2,IF(G929=Lists!$B$7,I929,0)))</f>
        <v/>
      </c>
      <c r="O929" s="53">
        <f>IF(COUNTA(A929:K929)=0,"",IF(OR(A929="",B929="",C929="",D929="",E929="",F929="",G929="",NOT(ISNUMBER(I929))),"Incomplete",IF(COUNTIF(Lists!$H$4:$AA$4,C929)=0,"Check category",IF(COUNTIF(INDEX(Lists!$H$6:$AA$45,0,MATCH(C929,Lists!$H$4:$AA$4,0)),D929)=0,"Check sub-category","OK"))))</f>
        <v/>
      </c>
      <c r="P929">
        <f>IF(ISNUMBER(I929),I929+ROW()/10000000,"")</f>
        <v/>
      </c>
      <c r="Q929">
        <f>IF(AND(ISNUMBER(P929),ISNUMBER(A929)),IF(AND(A929&gt;=Dashboard!$Q$3,A929&lt;=Dashboard!$Q$4,OR(J929&lt;&gt;"Yes",Dashboard!$Q$15="Yes")),P929,""),"")</f>
        <v/>
      </c>
    </row>
    <row r="930">
      <c r="A930" s="47" t="n"/>
      <c r="B930" s="48" t="n"/>
      <c r="C930" s="48" t="n"/>
      <c r="D930" s="48" t="n"/>
      <c r="E930" s="48" t="n"/>
      <c r="F930" s="48" t="n"/>
      <c r="G930" s="48" t="n"/>
      <c r="H930" s="48" t="n"/>
      <c r="I930" s="49" t="n"/>
      <c r="J930" s="50" t="n"/>
      <c r="K930" s="48" t="n"/>
      <c r="L930" s="51">
        <f>IF(A930="","",DATE(YEAR(A930),MONTH(A930),1))</f>
        <v/>
      </c>
      <c r="M930" s="52">
        <f>IF(OR(A930="",NOT(ISNUMBER(I930))),"",IF(G930=Lists!$B$5,I930/2,IF(G930=Lists!$B$6,I930,0)))</f>
        <v/>
      </c>
      <c r="N930" s="52">
        <f>IF(OR(A930="",NOT(ISNUMBER(I930))),"",IF(G930=Lists!$B$5,I930/2,IF(G930=Lists!$B$7,I930,0)))</f>
        <v/>
      </c>
      <c r="O930" s="53">
        <f>IF(COUNTA(A930:K930)=0,"",IF(OR(A930="",B930="",C930="",D930="",E930="",F930="",G930="",NOT(ISNUMBER(I930))),"Incomplete",IF(COUNTIF(Lists!$H$4:$AA$4,C930)=0,"Check category",IF(COUNTIF(INDEX(Lists!$H$6:$AA$45,0,MATCH(C930,Lists!$H$4:$AA$4,0)),D930)=0,"Check sub-category","OK"))))</f>
        <v/>
      </c>
      <c r="P930">
        <f>IF(ISNUMBER(I930),I930+ROW()/10000000,"")</f>
        <v/>
      </c>
      <c r="Q930">
        <f>IF(AND(ISNUMBER(P930),ISNUMBER(A930)),IF(AND(A930&gt;=Dashboard!$Q$3,A930&lt;=Dashboard!$Q$4,OR(J930&lt;&gt;"Yes",Dashboard!$Q$15="Yes")),P930,""),"")</f>
        <v/>
      </c>
    </row>
    <row r="931">
      <c r="A931" s="47" t="n"/>
      <c r="B931" s="48" t="n"/>
      <c r="C931" s="48" t="n"/>
      <c r="D931" s="48" t="n"/>
      <c r="E931" s="48" t="n"/>
      <c r="F931" s="48" t="n"/>
      <c r="G931" s="48" t="n"/>
      <c r="H931" s="48" t="n"/>
      <c r="I931" s="49" t="n"/>
      <c r="J931" s="50" t="n"/>
      <c r="K931" s="48" t="n"/>
      <c r="L931" s="51">
        <f>IF(A931="","",DATE(YEAR(A931),MONTH(A931),1))</f>
        <v/>
      </c>
      <c r="M931" s="52">
        <f>IF(OR(A931="",NOT(ISNUMBER(I931))),"",IF(G931=Lists!$B$5,I931/2,IF(G931=Lists!$B$6,I931,0)))</f>
        <v/>
      </c>
      <c r="N931" s="52">
        <f>IF(OR(A931="",NOT(ISNUMBER(I931))),"",IF(G931=Lists!$B$5,I931/2,IF(G931=Lists!$B$7,I931,0)))</f>
        <v/>
      </c>
      <c r="O931" s="53">
        <f>IF(COUNTA(A931:K931)=0,"",IF(OR(A931="",B931="",C931="",D931="",E931="",F931="",G931="",NOT(ISNUMBER(I931))),"Incomplete",IF(COUNTIF(Lists!$H$4:$AA$4,C931)=0,"Check category",IF(COUNTIF(INDEX(Lists!$H$6:$AA$45,0,MATCH(C931,Lists!$H$4:$AA$4,0)),D931)=0,"Check sub-category","OK"))))</f>
        <v/>
      </c>
      <c r="P931">
        <f>IF(ISNUMBER(I931),I931+ROW()/10000000,"")</f>
        <v/>
      </c>
      <c r="Q931">
        <f>IF(AND(ISNUMBER(P931),ISNUMBER(A931)),IF(AND(A931&gt;=Dashboard!$Q$3,A931&lt;=Dashboard!$Q$4,OR(J931&lt;&gt;"Yes",Dashboard!$Q$15="Yes")),P931,""),"")</f>
        <v/>
      </c>
    </row>
    <row r="932">
      <c r="A932" s="47" t="n"/>
      <c r="B932" s="48" t="n"/>
      <c r="C932" s="48" t="n"/>
      <c r="D932" s="48" t="n"/>
      <c r="E932" s="48" t="n"/>
      <c r="F932" s="48" t="n"/>
      <c r="G932" s="48" t="n"/>
      <c r="H932" s="48" t="n"/>
      <c r="I932" s="49" t="n"/>
      <c r="J932" s="50" t="n"/>
      <c r="K932" s="48" t="n"/>
      <c r="L932" s="51">
        <f>IF(A932="","",DATE(YEAR(A932),MONTH(A932),1))</f>
        <v/>
      </c>
      <c r="M932" s="52">
        <f>IF(OR(A932="",NOT(ISNUMBER(I932))),"",IF(G932=Lists!$B$5,I932/2,IF(G932=Lists!$B$6,I932,0)))</f>
        <v/>
      </c>
      <c r="N932" s="52">
        <f>IF(OR(A932="",NOT(ISNUMBER(I932))),"",IF(G932=Lists!$B$5,I932/2,IF(G932=Lists!$B$7,I932,0)))</f>
        <v/>
      </c>
      <c r="O932" s="53">
        <f>IF(COUNTA(A932:K932)=0,"",IF(OR(A932="",B932="",C932="",D932="",E932="",F932="",G932="",NOT(ISNUMBER(I932))),"Incomplete",IF(COUNTIF(Lists!$H$4:$AA$4,C932)=0,"Check category",IF(COUNTIF(INDEX(Lists!$H$6:$AA$45,0,MATCH(C932,Lists!$H$4:$AA$4,0)),D932)=0,"Check sub-category","OK"))))</f>
        <v/>
      </c>
      <c r="P932">
        <f>IF(ISNUMBER(I932),I932+ROW()/10000000,"")</f>
        <v/>
      </c>
      <c r="Q932">
        <f>IF(AND(ISNUMBER(P932),ISNUMBER(A932)),IF(AND(A932&gt;=Dashboard!$Q$3,A932&lt;=Dashboard!$Q$4,OR(J932&lt;&gt;"Yes",Dashboard!$Q$15="Yes")),P932,""),"")</f>
        <v/>
      </c>
    </row>
    <row r="933">
      <c r="A933" s="47" t="n"/>
      <c r="B933" s="48" t="n"/>
      <c r="C933" s="48" t="n"/>
      <c r="D933" s="48" t="n"/>
      <c r="E933" s="48" t="n"/>
      <c r="F933" s="48" t="n"/>
      <c r="G933" s="48" t="n"/>
      <c r="H933" s="48" t="n"/>
      <c r="I933" s="49" t="n"/>
      <c r="J933" s="50" t="n"/>
      <c r="K933" s="48" t="n"/>
      <c r="L933" s="51">
        <f>IF(A933="","",DATE(YEAR(A933),MONTH(A933),1))</f>
        <v/>
      </c>
      <c r="M933" s="52">
        <f>IF(OR(A933="",NOT(ISNUMBER(I933))),"",IF(G933=Lists!$B$5,I933/2,IF(G933=Lists!$B$6,I933,0)))</f>
        <v/>
      </c>
      <c r="N933" s="52">
        <f>IF(OR(A933="",NOT(ISNUMBER(I933))),"",IF(G933=Lists!$B$5,I933/2,IF(G933=Lists!$B$7,I933,0)))</f>
        <v/>
      </c>
      <c r="O933" s="53">
        <f>IF(COUNTA(A933:K933)=0,"",IF(OR(A933="",B933="",C933="",D933="",E933="",F933="",G933="",NOT(ISNUMBER(I933))),"Incomplete",IF(COUNTIF(Lists!$H$4:$AA$4,C933)=0,"Check category",IF(COUNTIF(INDEX(Lists!$H$6:$AA$45,0,MATCH(C933,Lists!$H$4:$AA$4,0)),D933)=0,"Check sub-category","OK"))))</f>
        <v/>
      </c>
      <c r="P933">
        <f>IF(ISNUMBER(I933),I933+ROW()/10000000,"")</f>
        <v/>
      </c>
      <c r="Q933">
        <f>IF(AND(ISNUMBER(P933),ISNUMBER(A933)),IF(AND(A933&gt;=Dashboard!$Q$3,A933&lt;=Dashboard!$Q$4,OR(J933&lt;&gt;"Yes",Dashboard!$Q$15="Yes")),P933,""),"")</f>
        <v/>
      </c>
    </row>
    <row r="934">
      <c r="A934" s="47" t="n"/>
      <c r="B934" s="48" t="n"/>
      <c r="C934" s="48" t="n"/>
      <c r="D934" s="48" t="n"/>
      <c r="E934" s="48" t="n"/>
      <c r="F934" s="48" t="n"/>
      <c r="G934" s="48" t="n"/>
      <c r="H934" s="48" t="n"/>
      <c r="I934" s="49" t="n"/>
      <c r="J934" s="50" t="n"/>
      <c r="K934" s="48" t="n"/>
      <c r="L934" s="51">
        <f>IF(A934="","",DATE(YEAR(A934),MONTH(A934),1))</f>
        <v/>
      </c>
      <c r="M934" s="52">
        <f>IF(OR(A934="",NOT(ISNUMBER(I934))),"",IF(G934=Lists!$B$5,I934/2,IF(G934=Lists!$B$6,I934,0)))</f>
        <v/>
      </c>
      <c r="N934" s="52">
        <f>IF(OR(A934="",NOT(ISNUMBER(I934))),"",IF(G934=Lists!$B$5,I934/2,IF(G934=Lists!$B$7,I934,0)))</f>
        <v/>
      </c>
      <c r="O934" s="53">
        <f>IF(COUNTA(A934:K934)=0,"",IF(OR(A934="",B934="",C934="",D934="",E934="",F934="",G934="",NOT(ISNUMBER(I934))),"Incomplete",IF(COUNTIF(Lists!$H$4:$AA$4,C934)=0,"Check category",IF(COUNTIF(INDEX(Lists!$H$6:$AA$45,0,MATCH(C934,Lists!$H$4:$AA$4,0)),D934)=0,"Check sub-category","OK"))))</f>
        <v/>
      </c>
      <c r="P934">
        <f>IF(ISNUMBER(I934),I934+ROW()/10000000,"")</f>
        <v/>
      </c>
      <c r="Q934">
        <f>IF(AND(ISNUMBER(P934),ISNUMBER(A934)),IF(AND(A934&gt;=Dashboard!$Q$3,A934&lt;=Dashboard!$Q$4,OR(J934&lt;&gt;"Yes",Dashboard!$Q$15="Yes")),P934,""),"")</f>
        <v/>
      </c>
    </row>
    <row r="935">
      <c r="A935" s="47" t="n"/>
      <c r="B935" s="48" t="n"/>
      <c r="C935" s="48" t="n"/>
      <c r="D935" s="48" t="n"/>
      <c r="E935" s="48" t="n"/>
      <c r="F935" s="48" t="n"/>
      <c r="G935" s="48" t="n"/>
      <c r="H935" s="48" t="n"/>
      <c r="I935" s="49" t="n"/>
      <c r="J935" s="50" t="n"/>
      <c r="K935" s="48" t="n"/>
      <c r="L935" s="51">
        <f>IF(A935="","",DATE(YEAR(A935),MONTH(A935),1))</f>
        <v/>
      </c>
      <c r="M935" s="52">
        <f>IF(OR(A935="",NOT(ISNUMBER(I935))),"",IF(G935=Lists!$B$5,I935/2,IF(G935=Lists!$B$6,I935,0)))</f>
        <v/>
      </c>
      <c r="N935" s="52">
        <f>IF(OR(A935="",NOT(ISNUMBER(I935))),"",IF(G935=Lists!$B$5,I935/2,IF(G935=Lists!$B$7,I935,0)))</f>
        <v/>
      </c>
      <c r="O935" s="53">
        <f>IF(COUNTA(A935:K935)=0,"",IF(OR(A935="",B935="",C935="",D935="",E935="",F935="",G935="",NOT(ISNUMBER(I935))),"Incomplete",IF(COUNTIF(Lists!$H$4:$AA$4,C935)=0,"Check category",IF(COUNTIF(INDEX(Lists!$H$6:$AA$45,0,MATCH(C935,Lists!$H$4:$AA$4,0)),D935)=0,"Check sub-category","OK"))))</f>
        <v/>
      </c>
      <c r="P935">
        <f>IF(ISNUMBER(I935),I935+ROW()/10000000,"")</f>
        <v/>
      </c>
      <c r="Q935">
        <f>IF(AND(ISNUMBER(P935),ISNUMBER(A935)),IF(AND(A935&gt;=Dashboard!$Q$3,A935&lt;=Dashboard!$Q$4,OR(J935&lt;&gt;"Yes",Dashboard!$Q$15="Yes")),P935,""),"")</f>
        <v/>
      </c>
    </row>
    <row r="936">
      <c r="A936" s="47" t="n"/>
      <c r="B936" s="48" t="n"/>
      <c r="C936" s="48" t="n"/>
      <c r="D936" s="48" t="n"/>
      <c r="E936" s="48" t="n"/>
      <c r="F936" s="48" t="n"/>
      <c r="G936" s="48" t="n"/>
      <c r="H936" s="48" t="n"/>
      <c r="I936" s="49" t="n"/>
      <c r="J936" s="50" t="n"/>
      <c r="K936" s="48" t="n"/>
      <c r="L936" s="51">
        <f>IF(A936="","",DATE(YEAR(A936),MONTH(A936),1))</f>
        <v/>
      </c>
      <c r="M936" s="52">
        <f>IF(OR(A936="",NOT(ISNUMBER(I936))),"",IF(G936=Lists!$B$5,I936/2,IF(G936=Lists!$B$6,I936,0)))</f>
        <v/>
      </c>
      <c r="N936" s="52">
        <f>IF(OR(A936="",NOT(ISNUMBER(I936))),"",IF(G936=Lists!$B$5,I936/2,IF(G936=Lists!$B$7,I936,0)))</f>
        <v/>
      </c>
      <c r="O936" s="53">
        <f>IF(COUNTA(A936:K936)=0,"",IF(OR(A936="",B936="",C936="",D936="",E936="",F936="",G936="",NOT(ISNUMBER(I936))),"Incomplete",IF(COUNTIF(Lists!$H$4:$AA$4,C936)=0,"Check category",IF(COUNTIF(INDEX(Lists!$H$6:$AA$45,0,MATCH(C936,Lists!$H$4:$AA$4,0)),D936)=0,"Check sub-category","OK"))))</f>
        <v/>
      </c>
      <c r="P936">
        <f>IF(ISNUMBER(I936),I936+ROW()/10000000,"")</f>
        <v/>
      </c>
      <c r="Q936">
        <f>IF(AND(ISNUMBER(P936),ISNUMBER(A936)),IF(AND(A936&gt;=Dashboard!$Q$3,A936&lt;=Dashboard!$Q$4,OR(J936&lt;&gt;"Yes",Dashboard!$Q$15="Yes")),P936,""),"")</f>
        <v/>
      </c>
    </row>
    <row r="937">
      <c r="A937" s="47" t="n"/>
      <c r="B937" s="48" t="n"/>
      <c r="C937" s="48" t="n"/>
      <c r="D937" s="48" t="n"/>
      <c r="E937" s="48" t="n"/>
      <c r="F937" s="48" t="n"/>
      <c r="G937" s="48" t="n"/>
      <c r="H937" s="48" t="n"/>
      <c r="I937" s="49" t="n"/>
      <c r="J937" s="50" t="n"/>
      <c r="K937" s="48" t="n"/>
      <c r="L937" s="51">
        <f>IF(A937="","",DATE(YEAR(A937),MONTH(A937),1))</f>
        <v/>
      </c>
      <c r="M937" s="52">
        <f>IF(OR(A937="",NOT(ISNUMBER(I937))),"",IF(G937=Lists!$B$5,I937/2,IF(G937=Lists!$B$6,I937,0)))</f>
        <v/>
      </c>
      <c r="N937" s="52">
        <f>IF(OR(A937="",NOT(ISNUMBER(I937))),"",IF(G937=Lists!$B$5,I937/2,IF(G937=Lists!$B$7,I937,0)))</f>
        <v/>
      </c>
      <c r="O937" s="53">
        <f>IF(COUNTA(A937:K937)=0,"",IF(OR(A937="",B937="",C937="",D937="",E937="",F937="",G937="",NOT(ISNUMBER(I937))),"Incomplete",IF(COUNTIF(Lists!$H$4:$AA$4,C937)=0,"Check category",IF(COUNTIF(INDEX(Lists!$H$6:$AA$45,0,MATCH(C937,Lists!$H$4:$AA$4,0)),D937)=0,"Check sub-category","OK"))))</f>
        <v/>
      </c>
      <c r="P937">
        <f>IF(ISNUMBER(I937),I937+ROW()/10000000,"")</f>
        <v/>
      </c>
      <c r="Q937">
        <f>IF(AND(ISNUMBER(P937),ISNUMBER(A937)),IF(AND(A937&gt;=Dashboard!$Q$3,A937&lt;=Dashboard!$Q$4,OR(J937&lt;&gt;"Yes",Dashboard!$Q$15="Yes")),P937,""),"")</f>
        <v/>
      </c>
    </row>
    <row r="938">
      <c r="A938" s="47" t="n"/>
      <c r="B938" s="48" t="n"/>
      <c r="C938" s="48" t="n"/>
      <c r="D938" s="48" t="n"/>
      <c r="E938" s="48" t="n"/>
      <c r="F938" s="48" t="n"/>
      <c r="G938" s="48" t="n"/>
      <c r="H938" s="48" t="n"/>
      <c r="I938" s="49" t="n"/>
      <c r="J938" s="50" t="n"/>
      <c r="K938" s="48" t="n"/>
      <c r="L938" s="51">
        <f>IF(A938="","",DATE(YEAR(A938),MONTH(A938),1))</f>
        <v/>
      </c>
      <c r="M938" s="52">
        <f>IF(OR(A938="",NOT(ISNUMBER(I938))),"",IF(G938=Lists!$B$5,I938/2,IF(G938=Lists!$B$6,I938,0)))</f>
        <v/>
      </c>
      <c r="N938" s="52">
        <f>IF(OR(A938="",NOT(ISNUMBER(I938))),"",IF(G938=Lists!$B$5,I938/2,IF(G938=Lists!$B$7,I938,0)))</f>
        <v/>
      </c>
      <c r="O938" s="53">
        <f>IF(COUNTA(A938:K938)=0,"",IF(OR(A938="",B938="",C938="",D938="",E938="",F938="",G938="",NOT(ISNUMBER(I938))),"Incomplete",IF(COUNTIF(Lists!$H$4:$AA$4,C938)=0,"Check category",IF(COUNTIF(INDEX(Lists!$H$6:$AA$45,0,MATCH(C938,Lists!$H$4:$AA$4,0)),D938)=0,"Check sub-category","OK"))))</f>
        <v/>
      </c>
      <c r="P938">
        <f>IF(ISNUMBER(I938),I938+ROW()/10000000,"")</f>
        <v/>
      </c>
      <c r="Q938">
        <f>IF(AND(ISNUMBER(P938),ISNUMBER(A938)),IF(AND(A938&gt;=Dashboard!$Q$3,A938&lt;=Dashboard!$Q$4,OR(J938&lt;&gt;"Yes",Dashboard!$Q$15="Yes")),P938,""),"")</f>
        <v/>
      </c>
    </row>
    <row r="939">
      <c r="A939" s="47" t="n"/>
      <c r="B939" s="48" t="n"/>
      <c r="C939" s="48" t="n"/>
      <c r="D939" s="48" t="n"/>
      <c r="E939" s="48" t="n"/>
      <c r="F939" s="48" t="n"/>
      <c r="G939" s="48" t="n"/>
      <c r="H939" s="48" t="n"/>
      <c r="I939" s="49" t="n"/>
      <c r="J939" s="50" t="n"/>
      <c r="K939" s="48" t="n"/>
      <c r="L939" s="51">
        <f>IF(A939="","",DATE(YEAR(A939),MONTH(A939),1))</f>
        <v/>
      </c>
      <c r="M939" s="52">
        <f>IF(OR(A939="",NOT(ISNUMBER(I939))),"",IF(G939=Lists!$B$5,I939/2,IF(G939=Lists!$B$6,I939,0)))</f>
        <v/>
      </c>
      <c r="N939" s="52">
        <f>IF(OR(A939="",NOT(ISNUMBER(I939))),"",IF(G939=Lists!$B$5,I939/2,IF(G939=Lists!$B$7,I939,0)))</f>
        <v/>
      </c>
      <c r="O939" s="53">
        <f>IF(COUNTA(A939:K939)=0,"",IF(OR(A939="",B939="",C939="",D939="",E939="",F939="",G939="",NOT(ISNUMBER(I939))),"Incomplete",IF(COUNTIF(Lists!$H$4:$AA$4,C939)=0,"Check category",IF(COUNTIF(INDEX(Lists!$H$6:$AA$45,0,MATCH(C939,Lists!$H$4:$AA$4,0)),D939)=0,"Check sub-category","OK"))))</f>
        <v/>
      </c>
      <c r="P939">
        <f>IF(ISNUMBER(I939),I939+ROW()/10000000,"")</f>
        <v/>
      </c>
      <c r="Q939">
        <f>IF(AND(ISNUMBER(P939),ISNUMBER(A939)),IF(AND(A939&gt;=Dashboard!$Q$3,A939&lt;=Dashboard!$Q$4,OR(J939&lt;&gt;"Yes",Dashboard!$Q$15="Yes")),P939,""),"")</f>
        <v/>
      </c>
    </row>
    <row r="940">
      <c r="A940" s="47" t="n"/>
      <c r="B940" s="48" t="n"/>
      <c r="C940" s="48" t="n"/>
      <c r="D940" s="48" t="n"/>
      <c r="E940" s="48" t="n"/>
      <c r="F940" s="48" t="n"/>
      <c r="G940" s="48" t="n"/>
      <c r="H940" s="48" t="n"/>
      <c r="I940" s="49" t="n"/>
      <c r="J940" s="50" t="n"/>
      <c r="K940" s="48" t="n"/>
      <c r="L940" s="51">
        <f>IF(A940="","",DATE(YEAR(A940),MONTH(A940),1))</f>
        <v/>
      </c>
      <c r="M940" s="52">
        <f>IF(OR(A940="",NOT(ISNUMBER(I940))),"",IF(G940=Lists!$B$5,I940/2,IF(G940=Lists!$B$6,I940,0)))</f>
        <v/>
      </c>
      <c r="N940" s="52">
        <f>IF(OR(A940="",NOT(ISNUMBER(I940))),"",IF(G940=Lists!$B$5,I940/2,IF(G940=Lists!$B$7,I940,0)))</f>
        <v/>
      </c>
      <c r="O940" s="53">
        <f>IF(COUNTA(A940:K940)=0,"",IF(OR(A940="",B940="",C940="",D940="",E940="",F940="",G940="",NOT(ISNUMBER(I940))),"Incomplete",IF(COUNTIF(Lists!$H$4:$AA$4,C940)=0,"Check category",IF(COUNTIF(INDEX(Lists!$H$6:$AA$45,0,MATCH(C940,Lists!$H$4:$AA$4,0)),D940)=0,"Check sub-category","OK"))))</f>
        <v/>
      </c>
      <c r="P940">
        <f>IF(ISNUMBER(I940),I940+ROW()/10000000,"")</f>
        <v/>
      </c>
      <c r="Q940">
        <f>IF(AND(ISNUMBER(P940),ISNUMBER(A940)),IF(AND(A940&gt;=Dashboard!$Q$3,A940&lt;=Dashboard!$Q$4,OR(J940&lt;&gt;"Yes",Dashboard!$Q$15="Yes")),P940,""),"")</f>
        <v/>
      </c>
    </row>
    <row r="941">
      <c r="A941" s="47" t="n"/>
      <c r="B941" s="48" t="n"/>
      <c r="C941" s="48" t="n"/>
      <c r="D941" s="48" t="n"/>
      <c r="E941" s="48" t="n"/>
      <c r="F941" s="48" t="n"/>
      <c r="G941" s="48" t="n"/>
      <c r="H941" s="48" t="n"/>
      <c r="I941" s="49" t="n"/>
      <c r="J941" s="50" t="n"/>
      <c r="K941" s="48" t="n"/>
      <c r="L941" s="51">
        <f>IF(A941="","",DATE(YEAR(A941),MONTH(A941),1))</f>
        <v/>
      </c>
      <c r="M941" s="52">
        <f>IF(OR(A941="",NOT(ISNUMBER(I941))),"",IF(G941=Lists!$B$5,I941/2,IF(G941=Lists!$B$6,I941,0)))</f>
        <v/>
      </c>
      <c r="N941" s="52">
        <f>IF(OR(A941="",NOT(ISNUMBER(I941))),"",IF(G941=Lists!$B$5,I941/2,IF(G941=Lists!$B$7,I941,0)))</f>
        <v/>
      </c>
      <c r="O941" s="53">
        <f>IF(COUNTA(A941:K941)=0,"",IF(OR(A941="",B941="",C941="",D941="",E941="",F941="",G941="",NOT(ISNUMBER(I941))),"Incomplete",IF(COUNTIF(Lists!$H$4:$AA$4,C941)=0,"Check category",IF(COUNTIF(INDEX(Lists!$H$6:$AA$45,0,MATCH(C941,Lists!$H$4:$AA$4,0)),D941)=0,"Check sub-category","OK"))))</f>
        <v/>
      </c>
      <c r="P941">
        <f>IF(ISNUMBER(I941),I941+ROW()/10000000,"")</f>
        <v/>
      </c>
      <c r="Q941">
        <f>IF(AND(ISNUMBER(P941),ISNUMBER(A941)),IF(AND(A941&gt;=Dashboard!$Q$3,A941&lt;=Dashboard!$Q$4,OR(J941&lt;&gt;"Yes",Dashboard!$Q$15="Yes")),P941,""),"")</f>
        <v/>
      </c>
    </row>
    <row r="942">
      <c r="A942" s="47" t="n"/>
      <c r="B942" s="48" t="n"/>
      <c r="C942" s="48" t="n"/>
      <c r="D942" s="48" t="n"/>
      <c r="E942" s="48" t="n"/>
      <c r="F942" s="48" t="n"/>
      <c r="G942" s="48" t="n"/>
      <c r="H942" s="48" t="n"/>
      <c r="I942" s="49" t="n"/>
      <c r="J942" s="50" t="n"/>
      <c r="K942" s="48" t="n"/>
      <c r="L942" s="51">
        <f>IF(A942="","",DATE(YEAR(A942),MONTH(A942),1))</f>
        <v/>
      </c>
      <c r="M942" s="52">
        <f>IF(OR(A942="",NOT(ISNUMBER(I942))),"",IF(G942=Lists!$B$5,I942/2,IF(G942=Lists!$B$6,I942,0)))</f>
        <v/>
      </c>
      <c r="N942" s="52">
        <f>IF(OR(A942="",NOT(ISNUMBER(I942))),"",IF(G942=Lists!$B$5,I942/2,IF(G942=Lists!$B$7,I942,0)))</f>
        <v/>
      </c>
      <c r="O942" s="53">
        <f>IF(COUNTA(A942:K942)=0,"",IF(OR(A942="",B942="",C942="",D942="",E942="",F942="",G942="",NOT(ISNUMBER(I942))),"Incomplete",IF(COUNTIF(Lists!$H$4:$AA$4,C942)=0,"Check category",IF(COUNTIF(INDEX(Lists!$H$6:$AA$45,0,MATCH(C942,Lists!$H$4:$AA$4,0)),D942)=0,"Check sub-category","OK"))))</f>
        <v/>
      </c>
      <c r="P942">
        <f>IF(ISNUMBER(I942),I942+ROW()/10000000,"")</f>
        <v/>
      </c>
      <c r="Q942">
        <f>IF(AND(ISNUMBER(P942),ISNUMBER(A942)),IF(AND(A942&gt;=Dashboard!$Q$3,A942&lt;=Dashboard!$Q$4,OR(J942&lt;&gt;"Yes",Dashboard!$Q$15="Yes")),P942,""),"")</f>
        <v/>
      </c>
    </row>
    <row r="943">
      <c r="A943" s="47" t="n"/>
      <c r="B943" s="48" t="n"/>
      <c r="C943" s="48" t="n"/>
      <c r="D943" s="48" t="n"/>
      <c r="E943" s="48" t="n"/>
      <c r="F943" s="48" t="n"/>
      <c r="G943" s="48" t="n"/>
      <c r="H943" s="48" t="n"/>
      <c r="I943" s="49" t="n"/>
      <c r="J943" s="50" t="n"/>
      <c r="K943" s="48" t="n"/>
      <c r="L943" s="51">
        <f>IF(A943="","",DATE(YEAR(A943),MONTH(A943),1))</f>
        <v/>
      </c>
      <c r="M943" s="52">
        <f>IF(OR(A943="",NOT(ISNUMBER(I943))),"",IF(G943=Lists!$B$5,I943/2,IF(G943=Lists!$B$6,I943,0)))</f>
        <v/>
      </c>
      <c r="N943" s="52">
        <f>IF(OR(A943="",NOT(ISNUMBER(I943))),"",IF(G943=Lists!$B$5,I943/2,IF(G943=Lists!$B$7,I943,0)))</f>
        <v/>
      </c>
      <c r="O943" s="53">
        <f>IF(COUNTA(A943:K943)=0,"",IF(OR(A943="",B943="",C943="",D943="",E943="",F943="",G943="",NOT(ISNUMBER(I943))),"Incomplete",IF(COUNTIF(Lists!$H$4:$AA$4,C943)=0,"Check category",IF(COUNTIF(INDEX(Lists!$H$6:$AA$45,0,MATCH(C943,Lists!$H$4:$AA$4,0)),D943)=0,"Check sub-category","OK"))))</f>
        <v/>
      </c>
      <c r="P943">
        <f>IF(ISNUMBER(I943),I943+ROW()/10000000,"")</f>
        <v/>
      </c>
      <c r="Q943">
        <f>IF(AND(ISNUMBER(P943),ISNUMBER(A943)),IF(AND(A943&gt;=Dashboard!$Q$3,A943&lt;=Dashboard!$Q$4,OR(J943&lt;&gt;"Yes",Dashboard!$Q$15="Yes")),P943,""),"")</f>
        <v/>
      </c>
    </row>
    <row r="944">
      <c r="A944" s="47" t="n"/>
      <c r="B944" s="48" t="n"/>
      <c r="C944" s="48" t="n"/>
      <c r="D944" s="48" t="n"/>
      <c r="E944" s="48" t="n"/>
      <c r="F944" s="48" t="n"/>
      <c r="G944" s="48" t="n"/>
      <c r="H944" s="48" t="n"/>
      <c r="I944" s="49" t="n"/>
      <c r="J944" s="50" t="n"/>
      <c r="K944" s="48" t="n"/>
      <c r="L944" s="51">
        <f>IF(A944="","",DATE(YEAR(A944),MONTH(A944),1))</f>
        <v/>
      </c>
      <c r="M944" s="52">
        <f>IF(OR(A944="",NOT(ISNUMBER(I944))),"",IF(G944=Lists!$B$5,I944/2,IF(G944=Lists!$B$6,I944,0)))</f>
        <v/>
      </c>
      <c r="N944" s="52">
        <f>IF(OR(A944="",NOT(ISNUMBER(I944))),"",IF(G944=Lists!$B$5,I944/2,IF(G944=Lists!$B$7,I944,0)))</f>
        <v/>
      </c>
      <c r="O944" s="53">
        <f>IF(COUNTA(A944:K944)=0,"",IF(OR(A944="",B944="",C944="",D944="",E944="",F944="",G944="",NOT(ISNUMBER(I944))),"Incomplete",IF(COUNTIF(Lists!$H$4:$AA$4,C944)=0,"Check category",IF(COUNTIF(INDEX(Lists!$H$6:$AA$45,0,MATCH(C944,Lists!$H$4:$AA$4,0)),D944)=0,"Check sub-category","OK"))))</f>
        <v/>
      </c>
      <c r="P944">
        <f>IF(ISNUMBER(I944),I944+ROW()/10000000,"")</f>
        <v/>
      </c>
      <c r="Q944">
        <f>IF(AND(ISNUMBER(P944),ISNUMBER(A944)),IF(AND(A944&gt;=Dashboard!$Q$3,A944&lt;=Dashboard!$Q$4,OR(J944&lt;&gt;"Yes",Dashboard!$Q$15="Yes")),P944,""),"")</f>
        <v/>
      </c>
    </row>
    <row r="945">
      <c r="A945" s="47" t="n"/>
      <c r="B945" s="48" t="n"/>
      <c r="C945" s="48" t="n"/>
      <c r="D945" s="48" t="n"/>
      <c r="E945" s="48" t="n"/>
      <c r="F945" s="48" t="n"/>
      <c r="G945" s="48" t="n"/>
      <c r="H945" s="48" t="n"/>
      <c r="I945" s="49" t="n"/>
      <c r="J945" s="50" t="n"/>
      <c r="K945" s="48" t="n"/>
      <c r="L945" s="51">
        <f>IF(A945="","",DATE(YEAR(A945),MONTH(A945),1))</f>
        <v/>
      </c>
      <c r="M945" s="52">
        <f>IF(OR(A945="",NOT(ISNUMBER(I945))),"",IF(G945=Lists!$B$5,I945/2,IF(G945=Lists!$B$6,I945,0)))</f>
        <v/>
      </c>
      <c r="N945" s="52">
        <f>IF(OR(A945="",NOT(ISNUMBER(I945))),"",IF(G945=Lists!$B$5,I945/2,IF(G945=Lists!$B$7,I945,0)))</f>
        <v/>
      </c>
      <c r="O945" s="53">
        <f>IF(COUNTA(A945:K945)=0,"",IF(OR(A945="",B945="",C945="",D945="",E945="",F945="",G945="",NOT(ISNUMBER(I945))),"Incomplete",IF(COUNTIF(Lists!$H$4:$AA$4,C945)=0,"Check category",IF(COUNTIF(INDEX(Lists!$H$6:$AA$45,0,MATCH(C945,Lists!$H$4:$AA$4,0)),D945)=0,"Check sub-category","OK"))))</f>
        <v/>
      </c>
      <c r="P945">
        <f>IF(ISNUMBER(I945),I945+ROW()/10000000,"")</f>
        <v/>
      </c>
      <c r="Q945">
        <f>IF(AND(ISNUMBER(P945),ISNUMBER(A945)),IF(AND(A945&gt;=Dashboard!$Q$3,A945&lt;=Dashboard!$Q$4,OR(J945&lt;&gt;"Yes",Dashboard!$Q$15="Yes")),P945,""),"")</f>
        <v/>
      </c>
    </row>
    <row r="946">
      <c r="A946" s="47" t="n"/>
      <c r="B946" s="48" t="n"/>
      <c r="C946" s="48" t="n"/>
      <c r="D946" s="48" t="n"/>
      <c r="E946" s="48" t="n"/>
      <c r="F946" s="48" t="n"/>
      <c r="G946" s="48" t="n"/>
      <c r="H946" s="48" t="n"/>
      <c r="I946" s="49" t="n"/>
      <c r="J946" s="50" t="n"/>
      <c r="K946" s="48" t="n"/>
      <c r="L946" s="51">
        <f>IF(A946="","",DATE(YEAR(A946),MONTH(A946),1))</f>
        <v/>
      </c>
      <c r="M946" s="52">
        <f>IF(OR(A946="",NOT(ISNUMBER(I946))),"",IF(G946=Lists!$B$5,I946/2,IF(G946=Lists!$B$6,I946,0)))</f>
        <v/>
      </c>
      <c r="N946" s="52">
        <f>IF(OR(A946="",NOT(ISNUMBER(I946))),"",IF(G946=Lists!$B$5,I946/2,IF(G946=Lists!$B$7,I946,0)))</f>
        <v/>
      </c>
      <c r="O946" s="53">
        <f>IF(COUNTA(A946:K946)=0,"",IF(OR(A946="",B946="",C946="",D946="",E946="",F946="",G946="",NOT(ISNUMBER(I946))),"Incomplete",IF(COUNTIF(Lists!$H$4:$AA$4,C946)=0,"Check category",IF(COUNTIF(INDEX(Lists!$H$6:$AA$45,0,MATCH(C946,Lists!$H$4:$AA$4,0)),D946)=0,"Check sub-category","OK"))))</f>
        <v/>
      </c>
      <c r="P946">
        <f>IF(ISNUMBER(I946),I946+ROW()/10000000,"")</f>
        <v/>
      </c>
      <c r="Q946">
        <f>IF(AND(ISNUMBER(P946),ISNUMBER(A946)),IF(AND(A946&gt;=Dashboard!$Q$3,A946&lt;=Dashboard!$Q$4,OR(J946&lt;&gt;"Yes",Dashboard!$Q$15="Yes")),P946,""),"")</f>
        <v/>
      </c>
    </row>
    <row r="947">
      <c r="A947" s="47" t="n"/>
      <c r="B947" s="48" t="n"/>
      <c r="C947" s="48" t="n"/>
      <c r="D947" s="48" t="n"/>
      <c r="E947" s="48" t="n"/>
      <c r="F947" s="48" t="n"/>
      <c r="G947" s="48" t="n"/>
      <c r="H947" s="48" t="n"/>
      <c r="I947" s="49" t="n"/>
      <c r="J947" s="50" t="n"/>
      <c r="K947" s="48" t="n"/>
      <c r="L947" s="51">
        <f>IF(A947="","",DATE(YEAR(A947),MONTH(A947),1))</f>
        <v/>
      </c>
      <c r="M947" s="52">
        <f>IF(OR(A947="",NOT(ISNUMBER(I947))),"",IF(G947=Lists!$B$5,I947/2,IF(G947=Lists!$B$6,I947,0)))</f>
        <v/>
      </c>
      <c r="N947" s="52">
        <f>IF(OR(A947="",NOT(ISNUMBER(I947))),"",IF(G947=Lists!$B$5,I947/2,IF(G947=Lists!$B$7,I947,0)))</f>
        <v/>
      </c>
      <c r="O947" s="53">
        <f>IF(COUNTA(A947:K947)=0,"",IF(OR(A947="",B947="",C947="",D947="",E947="",F947="",G947="",NOT(ISNUMBER(I947))),"Incomplete",IF(COUNTIF(Lists!$H$4:$AA$4,C947)=0,"Check category",IF(COUNTIF(INDEX(Lists!$H$6:$AA$45,0,MATCH(C947,Lists!$H$4:$AA$4,0)),D947)=0,"Check sub-category","OK"))))</f>
        <v/>
      </c>
      <c r="P947">
        <f>IF(ISNUMBER(I947),I947+ROW()/10000000,"")</f>
        <v/>
      </c>
      <c r="Q947">
        <f>IF(AND(ISNUMBER(P947),ISNUMBER(A947)),IF(AND(A947&gt;=Dashboard!$Q$3,A947&lt;=Dashboard!$Q$4,OR(J947&lt;&gt;"Yes",Dashboard!$Q$15="Yes")),P947,""),"")</f>
        <v/>
      </c>
    </row>
    <row r="948">
      <c r="A948" s="47" t="n"/>
      <c r="B948" s="48" t="n"/>
      <c r="C948" s="48" t="n"/>
      <c r="D948" s="48" t="n"/>
      <c r="E948" s="48" t="n"/>
      <c r="F948" s="48" t="n"/>
      <c r="G948" s="48" t="n"/>
      <c r="H948" s="48" t="n"/>
      <c r="I948" s="49" t="n"/>
      <c r="J948" s="50" t="n"/>
      <c r="K948" s="48" t="n"/>
      <c r="L948" s="51">
        <f>IF(A948="","",DATE(YEAR(A948),MONTH(A948),1))</f>
        <v/>
      </c>
      <c r="M948" s="52">
        <f>IF(OR(A948="",NOT(ISNUMBER(I948))),"",IF(G948=Lists!$B$5,I948/2,IF(G948=Lists!$B$6,I948,0)))</f>
        <v/>
      </c>
      <c r="N948" s="52">
        <f>IF(OR(A948="",NOT(ISNUMBER(I948))),"",IF(G948=Lists!$B$5,I948/2,IF(G948=Lists!$B$7,I948,0)))</f>
        <v/>
      </c>
      <c r="O948" s="53">
        <f>IF(COUNTA(A948:K948)=0,"",IF(OR(A948="",B948="",C948="",D948="",E948="",F948="",G948="",NOT(ISNUMBER(I948))),"Incomplete",IF(COUNTIF(Lists!$H$4:$AA$4,C948)=0,"Check category",IF(COUNTIF(INDEX(Lists!$H$6:$AA$45,0,MATCH(C948,Lists!$H$4:$AA$4,0)),D948)=0,"Check sub-category","OK"))))</f>
        <v/>
      </c>
      <c r="P948">
        <f>IF(ISNUMBER(I948),I948+ROW()/10000000,"")</f>
        <v/>
      </c>
      <c r="Q948">
        <f>IF(AND(ISNUMBER(P948),ISNUMBER(A948)),IF(AND(A948&gt;=Dashboard!$Q$3,A948&lt;=Dashboard!$Q$4,OR(J948&lt;&gt;"Yes",Dashboard!$Q$15="Yes")),P948,""),"")</f>
        <v/>
      </c>
    </row>
    <row r="949">
      <c r="A949" s="47" t="n"/>
      <c r="B949" s="48" t="n"/>
      <c r="C949" s="48" t="n"/>
      <c r="D949" s="48" t="n"/>
      <c r="E949" s="48" t="n"/>
      <c r="F949" s="48" t="n"/>
      <c r="G949" s="48" t="n"/>
      <c r="H949" s="48" t="n"/>
      <c r="I949" s="49" t="n"/>
      <c r="J949" s="50" t="n"/>
      <c r="K949" s="48" t="n"/>
      <c r="L949" s="51">
        <f>IF(A949="","",DATE(YEAR(A949),MONTH(A949),1))</f>
        <v/>
      </c>
      <c r="M949" s="52">
        <f>IF(OR(A949="",NOT(ISNUMBER(I949))),"",IF(G949=Lists!$B$5,I949/2,IF(G949=Lists!$B$6,I949,0)))</f>
        <v/>
      </c>
      <c r="N949" s="52">
        <f>IF(OR(A949="",NOT(ISNUMBER(I949))),"",IF(G949=Lists!$B$5,I949/2,IF(G949=Lists!$B$7,I949,0)))</f>
        <v/>
      </c>
      <c r="O949" s="53">
        <f>IF(COUNTA(A949:K949)=0,"",IF(OR(A949="",B949="",C949="",D949="",E949="",F949="",G949="",NOT(ISNUMBER(I949))),"Incomplete",IF(COUNTIF(Lists!$H$4:$AA$4,C949)=0,"Check category",IF(COUNTIF(INDEX(Lists!$H$6:$AA$45,0,MATCH(C949,Lists!$H$4:$AA$4,0)),D949)=0,"Check sub-category","OK"))))</f>
        <v/>
      </c>
      <c r="P949">
        <f>IF(ISNUMBER(I949),I949+ROW()/10000000,"")</f>
        <v/>
      </c>
      <c r="Q949">
        <f>IF(AND(ISNUMBER(P949),ISNUMBER(A949)),IF(AND(A949&gt;=Dashboard!$Q$3,A949&lt;=Dashboard!$Q$4,OR(J949&lt;&gt;"Yes",Dashboard!$Q$15="Yes")),P949,""),"")</f>
        <v/>
      </c>
    </row>
    <row r="950">
      <c r="A950" s="47" t="n"/>
      <c r="B950" s="48" t="n"/>
      <c r="C950" s="48" t="n"/>
      <c r="D950" s="48" t="n"/>
      <c r="E950" s="48" t="n"/>
      <c r="F950" s="48" t="n"/>
      <c r="G950" s="48" t="n"/>
      <c r="H950" s="48" t="n"/>
      <c r="I950" s="49" t="n"/>
      <c r="J950" s="50" t="n"/>
      <c r="K950" s="48" t="n"/>
      <c r="L950" s="51">
        <f>IF(A950="","",DATE(YEAR(A950),MONTH(A950),1))</f>
        <v/>
      </c>
      <c r="M950" s="52">
        <f>IF(OR(A950="",NOT(ISNUMBER(I950))),"",IF(G950=Lists!$B$5,I950/2,IF(G950=Lists!$B$6,I950,0)))</f>
        <v/>
      </c>
      <c r="N950" s="52">
        <f>IF(OR(A950="",NOT(ISNUMBER(I950))),"",IF(G950=Lists!$B$5,I950/2,IF(G950=Lists!$B$7,I950,0)))</f>
        <v/>
      </c>
      <c r="O950" s="53">
        <f>IF(COUNTA(A950:K950)=0,"",IF(OR(A950="",B950="",C950="",D950="",E950="",F950="",G950="",NOT(ISNUMBER(I950))),"Incomplete",IF(COUNTIF(Lists!$H$4:$AA$4,C950)=0,"Check category",IF(COUNTIF(INDEX(Lists!$H$6:$AA$45,0,MATCH(C950,Lists!$H$4:$AA$4,0)),D950)=0,"Check sub-category","OK"))))</f>
        <v/>
      </c>
      <c r="P950">
        <f>IF(ISNUMBER(I950),I950+ROW()/10000000,"")</f>
        <v/>
      </c>
      <c r="Q950">
        <f>IF(AND(ISNUMBER(P950),ISNUMBER(A950)),IF(AND(A950&gt;=Dashboard!$Q$3,A950&lt;=Dashboard!$Q$4,OR(J950&lt;&gt;"Yes",Dashboard!$Q$15="Yes")),P950,""),"")</f>
        <v/>
      </c>
    </row>
    <row r="951">
      <c r="A951" s="47" t="n"/>
      <c r="B951" s="48" t="n"/>
      <c r="C951" s="48" t="n"/>
      <c r="D951" s="48" t="n"/>
      <c r="E951" s="48" t="n"/>
      <c r="F951" s="48" t="n"/>
      <c r="G951" s="48" t="n"/>
      <c r="H951" s="48" t="n"/>
      <c r="I951" s="49" t="n"/>
      <c r="J951" s="50" t="n"/>
      <c r="K951" s="48" t="n"/>
      <c r="L951" s="51">
        <f>IF(A951="","",DATE(YEAR(A951),MONTH(A951),1))</f>
        <v/>
      </c>
      <c r="M951" s="52">
        <f>IF(OR(A951="",NOT(ISNUMBER(I951))),"",IF(G951=Lists!$B$5,I951/2,IF(G951=Lists!$B$6,I951,0)))</f>
        <v/>
      </c>
      <c r="N951" s="52">
        <f>IF(OR(A951="",NOT(ISNUMBER(I951))),"",IF(G951=Lists!$B$5,I951/2,IF(G951=Lists!$B$7,I951,0)))</f>
        <v/>
      </c>
      <c r="O951" s="53">
        <f>IF(COUNTA(A951:K951)=0,"",IF(OR(A951="",B951="",C951="",D951="",E951="",F951="",G951="",NOT(ISNUMBER(I951))),"Incomplete",IF(COUNTIF(Lists!$H$4:$AA$4,C951)=0,"Check category",IF(COUNTIF(INDEX(Lists!$H$6:$AA$45,0,MATCH(C951,Lists!$H$4:$AA$4,0)),D951)=0,"Check sub-category","OK"))))</f>
        <v/>
      </c>
      <c r="P951">
        <f>IF(ISNUMBER(I951),I951+ROW()/10000000,"")</f>
        <v/>
      </c>
      <c r="Q951">
        <f>IF(AND(ISNUMBER(P951),ISNUMBER(A951)),IF(AND(A951&gt;=Dashboard!$Q$3,A951&lt;=Dashboard!$Q$4,OR(J951&lt;&gt;"Yes",Dashboard!$Q$15="Yes")),P951,""),"")</f>
        <v/>
      </c>
    </row>
    <row r="952">
      <c r="A952" s="47" t="n"/>
      <c r="B952" s="48" t="n"/>
      <c r="C952" s="48" t="n"/>
      <c r="D952" s="48" t="n"/>
      <c r="E952" s="48" t="n"/>
      <c r="F952" s="48" t="n"/>
      <c r="G952" s="48" t="n"/>
      <c r="H952" s="48" t="n"/>
      <c r="I952" s="49" t="n"/>
      <c r="J952" s="50" t="n"/>
      <c r="K952" s="48" t="n"/>
      <c r="L952" s="51">
        <f>IF(A952="","",DATE(YEAR(A952),MONTH(A952),1))</f>
        <v/>
      </c>
      <c r="M952" s="52">
        <f>IF(OR(A952="",NOT(ISNUMBER(I952))),"",IF(G952=Lists!$B$5,I952/2,IF(G952=Lists!$B$6,I952,0)))</f>
        <v/>
      </c>
      <c r="N952" s="52">
        <f>IF(OR(A952="",NOT(ISNUMBER(I952))),"",IF(G952=Lists!$B$5,I952/2,IF(G952=Lists!$B$7,I952,0)))</f>
        <v/>
      </c>
      <c r="O952" s="53">
        <f>IF(COUNTA(A952:K952)=0,"",IF(OR(A952="",B952="",C952="",D952="",E952="",F952="",G952="",NOT(ISNUMBER(I952))),"Incomplete",IF(COUNTIF(Lists!$H$4:$AA$4,C952)=0,"Check category",IF(COUNTIF(INDEX(Lists!$H$6:$AA$45,0,MATCH(C952,Lists!$H$4:$AA$4,0)),D952)=0,"Check sub-category","OK"))))</f>
        <v/>
      </c>
      <c r="P952">
        <f>IF(ISNUMBER(I952),I952+ROW()/10000000,"")</f>
        <v/>
      </c>
      <c r="Q952">
        <f>IF(AND(ISNUMBER(P952),ISNUMBER(A952)),IF(AND(A952&gt;=Dashboard!$Q$3,A952&lt;=Dashboard!$Q$4,OR(J952&lt;&gt;"Yes",Dashboard!$Q$15="Yes")),P952,""),"")</f>
        <v/>
      </c>
    </row>
    <row r="953">
      <c r="A953" s="47" t="n"/>
      <c r="B953" s="48" t="n"/>
      <c r="C953" s="48" t="n"/>
      <c r="D953" s="48" t="n"/>
      <c r="E953" s="48" t="n"/>
      <c r="F953" s="48" t="n"/>
      <c r="G953" s="48" t="n"/>
      <c r="H953" s="48" t="n"/>
      <c r="I953" s="49" t="n"/>
      <c r="J953" s="50" t="n"/>
      <c r="K953" s="48" t="n"/>
      <c r="L953" s="51">
        <f>IF(A953="","",DATE(YEAR(A953),MONTH(A953),1))</f>
        <v/>
      </c>
      <c r="M953" s="52">
        <f>IF(OR(A953="",NOT(ISNUMBER(I953))),"",IF(G953=Lists!$B$5,I953/2,IF(G953=Lists!$B$6,I953,0)))</f>
        <v/>
      </c>
      <c r="N953" s="52">
        <f>IF(OR(A953="",NOT(ISNUMBER(I953))),"",IF(G953=Lists!$B$5,I953/2,IF(G953=Lists!$B$7,I953,0)))</f>
        <v/>
      </c>
      <c r="O953" s="53">
        <f>IF(COUNTA(A953:K953)=0,"",IF(OR(A953="",B953="",C953="",D953="",E953="",F953="",G953="",NOT(ISNUMBER(I953))),"Incomplete",IF(COUNTIF(Lists!$H$4:$AA$4,C953)=0,"Check category",IF(COUNTIF(INDEX(Lists!$H$6:$AA$45,0,MATCH(C953,Lists!$H$4:$AA$4,0)),D953)=0,"Check sub-category","OK"))))</f>
        <v/>
      </c>
      <c r="P953">
        <f>IF(ISNUMBER(I953),I953+ROW()/10000000,"")</f>
        <v/>
      </c>
      <c r="Q953">
        <f>IF(AND(ISNUMBER(P953),ISNUMBER(A953)),IF(AND(A953&gt;=Dashboard!$Q$3,A953&lt;=Dashboard!$Q$4,OR(J953&lt;&gt;"Yes",Dashboard!$Q$15="Yes")),P953,""),"")</f>
        <v/>
      </c>
    </row>
    <row r="954">
      <c r="A954" s="47" t="n"/>
      <c r="B954" s="48" t="n"/>
      <c r="C954" s="48" t="n"/>
      <c r="D954" s="48" t="n"/>
      <c r="E954" s="48" t="n"/>
      <c r="F954" s="48" t="n"/>
      <c r="G954" s="48" t="n"/>
      <c r="H954" s="48" t="n"/>
      <c r="I954" s="49" t="n"/>
      <c r="J954" s="50" t="n"/>
      <c r="K954" s="48" t="n"/>
      <c r="L954" s="51">
        <f>IF(A954="","",DATE(YEAR(A954),MONTH(A954),1))</f>
        <v/>
      </c>
      <c r="M954" s="52">
        <f>IF(OR(A954="",NOT(ISNUMBER(I954))),"",IF(G954=Lists!$B$5,I954/2,IF(G954=Lists!$B$6,I954,0)))</f>
        <v/>
      </c>
      <c r="N954" s="52">
        <f>IF(OR(A954="",NOT(ISNUMBER(I954))),"",IF(G954=Lists!$B$5,I954/2,IF(G954=Lists!$B$7,I954,0)))</f>
        <v/>
      </c>
      <c r="O954" s="53">
        <f>IF(COUNTA(A954:K954)=0,"",IF(OR(A954="",B954="",C954="",D954="",E954="",F954="",G954="",NOT(ISNUMBER(I954))),"Incomplete",IF(COUNTIF(Lists!$H$4:$AA$4,C954)=0,"Check category",IF(COUNTIF(INDEX(Lists!$H$6:$AA$45,0,MATCH(C954,Lists!$H$4:$AA$4,0)),D954)=0,"Check sub-category","OK"))))</f>
        <v/>
      </c>
      <c r="P954">
        <f>IF(ISNUMBER(I954),I954+ROW()/10000000,"")</f>
        <v/>
      </c>
      <c r="Q954">
        <f>IF(AND(ISNUMBER(P954),ISNUMBER(A954)),IF(AND(A954&gt;=Dashboard!$Q$3,A954&lt;=Dashboard!$Q$4,OR(J954&lt;&gt;"Yes",Dashboard!$Q$15="Yes")),P954,""),"")</f>
        <v/>
      </c>
    </row>
    <row r="955">
      <c r="A955" s="47" t="n"/>
      <c r="B955" s="48" t="n"/>
      <c r="C955" s="48" t="n"/>
      <c r="D955" s="48" t="n"/>
      <c r="E955" s="48" t="n"/>
      <c r="F955" s="48" t="n"/>
      <c r="G955" s="48" t="n"/>
      <c r="H955" s="48" t="n"/>
      <c r="I955" s="49" t="n"/>
      <c r="J955" s="50" t="n"/>
      <c r="K955" s="48" t="n"/>
      <c r="L955" s="51">
        <f>IF(A955="","",DATE(YEAR(A955),MONTH(A955),1))</f>
        <v/>
      </c>
      <c r="M955" s="52">
        <f>IF(OR(A955="",NOT(ISNUMBER(I955))),"",IF(G955=Lists!$B$5,I955/2,IF(G955=Lists!$B$6,I955,0)))</f>
        <v/>
      </c>
      <c r="N955" s="52">
        <f>IF(OR(A955="",NOT(ISNUMBER(I955))),"",IF(G955=Lists!$B$5,I955/2,IF(G955=Lists!$B$7,I955,0)))</f>
        <v/>
      </c>
      <c r="O955" s="53">
        <f>IF(COUNTA(A955:K955)=0,"",IF(OR(A955="",B955="",C955="",D955="",E955="",F955="",G955="",NOT(ISNUMBER(I955))),"Incomplete",IF(COUNTIF(Lists!$H$4:$AA$4,C955)=0,"Check category",IF(COUNTIF(INDEX(Lists!$H$6:$AA$45,0,MATCH(C955,Lists!$H$4:$AA$4,0)),D955)=0,"Check sub-category","OK"))))</f>
        <v/>
      </c>
      <c r="P955">
        <f>IF(ISNUMBER(I955),I955+ROW()/10000000,"")</f>
        <v/>
      </c>
      <c r="Q955">
        <f>IF(AND(ISNUMBER(P955),ISNUMBER(A955)),IF(AND(A955&gt;=Dashboard!$Q$3,A955&lt;=Dashboard!$Q$4,OR(J955&lt;&gt;"Yes",Dashboard!$Q$15="Yes")),P955,""),"")</f>
        <v/>
      </c>
    </row>
    <row r="956">
      <c r="A956" s="47" t="n"/>
      <c r="B956" s="48" t="n"/>
      <c r="C956" s="48" t="n"/>
      <c r="D956" s="48" t="n"/>
      <c r="E956" s="48" t="n"/>
      <c r="F956" s="48" t="n"/>
      <c r="G956" s="48" t="n"/>
      <c r="H956" s="48" t="n"/>
      <c r="I956" s="49" t="n"/>
      <c r="J956" s="50" t="n"/>
      <c r="K956" s="48" t="n"/>
      <c r="L956" s="51">
        <f>IF(A956="","",DATE(YEAR(A956),MONTH(A956),1))</f>
        <v/>
      </c>
      <c r="M956" s="52">
        <f>IF(OR(A956="",NOT(ISNUMBER(I956))),"",IF(G956=Lists!$B$5,I956/2,IF(G956=Lists!$B$6,I956,0)))</f>
        <v/>
      </c>
      <c r="N956" s="52">
        <f>IF(OR(A956="",NOT(ISNUMBER(I956))),"",IF(G956=Lists!$B$5,I956/2,IF(G956=Lists!$B$7,I956,0)))</f>
        <v/>
      </c>
      <c r="O956" s="53">
        <f>IF(COUNTA(A956:K956)=0,"",IF(OR(A956="",B956="",C956="",D956="",E956="",F956="",G956="",NOT(ISNUMBER(I956))),"Incomplete",IF(COUNTIF(Lists!$H$4:$AA$4,C956)=0,"Check category",IF(COUNTIF(INDEX(Lists!$H$6:$AA$45,0,MATCH(C956,Lists!$H$4:$AA$4,0)),D956)=0,"Check sub-category","OK"))))</f>
        <v/>
      </c>
      <c r="P956">
        <f>IF(ISNUMBER(I956),I956+ROW()/10000000,"")</f>
        <v/>
      </c>
      <c r="Q956">
        <f>IF(AND(ISNUMBER(P956),ISNUMBER(A956)),IF(AND(A956&gt;=Dashboard!$Q$3,A956&lt;=Dashboard!$Q$4,OR(J956&lt;&gt;"Yes",Dashboard!$Q$15="Yes")),P956,""),"")</f>
        <v/>
      </c>
    </row>
    <row r="957">
      <c r="A957" s="47" t="n"/>
      <c r="B957" s="48" t="n"/>
      <c r="C957" s="48" t="n"/>
      <c r="D957" s="48" t="n"/>
      <c r="E957" s="48" t="n"/>
      <c r="F957" s="48" t="n"/>
      <c r="G957" s="48" t="n"/>
      <c r="H957" s="48" t="n"/>
      <c r="I957" s="49" t="n"/>
      <c r="J957" s="50" t="n"/>
      <c r="K957" s="48" t="n"/>
      <c r="L957" s="51">
        <f>IF(A957="","",DATE(YEAR(A957),MONTH(A957),1))</f>
        <v/>
      </c>
      <c r="M957" s="52">
        <f>IF(OR(A957="",NOT(ISNUMBER(I957))),"",IF(G957=Lists!$B$5,I957/2,IF(G957=Lists!$B$6,I957,0)))</f>
        <v/>
      </c>
      <c r="N957" s="52">
        <f>IF(OR(A957="",NOT(ISNUMBER(I957))),"",IF(G957=Lists!$B$5,I957/2,IF(G957=Lists!$B$7,I957,0)))</f>
        <v/>
      </c>
      <c r="O957" s="53">
        <f>IF(COUNTA(A957:K957)=0,"",IF(OR(A957="",B957="",C957="",D957="",E957="",F957="",G957="",NOT(ISNUMBER(I957))),"Incomplete",IF(COUNTIF(Lists!$H$4:$AA$4,C957)=0,"Check category",IF(COUNTIF(INDEX(Lists!$H$6:$AA$45,0,MATCH(C957,Lists!$H$4:$AA$4,0)),D957)=0,"Check sub-category","OK"))))</f>
        <v/>
      </c>
      <c r="P957">
        <f>IF(ISNUMBER(I957),I957+ROW()/10000000,"")</f>
        <v/>
      </c>
      <c r="Q957">
        <f>IF(AND(ISNUMBER(P957),ISNUMBER(A957)),IF(AND(A957&gt;=Dashboard!$Q$3,A957&lt;=Dashboard!$Q$4,OR(J957&lt;&gt;"Yes",Dashboard!$Q$15="Yes")),P957,""),"")</f>
        <v/>
      </c>
    </row>
    <row r="958">
      <c r="A958" s="47" t="n"/>
      <c r="B958" s="48" t="n"/>
      <c r="C958" s="48" t="n"/>
      <c r="D958" s="48" t="n"/>
      <c r="E958" s="48" t="n"/>
      <c r="F958" s="48" t="n"/>
      <c r="G958" s="48" t="n"/>
      <c r="H958" s="48" t="n"/>
      <c r="I958" s="49" t="n"/>
      <c r="J958" s="50" t="n"/>
      <c r="K958" s="48" t="n"/>
      <c r="L958" s="51">
        <f>IF(A958="","",DATE(YEAR(A958),MONTH(A958),1))</f>
        <v/>
      </c>
      <c r="M958" s="52">
        <f>IF(OR(A958="",NOT(ISNUMBER(I958))),"",IF(G958=Lists!$B$5,I958/2,IF(G958=Lists!$B$6,I958,0)))</f>
        <v/>
      </c>
      <c r="N958" s="52">
        <f>IF(OR(A958="",NOT(ISNUMBER(I958))),"",IF(G958=Lists!$B$5,I958/2,IF(G958=Lists!$B$7,I958,0)))</f>
        <v/>
      </c>
      <c r="O958" s="53">
        <f>IF(COUNTA(A958:K958)=0,"",IF(OR(A958="",B958="",C958="",D958="",E958="",F958="",G958="",NOT(ISNUMBER(I958))),"Incomplete",IF(COUNTIF(Lists!$H$4:$AA$4,C958)=0,"Check category",IF(COUNTIF(INDEX(Lists!$H$6:$AA$45,0,MATCH(C958,Lists!$H$4:$AA$4,0)),D958)=0,"Check sub-category","OK"))))</f>
        <v/>
      </c>
      <c r="P958">
        <f>IF(ISNUMBER(I958),I958+ROW()/10000000,"")</f>
        <v/>
      </c>
      <c r="Q958">
        <f>IF(AND(ISNUMBER(P958),ISNUMBER(A958)),IF(AND(A958&gt;=Dashboard!$Q$3,A958&lt;=Dashboard!$Q$4,OR(J958&lt;&gt;"Yes",Dashboard!$Q$15="Yes")),P958,""),"")</f>
        <v/>
      </c>
    </row>
    <row r="959">
      <c r="A959" s="47" t="n"/>
      <c r="B959" s="48" t="n"/>
      <c r="C959" s="48" t="n"/>
      <c r="D959" s="48" t="n"/>
      <c r="E959" s="48" t="n"/>
      <c r="F959" s="48" t="n"/>
      <c r="G959" s="48" t="n"/>
      <c r="H959" s="48" t="n"/>
      <c r="I959" s="49" t="n"/>
      <c r="J959" s="50" t="n"/>
      <c r="K959" s="48" t="n"/>
      <c r="L959" s="51">
        <f>IF(A959="","",DATE(YEAR(A959),MONTH(A959),1))</f>
        <v/>
      </c>
      <c r="M959" s="52">
        <f>IF(OR(A959="",NOT(ISNUMBER(I959))),"",IF(G959=Lists!$B$5,I959/2,IF(G959=Lists!$B$6,I959,0)))</f>
        <v/>
      </c>
      <c r="N959" s="52">
        <f>IF(OR(A959="",NOT(ISNUMBER(I959))),"",IF(G959=Lists!$B$5,I959/2,IF(G959=Lists!$B$7,I959,0)))</f>
        <v/>
      </c>
      <c r="O959" s="53">
        <f>IF(COUNTA(A959:K959)=0,"",IF(OR(A959="",B959="",C959="",D959="",E959="",F959="",G959="",NOT(ISNUMBER(I959))),"Incomplete",IF(COUNTIF(Lists!$H$4:$AA$4,C959)=0,"Check category",IF(COUNTIF(INDEX(Lists!$H$6:$AA$45,0,MATCH(C959,Lists!$H$4:$AA$4,0)),D959)=0,"Check sub-category","OK"))))</f>
        <v/>
      </c>
      <c r="P959">
        <f>IF(ISNUMBER(I959),I959+ROW()/10000000,"")</f>
        <v/>
      </c>
      <c r="Q959">
        <f>IF(AND(ISNUMBER(P959),ISNUMBER(A959)),IF(AND(A959&gt;=Dashboard!$Q$3,A959&lt;=Dashboard!$Q$4,OR(J959&lt;&gt;"Yes",Dashboard!$Q$15="Yes")),P959,""),"")</f>
        <v/>
      </c>
    </row>
    <row r="960">
      <c r="A960" s="47" t="n"/>
      <c r="B960" s="48" t="n"/>
      <c r="C960" s="48" t="n"/>
      <c r="D960" s="48" t="n"/>
      <c r="E960" s="48" t="n"/>
      <c r="F960" s="48" t="n"/>
      <c r="G960" s="48" t="n"/>
      <c r="H960" s="48" t="n"/>
      <c r="I960" s="49" t="n"/>
      <c r="J960" s="50" t="n"/>
      <c r="K960" s="48" t="n"/>
      <c r="L960" s="51">
        <f>IF(A960="","",DATE(YEAR(A960),MONTH(A960),1))</f>
        <v/>
      </c>
      <c r="M960" s="52">
        <f>IF(OR(A960="",NOT(ISNUMBER(I960))),"",IF(G960=Lists!$B$5,I960/2,IF(G960=Lists!$B$6,I960,0)))</f>
        <v/>
      </c>
      <c r="N960" s="52">
        <f>IF(OR(A960="",NOT(ISNUMBER(I960))),"",IF(G960=Lists!$B$5,I960/2,IF(G960=Lists!$B$7,I960,0)))</f>
        <v/>
      </c>
      <c r="O960" s="53">
        <f>IF(COUNTA(A960:K960)=0,"",IF(OR(A960="",B960="",C960="",D960="",E960="",F960="",G960="",NOT(ISNUMBER(I960))),"Incomplete",IF(COUNTIF(Lists!$H$4:$AA$4,C960)=0,"Check category",IF(COUNTIF(INDEX(Lists!$H$6:$AA$45,0,MATCH(C960,Lists!$H$4:$AA$4,0)),D960)=0,"Check sub-category","OK"))))</f>
        <v/>
      </c>
      <c r="P960">
        <f>IF(ISNUMBER(I960),I960+ROW()/10000000,"")</f>
        <v/>
      </c>
      <c r="Q960">
        <f>IF(AND(ISNUMBER(P960),ISNUMBER(A960)),IF(AND(A960&gt;=Dashboard!$Q$3,A960&lt;=Dashboard!$Q$4,OR(J960&lt;&gt;"Yes",Dashboard!$Q$15="Yes")),P960,""),"")</f>
        <v/>
      </c>
    </row>
    <row r="961">
      <c r="A961" s="47" t="n"/>
      <c r="B961" s="48" t="n"/>
      <c r="C961" s="48" t="n"/>
      <c r="D961" s="48" t="n"/>
      <c r="E961" s="48" t="n"/>
      <c r="F961" s="48" t="n"/>
      <c r="G961" s="48" t="n"/>
      <c r="H961" s="48" t="n"/>
      <c r="I961" s="49" t="n"/>
      <c r="J961" s="50" t="n"/>
      <c r="K961" s="48" t="n"/>
      <c r="L961" s="51">
        <f>IF(A961="","",DATE(YEAR(A961),MONTH(A961),1))</f>
        <v/>
      </c>
      <c r="M961" s="52">
        <f>IF(OR(A961="",NOT(ISNUMBER(I961))),"",IF(G961=Lists!$B$5,I961/2,IF(G961=Lists!$B$6,I961,0)))</f>
        <v/>
      </c>
      <c r="N961" s="52">
        <f>IF(OR(A961="",NOT(ISNUMBER(I961))),"",IF(G961=Lists!$B$5,I961/2,IF(G961=Lists!$B$7,I961,0)))</f>
        <v/>
      </c>
      <c r="O961" s="53">
        <f>IF(COUNTA(A961:K961)=0,"",IF(OR(A961="",B961="",C961="",D961="",E961="",F961="",G961="",NOT(ISNUMBER(I961))),"Incomplete",IF(COUNTIF(Lists!$H$4:$AA$4,C961)=0,"Check category",IF(COUNTIF(INDEX(Lists!$H$6:$AA$45,0,MATCH(C961,Lists!$H$4:$AA$4,0)),D961)=0,"Check sub-category","OK"))))</f>
        <v/>
      </c>
      <c r="P961">
        <f>IF(ISNUMBER(I961),I961+ROW()/10000000,"")</f>
        <v/>
      </c>
      <c r="Q961">
        <f>IF(AND(ISNUMBER(P961),ISNUMBER(A961)),IF(AND(A961&gt;=Dashboard!$Q$3,A961&lt;=Dashboard!$Q$4,OR(J961&lt;&gt;"Yes",Dashboard!$Q$15="Yes")),P961,""),"")</f>
        <v/>
      </c>
    </row>
    <row r="962">
      <c r="A962" s="47" t="n"/>
      <c r="B962" s="48" t="n"/>
      <c r="C962" s="48" t="n"/>
      <c r="D962" s="48" t="n"/>
      <c r="E962" s="48" t="n"/>
      <c r="F962" s="48" t="n"/>
      <c r="G962" s="48" t="n"/>
      <c r="H962" s="48" t="n"/>
      <c r="I962" s="49" t="n"/>
      <c r="J962" s="50" t="n"/>
      <c r="K962" s="48" t="n"/>
      <c r="L962" s="51">
        <f>IF(A962="","",DATE(YEAR(A962),MONTH(A962),1))</f>
        <v/>
      </c>
      <c r="M962" s="52">
        <f>IF(OR(A962="",NOT(ISNUMBER(I962))),"",IF(G962=Lists!$B$5,I962/2,IF(G962=Lists!$B$6,I962,0)))</f>
        <v/>
      </c>
      <c r="N962" s="52">
        <f>IF(OR(A962="",NOT(ISNUMBER(I962))),"",IF(G962=Lists!$B$5,I962/2,IF(G962=Lists!$B$7,I962,0)))</f>
        <v/>
      </c>
      <c r="O962" s="53">
        <f>IF(COUNTA(A962:K962)=0,"",IF(OR(A962="",B962="",C962="",D962="",E962="",F962="",G962="",NOT(ISNUMBER(I962))),"Incomplete",IF(COUNTIF(Lists!$H$4:$AA$4,C962)=0,"Check category",IF(COUNTIF(INDEX(Lists!$H$6:$AA$45,0,MATCH(C962,Lists!$H$4:$AA$4,0)),D962)=0,"Check sub-category","OK"))))</f>
        <v/>
      </c>
      <c r="P962">
        <f>IF(ISNUMBER(I962),I962+ROW()/10000000,"")</f>
        <v/>
      </c>
      <c r="Q962">
        <f>IF(AND(ISNUMBER(P962),ISNUMBER(A962)),IF(AND(A962&gt;=Dashboard!$Q$3,A962&lt;=Dashboard!$Q$4,OR(J962&lt;&gt;"Yes",Dashboard!$Q$15="Yes")),P962,""),"")</f>
        <v/>
      </c>
    </row>
    <row r="963">
      <c r="A963" s="47" t="n"/>
      <c r="B963" s="48" t="n"/>
      <c r="C963" s="48" t="n"/>
      <c r="D963" s="48" t="n"/>
      <c r="E963" s="48" t="n"/>
      <c r="F963" s="48" t="n"/>
      <c r="G963" s="48" t="n"/>
      <c r="H963" s="48" t="n"/>
      <c r="I963" s="49" t="n"/>
      <c r="J963" s="50" t="n"/>
      <c r="K963" s="48" t="n"/>
      <c r="L963" s="51">
        <f>IF(A963="","",DATE(YEAR(A963),MONTH(A963),1))</f>
        <v/>
      </c>
      <c r="M963" s="52">
        <f>IF(OR(A963="",NOT(ISNUMBER(I963))),"",IF(G963=Lists!$B$5,I963/2,IF(G963=Lists!$B$6,I963,0)))</f>
        <v/>
      </c>
      <c r="N963" s="52">
        <f>IF(OR(A963="",NOT(ISNUMBER(I963))),"",IF(G963=Lists!$B$5,I963/2,IF(G963=Lists!$B$7,I963,0)))</f>
        <v/>
      </c>
      <c r="O963" s="53">
        <f>IF(COUNTA(A963:K963)=0,"",IF(OR(A963="",B963="",C963="",D963="",E963="",F963="",G963="",NOT(ISNUMBER(I963))),"Incomplete",IF(COUNTIF(Lists!$H$4:$AA$4,C963)=0,"Check category",IF(COUNTIF(INDEX(Lists!$H$6:$AA$45,0,MATCH(C963,Lists!$H$4:$AA$4,0)),D963)=0,"Check sub-category","OK"))))</f>
        <v/>
      </c>
      <c r="P963">
        <f>IF(ISNUMBER(I963),I963+ROW()/10000000,"")</f>
        <v/>
      </c>
      <c r="Q963">
        <f>IF(AND(ISNUMBER(P963),ISNUMBER(A963)),IF(AND(A963&gt;=Dashboard!$Q$3,A963&lt;=Dashboard!$Q$4,OR(J963&lt;&gt;"Yes",Dashboard!$Q$15="Yes")),P963,""),"")</f>
        <v/>
      </c>
    </row>
    <row r="964">
      <c r="A964" s="47" t="n"/>
      <c r="B964" s="48" t="n"/>
      <c r="C964" s="48" t="n"/>
      <c r="D964" s="48" t="n"/>
      <c r="E964" s="48" t="n"/>
      <c r="F964" s="48" t="n"/>
      <c r="G964" s="48" t="n"/>
      <c r="H964" s="48" t="n"/>
      <c r="I964" s="49" t="n"/>
      <c r="J964" s="50" t="n"/>
      <c r="K964" s="48" t="n"/>
      <c r="L964" s="51">
        <f>IF(A964="","",DATE(YEAR(A964),MONTH(A964),1))</f>
        <v/>
      </c>
      <c r="M964" s="52">
        <f>IF(OR(A964="",NOT(ISNUMBER(I964))),"",IF(G964=Lists!$B$5,I964/2,IF(G964=Lists!$B$6,I964,0)))</f>
        <v/>
      </c>
      <c r="N964" s="52">
        <f>IF(OR(A964="",NOT(ISNUMBER(I964))),"",IF(G964=Lists!$B$5,I964/2,IF(G964=Lists!$B$7,I964,0)))</f>
        <v/>
      </c>
      <c r="O964" s="53">
        <f>IF(COUNTA(A964:K964)=0,"",IF(OR(A964="",B964="",C964="",D964="",E964="",F964="",G964="",NOT(ISNUMBER(I964))),"Incomplete",IF(COUNTIF(Lists!$H$4:$AA$4,C964)=0,"Check category",IF(COUNTIF(INDEX(Lists!$H$6:$AA$45,0,MATCH(C964,Lists!$H$4:$AA$4,0)),D964)=0,"Check sub-category","OK"))))</f>
        <v/>
      </c>
      <c r="P964">
        <f>IF(ISNUMBER(I964),I964+ROW()/10000000,"")</f>
        <v/>
      </c>
      <c r="Q964">
        <f>IF(AND(ISNUMBER(P964),ISNUMBER(A964)),IF(AND(A964&gt;=Dashboard!$Q$3,A964&lt;=Dashboard!$Q$4,OR(J964&lt;&gt;"Yes",Dashboard!$Q$15="Yes")),P964,""),"")</f>
        <v/>
      </c>
    </row>
    <row r="965">
      <c r="A965" s="47" t="n"/>
      <c r="B965" s="48" t="n"/>
      <c r="C965" s="48" t="n"/>
      <c r="D965" s="48" t="n"/>
      <c r="E965" s="48" t="n"/>
      <c r="F965" s="48" t="n"/>
      <c r="G965" s="48" t="n"/>
      <c r="H965" s="48" t="n"/>
      <c r="I965" s="49" t="n"/>
      <c r="J965" s="50" t="n"/>
      <c r="K965" s="48" t="n"/>
      <c r="L965" s="51">
        <f>IF(A965="","",DATE(YEAR(A965),MONTH(A965),1))</f>
        <v/>
      </c>
      <c r="M965" s="52">
        <f>IF(OR(A965="",NOT(ISNUMBER(I965))),"",IF(G965=Lists!$B$5,I965/2,IF(G965=Lists!$B$6,I965,0)))</f>
        <v/>
      </c>
      <c r="N965" s="52">
        <f>IF(OR(A965="",NOT(ISNUMBER(I965))),"",IF(G965=Lists!$B$5,I965/2,IF(G965=Lists!$B$7,I965,0)))</f>
        <v/>
      </c>
      <c r="O965" s="53">
        <f>IF(COUNTA(A965:K965)=0,"",IF(OR(A965="",B965="",C965="",D965="",E965="",F965="",G965="",NOT(ISNUMBER(I965))),"Incomplete",IF(COUNTIF(Lists!$H$4:$AA$4,C965)=0,"Check category",IF(COUNTIF(INDEX(Lists!$H$6:$AA$45,0,MATCH(C965,Lists!$H$4:$AA$4,0)),D965)=0,"Check sub-category","OK"))))</f>
        <v/>
      </c>
      <c r="P965">
        <f>IF(ISNUMBER(I965),I965+ROW()/10000000,"")</f>
        <v/>
      </c>
      <c r="Q965">
        <f>IF(AND(ISNUMBER(P965),ISNUMBER(A965)),IF(AND(A965&gt;=Dashboard!$Q$3,A965&lt;=Dashboard!$Q$4,OR(J965&lt;&gt;"Yes",Dashboard!$Q$15="Yes")),P965,""),"")</f>
        <v/>
      </c>
    </row>
    <row r="966">
      <c r="A966" s="47" t="n"/>
      <c r="B966" s="48" t="n"/>
      <c r="C966" s="48" t="n"/>
      <c r="D966" s="48" t="n"/>
      <c r="E966" s="48" t="n"/>
      <c r="F966" s="48" t="n"/>
      <c r="G966" s="48" t="n"/>
      <c r="H966" s="48" t="n"/>
      <c r="I966" s="49" t="n"/>
      <c r="J966" s="50" t="n"/>
      <c r="K966" s="48" t="n"/>
      <c r="L966" s="51">
        <f>IF(A966="","",DATE(YEAR(A966),MONTH(A966),1))</f>
        <v/>
      </c>
      <c r="M966" s="52">
        <f>IF(OR(A966="",NOT(ISNUMBER(I966))),"",IF(G966=Lists!$B$5,I966/2,IF(G966=Lists!$B$6,I966,0)))</f>
        <v/>
      </c>
      <c r="N966" s="52">
        <f>IF(OR(A966="",NOT(ISNUMBER(I966))),"",IF(G966=Lists!$B$5,I966/2,IF(G966=Lists!$B$7,I966,0)))</f>
        <v/>
      </c>
      <c r="O966" s="53">
        <f>IF(COUNTA(A966:K966)=0,"",IF(OR(A966="",B966="",C966="",D966="",E966="",F966="",G966="",NOT(ISNUMBER(I966))),"Incomplete",IF(COUNTIF(Lists!$H$4:$AA$4,C966)=0,"Check category",IF(COUNTIF(INDEX(Lists!$H$6:$AA$45,0,MATCH(C966,Lists!$H$4:$AA$4,0)),D966)=0,"Check sub-category","OK"))))</f>
        <v/>
      </c>
      <c r="P966">
        <f>IF(ISNUMBER(I966),I966+ROW()/10000000,"")</f>
        <v/>
      </c>
      <c r="Q966">
        <f>IF(AND(ISNUMBER(P966),ISNUMBER(A966)),IF(AND(A966&gt;=Dashboard!$Q$3,A966&lt;=Dashboard!$Q$4,OR(J966&lt;&gt;"Yes",Dashboard!$Q$15="Yes")),P966,""),"")</f>
        <v/>
      </c>
    </row>
    <row r="967">
      <c r="A967" s="47" t="n"/>
      <c r="B967" s="48" t="n"/>
      <c r="C967" s="48" t="n"/>
      <c r="D967" s="48" t="n"/>
      <c r="E967" s="48" t="n"/>
      <c r="F967" s="48" t="n"/>
      <c r="G967" s="48" t="n"/>
      <c r="H967" s="48" t="n"/>
      <c r="I967" s="49" t="n"/>
      <c r="J967" s="50" t="n"/>
      <c r="K967" s="48" t="n"/>
      <c r="L967" s="51">
        <f>IF(A967="","",DATE(YEAR(A967),MONTH(A967),1))</f>
        <v/>
      </c>
      <c r="M967" s="52">
        <f>IF(OR(A967="",NOT(ISNUMBER(I967))),"",IF(G967=Lists!$B$5,I967/2,IF(G967=Lists!$B$6,I967,0)))</f>
        <v/>
      </c>
      <c r="N967" s="52">
        <f>IF(OR(A967="",NOT(ISNUMBER(I967))),"",IF(G967=Lists!$B$5,I967/2,IF(G967=Lists!$B$7,I967,0)))</f>
        <v/>
      </c>
      <c r="O967" s="53">
        <f>IF(COUNTA(A967:K967)=0,"",IF(OR(A967="",B967="",C967="",D967="",E967="",F967="",G967="",NOT(ISNUMBER(I967))),"Incomplete",IF(COUNTIF(Lists!$H$4:$AA$4,C967)=0,"Check category",IF(COUNTIF(INDEX(Lists!$H$6:$AA$45,0,MATCH(C967,Lists!$H$4:$AA$4,0)),D967)=0,"Check sub-category","OK"))))</f>
        <v/>
      </c>
      <c r="P967">
        <f>IF(ISNUMBER(I967),I967+ROW()/10000000,"")</f>
        <v/>
      </c>
      <c r="Q967">
        <f>IF(AND(ISNUMBER(P967),ISNUMBER(A967)),IF(AND(A967&gt;=Dashboard!$Q$3,A967&lt;=Dashboard!$Q$4,OR(J967&lt;&gt;"Yes",Dashboard!$Q$15="Yes")),P967,""),"")</f>
        <v/>
      </c>
    </row>
    <row r="968">
      <c r="A968" s="47" t="n"/>
      <c r="B968" s="48" t="n"/>
      <c r="C968" s="48" t="n"/>
      <c r="D968" s="48" t="n"/>
      <c r="E968" s="48" t="n"/>
      <c r="F968" s="48" t="n"/>
      <c r="G968" s="48" t="n"/>
      <c r="H968" s="48" t="n"/>
      <c r="I968" s="49" t="n"/>
      <c r="J968" s="50" t="n"/>
      <c r="K968" s="48" t="n"/>
      <c r="L968" s="51">
        <f>IF(A968="","",DATE(YEAR(A968),MONTH(A968),1))</f>
        <v/>
      </c>
      <c r="M968" s="52">
        <f>IF(OR(A968="",NOT(ISNUMBER(I968))),"",IF(G968=Lists!$B$5,I968/2,IF(G968=Lists!$B$6,I968,0)))</f>
        <v/>
      </c>
      <c r="N968" s="52">
        <f>IF(OR(A968="",NOT(ISNUMBER(I968))),"",IF(G968=Lists!$B$5,I968/2,IF(G968=Lists!$B$7,I968,0)))</f>
        <v/>
      </c>
      <c r="O968" s="53">
        <f>IF(COUNTA(A968:K968)=0,"",IF(OR(A968="",B968="",C968="",D968="",E968="",F968="",G968="",NOT(ISNUMBER(I968))),"Incomplete",IF(COUNTIF(Lists!$H$4:$AA$4,C968)=0,"Check category",IF(COUNTIF(INDEX(Lists!$H$6:$AA$45,0,MATCH(C968,Lists!$H$4:$AA$4,0)),D968)=0,"Check sub-category","OK"))))</f>
        <v/>
      </c>
      <c r="P968">
        <f>IF(ISNUMBER(I968),I968+ROW()/10000000,"")</f>
        <v/>
      </c>
      <c r="Q968">
        <f>IF(AND(ISNUMBER(P968),ISNUMBER(A968)),IF(AND(A968&gt;=Dashboard!$Q$3,A968&lt;=Dashboard!$Q$4,OR(J968&lt;&gt;"Yes",Dashboard!$Q$15="Yes")),P968,""),"")</f>
        <v/>
      </c>
    </row>
    <row r="969">
      <c r="A969" s="47" t="n"/>
      <c r="B969" s="48" t="n"/>
      <c r="C969" s="48" t="n"/>
      <c r="D969" s="48" t="n"/>
      <c r="E969" s="48" t="n"/>
      <c r="F969" s="48" t="n"/>
      <c r="G969" s="48" t="n"/>
      <c r="H969" s="48" t="n"/>
      <c r="I969" s="49" t="n"/>
      <c r="J969" s="50" t="n"/>
      <c r="K969" s="48" t="n"/>
      <c r="L969" s="51">
        <f>IF(A969="","",DATE(YEAR(A969),MONTH(A969),1))</f>
        <v/>
      </c>
      <c r="M969" s="52">
        <f>IF(OR(A969="",NOT(ISNUMBER(I969))),"",IF(G969=Lists!$B$5,I969/2,IF(G969=Lists!$B$6,I969,0)))</f>
        <v/>
      </c>
      <c r="N969" s="52">
        <f>IF(OR(A969="",NOT(ISNUMBER(I969))),"",IF(G969=Lists!$B$5,I969/2,IF(G969=Lists!$B$7,I969,0)))</f>
        <v/>
      </c>
      <c r="O969" s="53">
        <f>IF(COUNTA(A969:K969)=0,"",IF(OR(A969="",B969="",C969="",D969="",E969="",F969="",G969="",NOT(ISNUMBER(I969))),"Incomplete",IF(COUNTIF(Lists!$H$4:$AA$4,C969)=0,"Check category",IF(COUNTIF(INDEX(Lists!$H$6:$AA$45,0,MATCH(C969,Lists!$H$4:$AA$4,0)),D969)=0,"Check sub-category","OK"))))</f>
        <v/>
      </c>
      <c r="P969">
        <f>IF(ISNUMBER(I969),I969+ROW()/10000000,"")</f>
        <v/>
      </c>
      <c r="Q969">
        <f>IF(AND(ISNUMBER(P969),ISNUMBER(A969)),IF(AND(A969&gt;=Dashboard!$Q$3,A969&lt;=Dashboard!$Q$4,OR(J969&lt;&gt;"Yes",Dashboard!$Q$15="Yes")),P969,""),"")</f>
        <v/>
      </c>
    </row>
    <row r="970">
      <c r="A970" s="47" t="n"/>
      <c r="B970" s="48" t="n"/>
      <c r="C970" s="48" t="n"/>
      <c r="D970" s="48" t="n"/>
      <c r="E970" s="48" t="n"/>
      <c r="F970" s="48" t="n"/>
      <c r="G970" s="48" t="n"/>
      <c r="H970" s="48" t="n"/>
      <c r="I970" s="49" t="n"/>
      <c r="J970" s="50" t="n"/>
      <c r="K970" s="48" t="n"/>
      <c r="L970" s="51">
        <f>IF(A970="","",DATE(YEAR(A970),MONTH(A970),1))</f>
        <v/>
      </c>
      <c r="M970" s="52">
        <f>IF(OR(A970="",NOT(ISNUMBER(I970))),"",IF(G970=Lists!$B$5,I970/2,IF(G970=Lists!$B$6,I970,0)))</f>
        <v/>
      </c>
      <c r="N970" s="52">
        <f>IF(OR(A970="",NOT(ISNUMBER(I970))),"",IF(G970=Lists!$B$5,I970/2,IF(G970=Lists!$B$7,I970,0)))</f>
        <v/>
      </c>
      <c r="O970" s="53">
        <f>IF(COUNTA(A970:K970)=0,"",IF(OR(A970="",B970="",C970="",D970="",E970="",F970="",G970="",NOT(ISNUMBER(I970))),"Incomplete",IF(COUNTIF(Lists!$H$4:$AA$4,C970)=0,"Check category",IF(COUNTIF(INDEX(Lists!$H$6:$AA$45,0,MATCH(C970,Lists!$H$4:$AA$4,0)),D970)=0,"Check sub-category","OK"))))</f>
        <v/>
      </c>
      <c r="P970">
        <f>IF(ISNUMBER(I970),I970+ROW()/10000000,"")</f>
        <v/>
      </c>
      <c r="Q970">
        <f>IF(AND(ISNUMBER(P970),ISNUMBER(A970)),IF(AND(A970&gt;=Dashboard!$Q$3,A970&lt;=Dashboard!$Q$4,OR(J970&lt;&gt;"Yes",Dashboard!$Q$15="Yes")),P970,""),"")</f>
        <v/>
      </c>
    </row>
    <row r="971">
      <c r="A971" s="47" t="n"/>
      <c r="B971" s="48" t="n"/>
      <c r="C971" s="48" t="n"/>
      <c r="D971" s="48" t="n"/>
      <c r="E971" s="48" t="n"/>
      <c r="F971" s="48" t="n"/>
      <c r="G971" s="48" t="n"/>
      <c r="H971" s="48" t="n"/>
      <c r="I971" s="49" t="n"/>
      <c r="J971" s="50" t="n"/>
      <c r="K971" s="48" t="n"/>
      <c r="L971" s="51">
        <f>IF(A971="","",DATE(YEAR(A971),MONTH(A971),1))</f>
        <v/>
      </c>
      <c r="M971" s="52">
        <f>IF(OR(A971="",NOT(ISNUMBER(I971))),"",IF(G971=Lists!$B$5,I971/2,IF(G971=Lists!$B$6,I971,0)))</f>
        <v/>
      </c>
      <c r="N971" s="52">
        <f>IF(OR(A971="",NOT(ISNUMBER(I971))),"",IF(G971=Lists!$B$5,I971/2,IF(G971=Lists!$B$7,I971,0)))</f>
        <v/>
      </c>
      <c r="O971" s="53">
        <f>IF(COUNTA(A971:K971)=0,"",IF(OR(A971="",B971="",C971="",D971="",E971="",F971="",G971="",NOT(ISNUMBER(I971))),"Incomplete",IF(COUNTIF(Lists!$H$4:$AA$4,C971)=0,"Check category",IF(COUNTIF(INDEX(Lists!$H$6:$AA$45,0,MATCH(C971,Lists!$H$4:$AA$4,0)),D971)=0,"Check sub-category","OK"))))</f>
        <v/>
      </c>
      <c r="P971">
        <f>IF(ISNUMBER(I971),I971+ROW()/10000000,"")</f>
        <v/>
      </c>
      <c r="Q971">
        <f>IF(AND(ISNUMBER(P971),ISNUMBER(A971)),IF(AND(A971&gt;=Dashboard!$Q$3,A971&lt;=Dashboard!$Q$4,OR(J971&lt;&gt;"Yes",Dashboard!$Q$15="Yes")),P971,""),"")</f>
        <v/>
      </c>
    </row>
    <row r="972">
      <c r="A972" s="47" t="n"/>
      <c r="B972" s="48" t="n"/>
      <c r="C972" s="48" t="n"/>
      <c r="D972" s="48" t="n"/>
      <c r="E972" s="48" t="n"/>
      <c r="F972" s="48" t="n"/>
      <c r="G972" s="48" t="n"/>
      <c r="H972" s="48" t="n"/>
      <c r="I972" s="49" t="n"/>
      <c r="J972" s="50" t="n"/>
      <c r="K972" s="48" t="n"/>
      <c r="L972" s="51">
        <f>IF(A972="","",DATE(YEAR(A972),MONTH(A972),1))</f>
        <v/>
      </c>
      <c r="M972" s="52">
        <f>IF(OR(A972="",NOT(ISNUMBER(I972))),"",IF(G972=Lists!$B$5,I972/2,IF(G972=Lists!$B$6,I972,0)))</f>
        <v/>
      </c>
      <c r="N972" s="52">
        <f>IF(OR(A972="",NOT(ISNUMBER(I972))),"",IF(G972=Lists!$B$5,I972/2,IF(G972=Lists!$B$7,I972,0)))</f>
        <v/>
      </c>
      <c r="O972" s="53">
        <f>IF(COUNTA(A972:K972)=0,"",IF(OR(A972="",B972="",C972="",D972="",E972="",F972="",G972="",NOT(ISNUMBER(I972))),"Incomplete",IF(COUNTIF(Lists!$H$4:$AA$4,C972)=0,"Check category",IF(COUNTIF(INDEX(Lists!$H$6:$AA$45,0,MATCH(C972,Lists!$H$4:$AA$4,0)),D972)=0,"Check sub-category","OK"))))</f>
        <v/>
      </c>
      <c r="P972">
        <f>IF(ISNUMBER(I972),I972+ROW()/10000000,"")</f>
        <v/>
      </c>
      <c r="Q972">
        <f>IF(AND(ISNUMBER(P972),ISNUMBER(A972)),IF(AND(A972&gt;=Dashboard!$Q$3,A972&lt;=Dashboard!$Q$4,OR(J972&lt;&gt;"Yes",Dashboard!$Q$15="Yes")),P972,""),"")</f>
        <v/>
      </c>
    </row>
    <row r="973">
      <c r="A973" s="47" t="n"/>
      <c r="B973" s="48" t="n"/>
      <c r="C973" s="48" t="n"/>
      <c r="D973" s="48" t="n"/>
      <c r="E973" s="48" t="n"/>
      <c r="F973" s="48" t="n"/>
      <c r="G973" s="48" t="n"/>
      <c r="H973" s="48" t="n"/>
      <c r="I973" s="49" t="n"/>
      <c r="J973" s="50" t="n"/>
      <c r="K973" s="48" t="n"/>
      <c r="L973" s="51">
        <f>IF(A973="","",DATE(YEAR(A973),MONTH(A973),1))</f>
        <v/>
      </c>
      <c r="M973" s="52">
        <f>IF(OR(A973="",NOT(ISNUMBER(I973))),"",IF(G973=Lists!$B$5,I973/2,IF(G973=Lists!$B$6,I973,0)))</f>
        <v/>
      </c>
      <c r="N973" s="52">
        <f>IF(OR(A973="",NOT(ISNUMBER(I973))),"",IF(G973=Lists!$B$5,I973/2,IF(G973=Lists!$B$7,I973,0)))</f>
        <v/>
      </c>
      <c r="O973" s="53">
        <f>IF(COUNTA(A973:K973)=0,"",IF(OR(A973="",B973="",C973="",D973="",E973="",F973="",G973="",NOT(ISNUMBER(I973))),"Incomplete",IF(COUNTIF(Lists!$H$4:$AA$4,C973)=0,"Check category",IF(COUNTIF(INDEX(Lists!$H$6:$AA$45,0,MATCH(C973,Lists!$H$4:$AA$4,0)),D973)=0,"Check sub-category","OK"))))</f>
        <v/>
      </c>
      <c r="P973">
        <f>IF(ISNUMBER(I973),I973+ROW()/10000000,"")</f>
        <v/>
      </c>
      <c r="Q973">
        <f>IF(AND(ISNUMBER(P973),ISNUMBER(A973)),IF(AND(A973&gt;=Dashboard!$Q$3,A973&lt;=Dashboard!$Q$4,OR(J973&lt;&gt;"Yes",Dashboard!$Q$15="Yes")),P973,""),"")</f>
        <v/>
      </c>
    </row>
    <row r="974">
      <c r="A974" s="47" t="n"/>
      <c r="B974" s="48" t="n"/>
      <c r="C974" s="48" t="n"/>
      <c r="D974" s="48" t="n"/>
      <c r="E974" s="48" t="n"/>
      <c r="F974" s="48" t="n"/>
      <c r="G974" s="48" t="n"/>
      <c r="H974" s="48" t="n"/>
      <c r="I974" s="49" t="n"/>
      <c r="J974" s="50" t="n"/>
      <c r="K974" s="48" t="n"/>
      <c r="L974" s="51">
        <f>IF(A974="","",DATE(YEAR(A974),MONTH(A974),1))</f>
        <v/>
      </c>
      <c r="M974" s="52">
        <f>IF(OR(A974="",NOT(ISNUMBER(I974))),"",IF(G974=Lists!$B$5,I974/2,IF(G974=Lists!$B$6,I974,0)))</f>
        <v/>
      </c>
      <c r="N974" s="52">
        <f>IF(OR(A974="",NOT(ISNUMBER(I974))),"",IF(G974=Lists!$B$5,I974/2,IF(G974=Lists!$B$7,I974,0)))</f>
        <v/>
      </c>
      <c r="O974" s="53">
        <f>IF(COUNTA(A974:K974)=0,"",IF(OR(A974="",B974="",C974="",D974="",E974="",F974="",G974="",NOT(ISNUMBER(I974))),"Incomplete",IF(COUNTIF(Lists!$H$4:$AA$4,C974)=0,"Check category",IF(COUNTIF(INDEX(Lists!$H$6:$AA$45,0,MATCH(C974,Lists!$H$4:$AA$4,0)),D974)=0,"Check sub-category","OK"))))</f>
        <v/>
      </c>
      <c r="P974">
        <f>IF(ISNUMBER(I974),I974+ROW()/10000000,"")</f>
        <v/>
      </c>
      <c r="Q974">
        <f>IF(AND(ISNUMBER(P974),ISNUMBER(A974)),IF(AND(A974&gt;=Dashboard!$Q$3,A974&lt;=Dashboard!$Q$4,OR(J974&lt;&gt;"Yes",Dashboard!$Q$15="Yes")),P974,""),"")</f>
        <v/>
      </c>
    </row>
    <row r="975">
      <c r="A975" s="47" t="n"/>
      <c r="B975" s="48" t="n"/>
      <c r="C975" s="48" t="n"/>
      <c r="D975" s="48" t="n"/>
      <c r="E975" s="48" t="n"/>
      <c r="F975" s="48" t="n"/>
      <c r="G975" s="48" t="n"/>
      <c r="H975" s="48" t="n"/>
      <c r="I975" s="49" t="n"/>
      <c r="J975" s="50" t="n"/>
      <c r="K975" s="48" t="n"/>
      <c r="L975" s="51">
        <f>IF(A975="","",DATE(YEAR(A975),MONTH(A975),1))</f>
        <v/>
      </c>
      <c r="M975" s="52">
        <f>IF(OR(A975="",NOT(ISNUMBER(I975))),"",IF(G975=Lists!$B$5,I975/2,IF(G975=Lists!$B$6,I975,0)))</f>
        <v/>
      </c>
      <c r="N975" s="52">
        <f>IF(OR(A975="",NOT(ISNUMBER(I975))),"",IF(G975=Lists!$B$5,I975/2,IF(G975=Lists!$B$7,I975,0)))</f>
        <v/>
      </c>
      <c r="O975" s="53">
        <f>IF(COUNTA(A975:K975)=0,"",IF(OR(A975="",B975="",C975="",D975="",E975="",F975="",G975="",NOT(ISNUMBER(I975))),"Incomplete",IF(COUNTIF(Lists!$H$4:$AA$4,C975)=0,"Check category",IF(COUNTIF(INDEX(Lists!$H$6:$AA$45,0,MATCH(C975,Lists!$H$4:$AA$4,0)),D975)=0,"Check sub-category","OK"))))</f>
        <v/>
      </c>
      <c r="P975">
        <f>IF(ISNUMBER(I975),I975+ROW()/10000000,"")</f>
        <v/>
      </c>
      <c r="Q975">
        <f>IF(AND(ISNUMBER(P975),ISNUMBER(A975)),IF(AND(A975&gt;=Dashboard!$Q$3,A975&lt;=Dashboard!$Q$4,OR(J975&lt;&gt;"Yes",Dashboard!$Q$15="Yes")),P975,""),"")</f>
        <v/>
      </c>
    </row>
    <row r="976">
      <c r="A976" s="47" t="n"/>
      <c r="B976" s="48" t="n"/>
      <c r="C976" s="48" t="n"/>
      <c r="D976" s="48" t="n"/>
      <c r="E976" s="48" t="n"/>
      <c r="F976" s="48" t="n"/>
      <c r="G976" s="48" t="n"/>
      <c r="H976" s="48" t="n"/>
      <c r="I976" s="49" t="n"/>
      <c r="J976" s="50" t="n"/>
      <c r="K976" s="48" t="n"/>
      <c r="L976" s="51">
        <f>IF(A976="","",DATE(YEAR(A976),MONTH(A976),1))</f>
        <v/>
      </c>
      <c r="M976" s="52">
        <f>IF(OR(A976="",NOT(ISNUMBER(I976))),"",IF(G976=Lists!$B$5,I976/2,IF(G976=Lists!$B$6,I976,0)))</f>
        <v/>
      </c>
      <c r="N976" s="52">
        <f>IF(OR(A976="",NOT(ISNUMBER(I976))),"",IF(G976=Lists!$B$5,I976/2,IF(G976=Lists!$B$7,I976,0)))</f>
        <v/>
      </c>
      <c r="O976" s="53">
        <f>IF(COUNTA(A976:K976)=0,"",IF(OR(A976="",B976="",C976="",D976="",E976="",F976="",G976="",NOT(ISNUMBER(I976))),"Incomplete",IF(COUNTIF(Lists!$H$4:$AA$4,C976)=0,"Check category",IF(COUNTIF(INDEX(Lists!$H$6:$AA$45,0,MATCH(C976,Lists!$H$4:$AA$4,0)),D976)=0,"Check sub-category","OK"))))</f>
        <v/>
      </c>
      <c r="P976">
        <f>IF(ISNUMBER(I976),I976+ROW()/10000000,"")</f>
        <v/>
      </c>
      <c r="Q976">
        <f>IF(AND(ISNUMBER(P976),ISNUMBER(A976)),IF(AND(A976&gt;=Dashboard!$Q$3,A976&lt;=Dashboard!$Q$4,OR(J976&lt;&gt;"Yes",Dashboard!$Q$15="Yes")),P976,""),"")</f>
        <v/>
      </c>
    </row>
    <row r="977">
      <c r="A977" s="47" t="n"/>
      <c r="B977" s="48" t="n"/>
      <c r="C977" s="48" t="n"/>
      <c r="D977" s="48" t="n"/>
      <c r="E977" s="48" t="n"/>
      <c r="F977" s="48" t="n"/>
      <c r="G977" s="48" t="n"/>
      <c r="H977" s="48" t="n"/>
      <c r="I977" s="49" t="n"/>
      <c r="J977" s="50" t="n"/>
      <c r="K977" s="48" t="n"/>
      <c r="L977" s="51">
        <f>IF(A977="","",DATE(YEAR(A977),MONTH(A977),1))</f>
        <v/>
      </c>
      <c r="M977" s="52">
        <f>IF(OR(A977="",NOT(ISNUMBER(I977))),"",IF(G977=Lists!$B$5,I977/2,IF(G977=Lists!$B$6,I977,0)))</f>
        <v/>
      </c>
      <c r="N977" s="52">
        <f>IF(OR(A977="",NOT(ISNUMBER(I977))),"",IF(G977=Lists!$B$5,I977/2,IF(G977=Lists!$B$7,I977,0)))</f>
        <v/>
      </c>
      <c r="O977" s="53">
        <f>IF(COUNTA(A977:K977)=0,"",IF(OR(A977="",B977="",C977="",D977="",E977="",F977="",G977="",NOT(ISNUMBER(I977))),"Incomplete",IF(COUNTIF(Lists!$H$4:$AA$4,C977)=0,"Check category",IF(COUNTIF(INDEX(Lists!$H$6:$AA$45,0,MATCH(C977,Lists!$H$4:$AA$4,0)),D977)=0,"Check sub-category","OK"))))</f>
        <v/>
      </c>
      <c r="P977">
        <f>IF(ISNUMBER(I977),I977+ROW()/10000000,"")</f>
        <v/>
      </c>
      <c r="Q977">
        <f>IF(AND(ISNUMBER(P977),ISNUMBER(A977)),IF(AND(A977&gt;=Dashboard!$Q$3,A977&lt;=Dashboard!$Q$4,OR(J977&lt;&gt;"Yes",Dashboard!$Q$15="Yes")),P977,""),"")</f>
        <v/>
      </c>
    </row>
    <row r="978">
      <c r="A978" s="47" t="n"/>
      <c r="B978" s="48" t="n"/>
      <c r="C978" s="48" t="n"/>
      <c r="D978" s="48" t="n"/>
      <c r="E978" s="48" t="n"/>
      <c r="F978" s="48" t="n"/>
      <c r="G978" s="48" t="n"/>
      <c r="H978" s="48" t="n"/>
      <c r="I978" s="49" t="n"/>
      <c r="J978" s="50" t="n"/>
      <c r="K978" s="48" t="n"/>
      <c r="L978" s="51">
        <f>IF(A978="","",DATE(YEAR(A978),MONTH(A978),1))</f>
        <v/>
      </c>
      <c r="M978" s="52">
        <f>IF(OR(A978="",NOT(ISNUMBER(I978))),"",IF(G978=Lists!$B$5,I978/2,IF(G978=Lists!$B$6,I978,0)))</f>
        <v/>
      </c>
      <c r="N978" s="52">
        <f>IF(OR(A978="",NOT(ISNUMBER(I978))),"",IF(G978=Lists!$B$5,I978/2,IF(G978=Lists!$B$7,I978,0)))</f>
        <v/>
      </c>
      <c r="O978" s="53">
        <f>IF(COUNTA(A978:K978)=0,"",IF(OR(A978="",B978="",C978="",D978="",E978="",F978="",G978="",NOT(ISNUMBER(I978))),"Incomplete",IF(COUNTIF(Lists!$H$4:$AA$4,C978)=0,"Check category",IF(COUNTIF(INDEX(Lists!$H$6:$AA$45,0,MATCH(C978,Lists!$H$4:$AA$4,0)),D978)=0,"Check sub-category","OK"))))</f>
        <v/>
      </c>
      <c r="P978">
        <f>IF(ISNUMBER(I978),I978+ROW()/10000000,"")</f>
        <v/>
      </c>
      <c r="Q978">
        <f>IF(AND(ISNUMBER(P978),ISNUMBER(A978)),IF(AND(A978&gt;=Dashboard!$Q$3,A978&lt;=Dashboard!$Q$4,OR(J978&lt;&gt;"Yes",Dashboard!$Q$15="Yes")),P978,""),"")</f>
        <v/>
      </c>
    </row>
    <row r="979">
      <c r="A979" s="47" t="n"/>
      <c r="B979" s="48" t="n"/>
      <c r="C979" s="48" t="n"/>
      <c r="D979" s="48" t="n"/>
      <c r="E979" s="48" t="n"/>
      <c r="F979" s="48" t="n"/>
      <c r="G979" s="48" t="n"/>
      <c r="H979" s="48" t="n"/>
      <c r="I979" s="49" t="n"/>
      <c r="J979" s="50" t="n"/>
      <c r="K979" s="48" t="n"/>
      <c r="L979" s="51">
        <f>IF(A979="","",DATE(YEAR(A979),MONTH(A979),1))</f>
        <v/>
      </c>
      <c r="M979" s="52">
        <f>IF(OR(A979="",NOT(ISNUMBER(I979))),"",IF(G979=Lists!$B$5,I979/2,IF(G979=Lists!$B$6,I979,0)))</f>
        <v/>
      </c>
      <c r="N979" s="52">
        <f>IF(OR(A979="",NOT(ISNUMBER(I979))),"",IF(G979=Lists!$B$5,I979/2,IF(G979=Lists!$B$7,I979,0)))</f>
        <v/>
      </c>
      <c r="O979" s="53">
        <f>IF(COUNTA(A979:K979)=0,"",IF(OR(A979="",B979="",C979="",D979="",E979="",F979="",G979="",NOT(ISNUMBER(I979))),"Incomplete",IF(COUNTIF(Lists!$H$4:$AA$4,C979)=0,"Check category",IF(COUNTIF(INDEX(Lists!$H$6:$AA$45,0,MATCH(C979,Lists!$H$4:$AA$4,0)),D979)=0,"Check sub-category","OK"))))</f>
        <v/>
      </c>
      <c r="P979">
        <f>IF(ISNUMBER(I979),I979+ROW()/10000000,"")</f>
        <v/>
      </c>
      <c r="Q979">
        <f>IF(AND(ISNUMBER(P979),ISNUMBER(A979)),IF(AND(A979&gt;=Dashboard!$Q$3,A979&lt;=Dashboard!$Q$4,OR(J979&lt;&gt;"Yes",Dashboard!$Q$15="Yes")),P979,""),"")</f>
        <v/>
      </c>
    </row>
    <row r="980">
      <c r="A980" s="47" t="n"/>
      <c r="B980" s="48" t="n"/>
      <c r="C980" s="48" t="n"/>
      <c r="D980" s="48" t="n"/>
      <c r="E980" s="48" t="n"/>
      <c r="F980" s="48" t="n"/>
      <c r="G980" s="48" t="n"/>
      <c r="H980" s="48" t="n"/>
      <c r="I980" s="49" t="n"/>
      <c r="J980" s="50" t="n"/>
      <c r="K980" s="48" t="n"/>
      <c r="L980" s="51">
        <f>IF(A980="","",DATE(YEAR(A980),MONTH(A980),1))</f>
        <v/>
      </c>
      <c r="M980" s="52">
        <f>IF(OR(A980="",NOT(ISNUMBER(I980))),"",IF(G980=Lists!$B$5,I980/2,IF(G980=Lists!$B$6,I980,0)))</f>
        <v/>
      </c>
      <c r="N980" s="52">
        <f>IF(OR(A980="",NOT(ISNUMBER(I980))),"",IF(G980=Lists!$B$5,I980/2,IF(G980=Lists!$B$7,I980,0)))</f>
        <v/>
      </c>
      <c r="O980" s="53">
        <f>IF(COUNTA(A980:K980)=0,"",IF(OR(A980="",B980="",C980="",D980="",E980="",F980="",G980="",NOT(ISNUMBER(I980))),"Incomplete",IF(COUNTIF(Lists!$H$4:$AA$4,C980)=0,"Check category",IF(COUNTIF(INDEX(Lists!$H$6:$AA$45,0,MATCH(C980,Lists!$H$4:$AA$4,0)),D980)=0,"Check sub-category","OK"))))</f>
        <v/>
      </c>
      <c r="P980">
        <f>IF(ISNUMBER(I980),I980+ROW()/10000000,"")</f>
        <v/>
      </c>
      <c r="Q980">
        <f>IF(AND(ISNUMBER(P980),ISNUMBER(A980)),IF(AND(A980&gt;=Dashboard!$Q$3,A980&lt;=Dashboard!$Q$4,OR(J980&lt;&gt;"Yes",Dashboard!$Q$15="Yes")),P980,""),"")</f>
        <v/>
      </c>
    </row>
    <row r="981">
      <c r="A981" s="47" t="n"/>
      <c r="B981" s="48" t="n"/>
      <c r="C981" s="48" t="n"/>
      <c r="D981" s="48" t="n"/>
      <c r="E981" s="48" t="n"/>
      <c r="F981" s="48" t="n"/>
      <c r="G981" s="48" t="n"/>
      <c r="H981" s="48" t="n"/>
      <c r="I981" s="49" t="n"/>
      <c r="J981" s="50" t="n"/>
      <c r="K981" s="48" t="n"/>
      <c r="L981" s="51">
        <f>IF(A981="","",DATE(YEAR(A981),MONTH(A981),1))</f>
        <v/>
      </c>
      <c r="M981" s="52">
        <f>IF(OR(A981="",NOT(ISNUMBER(I981))),"",IF(G981=Lists!$B$5,I981/2,IF(G981=Lists!$B$6,I981,0)))</f>
        <v/>
      </c>
      <c r="N981" s="52">
        <f>IF(OR(A981="",NOT(ISNUMBER(I981))),"",IF(G981=Lists!$B$5,I981/2,IF(G981=Lists!$B$7,I981,0)))</f>
        <v/>
      </c>
      <c r="O981" s="53">
        <f>IF(COUNTA(A981:K981)=0,"",IF(OR(A981="",B981="",C981="",D981="",E981="",F981="",G981="",NOT(ISNUMBER(I981))),"Incomplete",IF(COUNTIF(Lists!$H$4:$AA$4,C981)=0,"Check category",IF(COUNTIF(INDEX(Lists!$H$6:$AA$45,0,MATCH(C981,Lists!$H$4:$AA$4,0)),D981)=0,"Check sub-category","OK"))))</f>
        <v/>
      </c>
      <c r="P981">
        <f>IF(ISNUMBER(I981),I981+ROW()/10000000,"")</f>
        <v/>
      </c>
      <c r="Q981">
        <f>IF(AND(ISNUMBER(P981),ISNUMBER(A981)),IF(AND(A981&gt;=Dashboard!$Q$3,A981&lt;=Dashboard!$Q$4,OR(J981&lt;&gt;"Yes",Dashboard!$Q$15="Yes")),P981,""),"")</f>
        <v/>
      </c>
    </row>
    <row r="982">
      <c r="A982" s="47" t="n"/>
      <c r="B982" s="48" t="n"/>
      <c r="C982" s="48" t="n"/>
      <c r="D982" s="48" t="n"/>
      <c r="E982" s="48" t="n"/>
      <c r="F982" s="48" t="n"/>
      <c r="G982" s="48" t="n"/>
      <c r="H982" s="48" t="n"/>
      <c r="I982" s="49" t="n"/>
      <c r="J982" s="50" t="n"/>
      <c r="K982" s="48" t="n"/>
      <c r="L982" s="51">
        <f>IF(A982="","",DATE(YEAR(A982),MONTH(A982),1))</f>
        <v/>
      </c>
      <c r="M982" s="52">
        <f>IF(OR(A982="",NOT(ISNUMBER(I982))),"",IF(G982=Lists!$B$5,I982/2,IF(G982=Lists!$B$6,I982,0)))</f>
        <v/>
      </c>
      <c r="N982" s="52">
        <f>IF(OR(A982="",NOT(ISNUMBER(I982))),"",IF(G982=Lists!$B$5,I982/2,IF(G982=Lists!$B$7,I982,0)))</f>
        <v/>
      </c>
      <c r="O982" s="53">
        <f>IF(COUNTA(A982:K982)=0,"",IF(OR(A982="",B982="",C982="",D982="",E982="",F982="",G982="",NOT(ISNUMBER(I982))),"Incomplete",IF(COUNTIF(Lists!$H$4:$AA$4,C982)=0,"Check category",IF(COUNTIF(INDEX(Lists!$H$6:$AA$45,0,MATCH(C982,Lists!$H$4:$AA$4,0)),D982)=0,"Check sub-category","OK"))))</f>
        <v/>
      </c>
      <c r="P982">
        <f>IF(ISNUMBER(I982),I982+ROW()/10000000,"")</f>
        <v/>
      </c>
      <c r="Q982">
        <f>IF(AND(ISNUMBER(P982),ISNUMBER(A982)),IF(AND(A982&gt;=Dashboard!$Q$3,A982&lt;=Dashboard!$Q$4,OR(J982&lt;&gt;"Yes",Dashboard!$Q$15="Yes")),P982,""),"")</f>
        <v/>
      </c>
    </row>
    <row r="983">
      <c r="A983" s="47" t="n"/>
      <c r="B983" s="48" t="n"/>
      <c r="C983" s="48" t="n"/>
      <c r="D983" s="48" t="n"/>
      <c r="E983" s="48" t="n"/>
      <c r="F983" s="48" t="n"/>
      <c r="G983" s="48" t="n"/>
      <c r="H983" s="48" t="n"/>
      <c r="I983" s="49" t="n"/>
      <c r="J983" s="50" t="n"/>
      <c r="K983" s="48" t="n"/>
      <c r="L983" s="51">
        <f>IF(A983="","",DATE(YEAR(A983),MONTH(A983),1))</f>
        <v/>
      </c>
      <c r="M983" s="52">
        <f>IF(OR(A983="",NOT(ISNUMBER(I983))),"",IF(G983=Lists!$B$5,I983/2,IF(G983=Lists!$B$6,I983,0)))</f>
        <v/>
      </c>
      <c r="N983" s="52">
        <f>IF(OR(A983="",NOT(ISNUMBER(I983))),"",IF(G983=Lists!$B$5,I983/2,IF(G983=Lists!$B$7,I983,0)))</f>
        <v/>
      </c>
      <c r="O983" s="53">
        <f>IF(COUNTA(A983:K983)=0,"",IF(OR(A983="",B983="",C983="",D983="",E983="",F983="",G983="",NOT(ISNUMBER(I983))),"Incomplete",IF(COUNTIF(Lists!$H$4:$AA$4,C983)=0,"Check category",IF(COUNTIF(INDEX(Lists!$H$6:$AA$45,0,MATCH(C983,Lists!$H$4:$AA$4,0)),D983)=0,"Check sub-category","OK"))))</f>
        <v/>
      </c>
      <c r="P983">
        <f>IF(ISNUMBER(I983),I983+ROW()/10000000,"")</f>
        <v/>
      </c>
      <c r="Q983">
        <f>IF(AND(ISNUMBER(P983),ISNUMBER(A983)),IF(AND(A983&gt;=Dashboard!$Q$3,A983&lt;=Dashboard!$Q$4,OR(J983&lt;&gt;"Yes",Dashboard!$Q$15="Yes")),P983,""),"")</f>
        <v/>
      </c>
    </row>
    <row r="984">
      <c r="A984" s="47" t="n"/>
      <c r="B984" s="48" t="n"/>
      <c r="C984" s="48" t="n"/>
      <c r="D984" s="48" t="n"/>
      <c r="E984" s="48" t="n"/>
      <c r="F984" s="48" t="n"/>
      <c r="G984" s="48" t="n"/>
      <c r="H984" s="48" t="n"/>
      <c r="I984" s="49" t="n"/>
      <c r="J984" s="50" t="n"/>
      <c r="K984" s="48" t="n"/>
      <c r="L984" s="51">
        <f>IF(A984="","",DATE(YEAR(A984),MONTH(A984),1))</f>
        <v/>
      </c>
      <c r="M984" s="52">
        <f>IF(OR(A984="",NOT(ISNUMBER(I984))),"",IF(G984=Lists!$B$5,I984/2,IF(G984=Lists!$B$6,I984,0)))</f>
        <v/>
      </c>
      <c r="N984" s="52">
        <f>IF(OR(A984="",NOT(ISNUMBER(I984))),"",IF(G984=Lists!$B$5,I984/2,IF(G984=Lists!$B$7,I984,0)))</f>
        <v/>
      </c>
      <c r="O984" s="53">
        <f>IF(COUNTA(A984:K984)=0,"",IF(OR(A984="",B984="",C984="",D984="",E984="",F984="",G984="",NOT(ISNUMBER(I984))),"Incomplete",IF(COUNTIF(Lists!$H$4:$AA$4,C984)=0,"Check category",IF(COUNTIF(INDEX(Lists!$H$6:$AA$45,0,MATCH(C984,Lists!$H$4:$AA$4,0)),D984)=0,"Check sub-category","OK"))))</f>
        <v/>
      </c>
      <c r="P984">
        <f>IF(ISNUMBER(I984),I984+ROW()/10000000,"")</f>
        <v/>
      </c>
      <c r="Q984">
        <f>IF(AND(ISNUMBER(P984),ISNUMBER(A984)),IF(AND(A984&gt;=Dashboard!$Q$3,A984&lt;=Dashboard!$Q$4,OR(J984&lt;&gt;"Yes",Dashboard!$Q$15="Yes")),P984,""),"")</f>
        <v/>
      </c>
    </row>
    <row r="985">
      <c r="A985" s="47" t="n"/>
      <c r="B985" s="48" t="n"/>
      <c r="C985" s="48" t="n"/>
      <c r="D985" s="48" t="n"/>
      <c r="E985" s="48" t="n"/>
      <c r="F985" s="48" t="n"/>
      <c r="G985" s="48" t="n"/>
      <c r="H985" s="48" t="n"/>
      <c r="I985" s="49" t="n"/>
      <c r="J985" s="50" t="n"/>
      <c r="K985" s="48" t="n"/>
      <c r="L985" s="51">
        <f>IF(A985="","",DATE(YEAR(A985),MONTH(A985),1))</f>
        <v/>
      </c>
      <c r="M985" s="52">
        <f>IF(OR(A985="",NOT(ISNUMBER(I985))),"",IF(G985=Lists!$B$5,I985/2,IF(G985=Lists!$B$6,I985,0)))</f>
        <v/>
      </c>
      <c r="N985" s="52">
        <f>IF(OR(A985="",NOT(ISNUMBER(I985))),"",IF(G985=Lists!$B$5,I985/2,IF(G985=Lists!$B$7,I985,0)))</f>
        <v/>
      </c>
      <c r="O985" s="53">
        <f>IF(COUNTA(A985:K985)=0,"",IF(OR(A985="",B985="",C985="",D985="",E985="",F985="",G985="",NOT(ISNUMBER(I985))),"Incomplete",IF(COUNTIF(Lists!$H$4:$AA$4,C985)=0,"Check category",IF(COUNTIF(INDEX(Lists!$H$6:$AA$45,0,MATCH(C985,Lists!$H$4:$AA$4,0)),D985)=0,"Check sub-category","OK"))))</f>
        <v/>
      </c>
      <c r="P985">
        <f>IF(ISNUMBER(I985),I985+ROW()/10000000,"")</f>
        <v/>
      </c>
      <c r="Q985">
        <f>IF(AND(ISNUMBER(P985),ISNUMBER(A985)),IF(AND(A985&gt;=Dashboard!$Q$3,A985&lt;=Dashboard!$Q$4,OR(J985&lt;&gt;"Yes",Dashboard!$Q$15="Yes")),P985,""),"")</f>
        <v/>
      </c>
    </row>
    <row r="986">
      <c r="A986" s="47" t="n"/>
      <c r="B986" s="48" t="n"/>
      <c r="C986" s="48" t="n"/>
      <c r="D986" s="48" t="n"/>
      <c r="E986" s="48" t="n"/>
      <c r="F986" s="48" t="n"/>
      <c r="G986" s="48" t="n"/>
      <c r="H986" s="48" t="n"/>
      <c r="I986" s="49" t="n"/>
      <c r="J986" s="50" t="n"/>
      <c r="K986" s="48" t="n"/>
      <c r="L986" s="51">
        <f>IF(A986="","",DATE(YEAR(A986),MONTH(A986),1))</f>
        <v/>
      </c>
      <c r="M986" s="52">
        <f>IF(OR(A986="",NOT(ISNUMBER(I986))),"",IF(G986=Lists!$B$5,I986/2,IF(G986=Lists!$B$6,I986,0)))</f>
        <v/>
      </c>
      <c r="N986" s="52">
        <f>IF(OR(A986="",NOT(ISNUMBER(I986))),"",IF(G986=Lists!$B$5,I986/2,IF(G986=Lists!$B$7,I986,0)))</f>
        <v/>
      </c>
      <c r="O986" s="53">
        <f>IF(COUNTA(A986:K986)=0,"",IF(OR(A986="",B986="",C986="",D986="",E986="",F986="",G986="",NOT(ISNUMBER(I986))),"Incomplete",IF(COUNTIF(Lists!$H$4:$AA$4,C986)=0,"Check category",IF(COUNTIF(INDEX(Lists!$H$6:$AA$45,0,MATCH(C986,Lists!$H$4:$AA$4,0)),D986)=0,"Check sub-category","OK"))))</f>
        <v/>
      </c>
      <c r="P986">
        <f>IF(ISNUMBER(I986),I986+ROW()/10000000,"")</f>
        <v/>
      </c>
      <c r="Q986">
        <f>IF(AND(ISNUMBER(P986),ISNUMBER(A986)),IF(AND(A986&gt;=Dashboard!$Q$3,A986&lt;=Dashboard!$Q$4,OR(J986&lt;&gt;"Yes",Dashboard!$Q$15="Yes")),P986,""),"")</f>
        <v/>
      </c>
    </row>
    <row r="987">
      <c r="A987" s="47" t="n"/>
      <c r="B987" s="48" t="n"/>
      <c r="C987" s="48" t="n"/>
      <c r="D987" s="48" t="n"/>
      <c r="E987" s="48" t="n"/>
      <c r="F987" s="48" t="n"/>
      <c r="G987" s="48" t="n"/>
      <c r="H987" s="48" t="n"/>
      <c r="I987" s="49" t="n"/>
      <c r="J987" s="50" t="n"/>
      <c r="K987" s="48" t="n"/>
      <c r="L987" s="51">
        <f>IF(A987="","",DATE(YEAR(A987),MONTH(A987),1))</f>
        <v/>
      </c>
      <c r="M987" s="52">
        <f>IF(OR(A987="",NOT(ISNUMBER(I987))),"",IF(G987=Lists!$B$5,I987/2,IF(G987=Lists!$B$6,I987,0)))</f>
        <v/>
      </c>
      <c r="N987" s="52">
        <f>IF(OR(A987="",NOT(ISNUMBER(I987))),"",IF(G987=Lists!$B$5,I987/2,IF(G987=Lists!$B$7,I987,0)))</f>
        <v/>
      </c>
      <c r="O987" s="53">
        <f>IF(COUNTA(A987:K987)=0,"",IF(OR(A987="",B987="",C987="",D987="",E987="",F987="",G987="",NOT(ISNUMBER(I987))),"Incomplete",IF(COUNTIF(Lists!$H$4:$AA$4,C987)=0,"Check category",IF(COUNTIF(INDEX(Lists!$H$6:$AA$45,0,MATCH(C987,Lists!$H$4:$AA$4,0)),D987)=0,"Check sub-category","OK"))))</f>
        <v/>
      </c>
      <c r="P987">
        <f>IF(ISNUMBER(I987),I987+ROW()/10000000,"")</f>
        <v/>
      </c>
      <c r="Q987">
        <f>IF(AND(ISNUMBER(P987),ISNUMBER(A987)),IF(AND(A987&gt;=Dashboard!$Q$3,A987&lt;=Dashboard!$Q$4,OR(J987&lt;&gt;"Yes",Dashboard!$Q$15="Yes")),P987,""),"")</f>
        <v/>
      </c>
    </row>
    <row r="988">
      <c r="A988" s="47" t="n"/>
      <c r="B988" s="48" t="n"/>
      <c r="C988" s="48" t="n"/>
      <c r="D988" s="48" t="n"/>
      <c r="E988" s="48" t="n"/>
      <c r="F988" s="48" t="n"/>
      <c r="G988" s="48" t="n"/>
      <c r="H988" s="48" t="n"/>
      <c r="I988" s="49" t="n"/>
      <c r="J988" s="50" t="n"/>
      <c r="K988" s="48" t="n"/>
      <c r="L988" s="51">
        <f>IF(A988="","",DATE(YEAR(A988),MONTH(A988),1))</f>
        <v/>
      </c>
      <c r="M988" s="52">
        <f>IF(OR(A988="",NOT(ISNUMBER(I988))),"",IF(G988=Lists!$B$5,I988/2,IF(G988=Lists!$B$6,I988,0)))</f>
        <v/>
      </c>
      <c r="N988" s="52">
        <f>IF(OR(A988="",NOT(ISNUMBER(I988))),"",IF(G988=Lists!$B$5,I988/2,IF(G988=Lists!$B$7,I988,0)))</f>
        <v/>
      </c>
      <c r="O988" s="53">
        <f>IF(COUNTA(A988:K988)=0,"",IF(OR(A988="",B988="",C988="",D988="",E988="",F988="",G988="",NOT(ISNUMBER(I988))),"Incomplete",IF(COUNTIF(Lists!$H$4:$AA$4,C988)=0,"Check category",IF(COUNTIF(INDEX(Lists!$H$6:$AA$45,0,MATCH(C988,Lists!$H$4:$AA$4,0)),D988)=0,"Check sub-category","OK"))))</f>
        <v/>
      </c>
      <c r="P988">
        <f>IF(ISNUMBER(I988),I988+ROW()/10000000,"")</f>
        <v/>
      </c>
      <c r="Q988">
        <f>IF(AND(ISNUMBER(P988),ISNUMBER(A988)),IF(AND(A988&gt;=Dashboard!$Q$3,A988&lt;=Dashboard!$Q$4,OR(J988&lt;&gt;"Yes",Dashboard!$Q$15="Yes")),P988,""),"")</f>
        <v/>
      </c>
    </row>
    <row r="989">
      <c r="A989" s="47" t="n"/>
      <c r="B989" s="48" t="n"/>
      <c r="C989" s="48" t="n"/>
      <c r="D989" s="48" t="n"/>
      <c r="E989" s="48" t="n"/>
      <c r="F989" s="48" t="n"/>
      <c r="G989" s="48" t="n"/>
      <c r="H989" s="48" t="n"/>
      <c r="I989" s="49" t="n"/>
      <c r="J989" s="50" t="n"/>
      <c r="K989" s="48" t="n"/>
      <c r="L989" s="51">
        <f>IF(A989="","",DATE(YEAR(A989),MONTH(A989),1))</f>
        <v/>
      </c>
      <c r="M989" s="52">
        <f>IF(OR(A989="",NOT(ISNUMBER(I989))),"",IF(G989=Lists!$B$5,I989/2,IF(G989=Lists!$B$6,I989,0)))</f>
        <v/>
      </c>
      <c r="N989" s="52">
        <f>IF(OR(A989="",NOT(ISNUMBER(I989))),"",IF(G989=Lists!$B$5,I989/2,IF(G989=Lists!$B$7,I989,0)))</f>
        <v/>
      </c>
      <c r="O989" s="53">
        <f>IF(COUNTA(A989:K989)=0,"",IF(OR(A989="",B989="",C989="",D989="",E989="",F989="",G989="",NOT(ISNUMBER(I989))),"Incomplete",IF(COUNTIF(Lists!$H$4:$AA$4,C989)=0,"Check category",IF(COUNTIF(INDEX(Lists!$H$6:$AA$45,0,MATCH(C989,Lists!$H$4:$AA$4,0)),D989)=0,"Check sub-category","OK"))))</f>
        <v/>
      </c>
      <c r="P989">
        <f>IF(ISNUMBER(I989),I989+ROW()/10000000,"")</f>
        <v/>
      </c>
      <c r="Q989">
        <f>IF(AND(ISNUMBER(P989),ISNUMBER(A989)),IF(AND(A989&gt;=Dashboard!$Q$3,A989&lt;=Dashboard!$Q$4,OR(J989&lt;&gt;"Yes",Dashboard!$Q$15="Yes")),P989,""),"")</f>
        <v/>
      </c>
    </row>
    <row r="990">
      <c r="A990" s="47" t="n"/>
      <c r="B990" s="48" t="n"/>
      <c r="C990" s="48" t="n"/>
      <c r="D990" s="48" t="n"/>
      <c r="E990" s="48" t="n"/>
      <c r="F990" s="48" t="n"/>
      <c r="G990" s="48" t="n"/>
      <c r="H990" s="48" t="n"/>
      <c r="I990" s="49" t="n"/>
      <c r="J990" s="50" t="n"/>
      <c r="K990" s="48" t="n"/>
      <c r="L990" s="51">
        <f>IF(A990="","",DATE(YEAR(A990),MONTH(A990),1))</f>
        <v/>
      </c>
      <c r="M990" s="52">
        <f>IF(OR(A990="",NOT(ISNUMBER(I990))),"",IF(G990=Lists!$B$5,I990/2,IF(G990=Lists!$B$6,I990,0)))</f>
        <v/>
      </c>
      <c r="N990" s="52">
        <f>IF(OR(A990="",NOT(ISNUMBER(I990))),"",IF(G990=Lists!$B$5,I990/2,IF(G990=Lists!$B$7,I990,0)))</f>
        <v/>
      </c>
      <c r="O990" s="53">
        <f>IF(COUNTA(A990:K990)=0,"",IF(OR(A990="",B990="",C990="",D990="",E990="",F990="",G990="",NOT(ISNUMBER(I990))),"Incomplete",IF(COUNTIF(Lists!$H$4:$AA$4,C990)=0,"Check category",IF(COUNTIF(INDEX(Lists!$H$6:$AA$45,0,MATCH(C990,Lists!$H$4:$AA$4,0)),D990)=0,"Check sub-category","OK"))))</f>
        <v/>
      </c>
      <c r="P990">
        <f>IF(ISNUMBER(I990),I990+ROW()/10000000,"")</f>
        <v/>
      </c>
      <c r="Q990">
        <f>IF(AND(ISNUMBER(P990),ISNUMBER(A990)),IF(AND(A990&gt;=Dashboard!$Q$3,A990&lt;=Dashboard!$Q$4,OR(J990&lt;&gt;"Yes",Dashboard!$Q$15="Yes")),P990,""),"")</f>
        <v/>
      </c>
    </row>
    <row r="991">
      <c r="A991" s="47" t="n"/>
      <c r="B991" s="48" t="n"/>
      <c r="C991" s="48" t="n"/>
      <c r="D991" s="48" t="n"/>
      <c r="E991" s="48" t="n"/>
      <c r="F991" s="48" t="n"/>
      <c r="G991" s="48" t="n"/>
      <c r="H991" s="48" t="n"/>
      <c r="I991" s="49" t="n"/>
      <c r="J991" s="50" t="n"/>
      <c r="K991" s="48" t="n"/>
      <c r="L991" s="51">
        <f>IF(A991="","",DATE(YEAR(A991),MONTH(A991),1))</f>
        <v/>
      </c>
      <c r="M991" s="52">
        <f>IF(OR(A991="",NOT(ISNUMBER(I991))),"",IF(G991=Lists!$B$5,I991/2,IF(G991=Lists!$B$6,I991,0)))</f>
        <v/>
      </c>
      <c r="N991" s="52">
        <f>IF(OR(A991="",NOT(ISNUMBER(I991))),"",IF(G991=Lists!$B$5,I991/2,IF(G991=Lists!$B$7,I991,0)))</f>
        <v/>
      </c>
      <c r="O991" s="53">
        <f>IF(COUNTA(A991:K991)=0,"",IF(OR(A991="",B991="",C991="",D991="",E991="",F991="",G991="",NOT(ISNUMBER(I991))),"Incomplete",IF(COUNTIF(Lists!$H$4:$AA$4,C991)=0,"Check category",IF(COUNTIF(INDEX(Lists!$H$6:$AA$45,0,MATCH(C991,Lists!$H$4:$AA$4,0)),D991)=0,"Check sub-category","OK"))))</f>
        <v/>
      </c>
      <c r="P991">
        <f>IF(ISNUMBER(I991),I991+ROW()/10000000,"")</f>
        <v/>
      </c>
      <c r="Q991">
        <f>IF(AND(ISNUMBER(P991),ISNUMBER(A991)),IF(AND(A991&gt;=Dashboard!$Q$3,A991&lt;=Dashboard!$Q$4,OR(J991&lt;&gt;"Yes",Dashboard!$Q$15="Yes")),P991,""),"")</f>
        <v/>
      </c>
    </row>
    <row r="992">
      <c r="A992" s="47" t="n"/>
      <c r="B992" s="48" t="n"/>
      <c r="C992" s="48" t="n"/>
      <c r="D992" s="48" t="n"/>
      <c r="E992" s="48" t="n"/>
      <c r="F992" s="48" t="n"/>
      <c r="G992" s="48" t="n"/>
      <c r="H992" s="48" t="n"/>
      <c r="I992" s="49" t="n"/>
      <c r="J992" s="50" t="n"/>
      <c r="K992" s="48" t="n"/>
      <c r="L992" s="51">
        <f>IF(A992="","",DATE(YEAR(A992),MONTH(A992),1))</f>
        <v/>
      </c>
      <c r="M992" s="52">
        <f>IF(OR(A992="",NOT(ISNUMBER(I992))),"",IF(G992=Lists!$B$5,I992/2,IF(G992=Lists!$B$6,I992,0)))</f>
        <v/>
      </c>
      <c r="N992" s="52">
        <f>IF(OR(A992="",NOT(ISNUMBER(I992))),"",IF(G992=Lists!$B$5,I992/2,IF(G992=Lists!$B$7,I992,0)))</f>
        <v/>
      </c>
      <c r="O992" s="53">
        <f>IF(COUNTA(A992:K992)=0,"",IF(OR(A992="",B992="",C992="",D992="",E992="",F992="",G992="",NOT(ISNUMBER(I992))),"Incomplete",IF(COUNTIF(Lists!$H$4:$AA$4,C992)=0,"Check category",IF(COUNTIF(INDEX(Lists!$H$6:$AA$45,0,MATCH(C992,Lists!$H$4:$AA$4,0)),D992)=0,"Check sub-category","OK"))))</f>
        <v/>
      </c>
      <c r="P992">
        <f>IF(ISNUMBER(I992),I992+ROW()/10000000,"")</f>
        <v/>
      </c>
      <c r="Q992">
        <f>IF(AND(ISNUMBER(P992),ISNUMBER(A992)),IF(AND(A992&gt;=Dashboard!$Q$3,A992&lt;=Dashboard!$Q$4,OR(J992&lt;&gt;"Yes",Dashboard!$Q$15="Yes")),P992,""),"")</f>
        <v/>
      </c>
    </row>
    <row r="993">
      <c r="A993" s="47" t="n"/>
      <c r="B993" s="48" t="n"/>
      <c r="C993" s="48" t="n"/>
      <c r="D993" s="48" t="n"/>
      <c r="E993" s="48" t="n"/>
      <c r="F993" s="48" t="n"/>
      <c r="G993" s="48" t="n"/>
      <c r="H993" s="48" t="n"/>
      <c r="I993" s="49" t="n"/>
      <c r="J993" s="50" t="n"/>
      <c r="K993" s="48" t="n"/>
      <c r="L993" s="51">
        <f>IF(A993="","",DATE(YEAR(A993),MONTH(A993),1))</f>
        <v/>
      </c>
      <c r="M993" s="52">
        <f>IF(OR(A993="",NOT(ISNUMBER(I993))),"",IF(G993=Lists!$B$5,I993/2,IF(G993=Lists!$B$6,I993,0)))</f>
        <v/>
      </c>
      <c r="N993" s="52">
        <f>IF(OR(A993="",NOT(ISNUMBER(I993))),"",IF(G993=Lists!$B$5,I993/2,IF(G993=Lists!$B$7,I993,0)))</f>
        <v/>
      </c>
      <c r="O993" s="53">
        <f>IF(COUNTA(A993:K993)=0,"",IF(OR(A993="",B993="",C993="",D993="",E993="",F993="",G993="",NOT(ISNUMBER(I993))),"Incomplete",IF(COUNTIF(Lists!$H$4:$AA$4,C993)=0,"Check category",IF(COUNTIF(INDEX(Lists!$H$6:$AA$45,0,MATCH(C993,Lists!$H$4:$AA$4,0)),D993)=0,"Check sub-category","OK"))))</f>
        <v/>
      </c>
      <c r="P993">
        <f>IF(ISNUMBER(I993),I993+ROW()/10000000,"")</f>
        <v/>
      </c>
      <c r="Q993">
        <f>IF(AND(ISNUMBER(P993),ISNUMBER(A993)),IF(AND(A993&gt;=Dashboard!$Q$3,A993&lt;=Dashboard!$Q$4,OR(J993&lt;&gt;"Yes",Dashboard!$Q$15="Yes")),P993,""),"")</f>
        <v/>
      </c>
    </row>
    <row r="994">
      <c r="A994" s="47" t="n"/>
      <c r="B994" s="48" t="n"/>
      <c r="C994" s="48" t="n"/>
      <c r="D994" s="48" t="n"/>
      <c r="E994" s="48" t="n"/>
      <c r="F994" s="48" t="n"/>
      <c r="G994" s="48" t="n"/>
      <c r="H994" s="48" t="n"/>
      <c r="I994" s="49" t="n"/>
      <c r="J994" s="50" t="n"/>
      <c r="K994" s="48" t="n"/>
      <c r="L994" s="51">
        <f>IF(A994="","",DATE(YEAR(A994),MONTH(A994),1))</f>
        <v/>
      </c>
      <c r="M994" s="52">
        <f>IF(OR(A994="",NOT(ISNUMBER(I994))),"",IF(G994=Lists!$B$5,I994/2,IF(G994=Lists!$B$6,I994,0)))</f>
        <v/>
      </c>
      <c r="N994" s="52">
        <f>IF(OR(A994="",NOT(ISNUMBER(I994))),"",IF(G994=Lists!$B$5,I994/2,IF(G994=Lists!$B$7,I994,0)))</f>
        <v/>
      </c>
      <c r="O994" s="53">
        <f>IF(COUNTA(A994:K994)=0,"",IF(OR(A994="",B994="",C994="",D994="",E994="",F994="",G994="",NOT(ISNUMBER(I994))),"Incomplete",IF(COUNTIF(Lists!$H$4:$AA$4,C994)=0,"Check category",IF(COUNTIF(INDEX(Lists!$H$6:$AA$45,0,MATCH(C994,Lists!$H$4:$AA$4,0)),D994)=0,"Check sub-category","OK"))))</f>
        <v/>
      </c>
      <c r="P994">
        <f>IF(ISNUMBER(I994),I994+ROW()/10000000,"")</f>
        <v/>
      </c>
      <c r="Q994">
        <f>IF(AND(ISNUMBER(P994),ISNUMBER(A994)),IF(AND(A994&gt;=Dashboard!$Q$3,A994&lt;=Dashboard!$Q$4,OR(J994&lt;&gt;"Yes",Dashboard!$Q$15="Yes")),P994,""),"")</f>
        <v/>
      </c>
    </row>
    <row r="995">
      <c r="A995" s="47" t="n"/>
      <c r="B995" s="48" t="n"/>
      <c r="C995" s="48" t="n"/>
      <c r="D995" s="48" t="n"/>
      <c r="E995" s="48" t="n"/>
      <c r="F995" s="48" t="n"/>
      <c r="G995" s="48" t="n"/>
      <c r="H995" s="48" t="n"/>
      <c r="I995" s="49" t="n"/>
      <c r="J995" s="50" t="n"/>
      <c r="K995" s="48" t="n"/>
      <c r="L995" s="51">
        <f>IF(A995="","",DATE(YEAR(A995),MONTH(A995),1))</f>
        <v/>
      </c>
      <c r="M995" s="52">
        <f>IF(OR(A995="",NOT(ISNUMBER(I995))),"",IF(G995=Lists!$B$5,I995/2,IF(G995=Lists!$B$6,I995,0)))</f>
        <v/>
      </c>
      <c r="N995" s="52">
        <f>IF(OR(A995="",NOT(ISNUMBER(I995))),"",IF(G995=Lists!$B$5,I995/2,IF(G995=Lists!$B$7,I995,0)))</f>
        <v/>
      </c>
      <c r="O995" s="53">
        <f>IF(COUNTA(A995:K995)=0,"",IF(OR(A995="",B995="",C995="",D995="",E995="",F995="",G995="",NOT(ISNUMBER(I995))),"Incomplete",IF(COUNTIF(Lists!$H$4:$AA$4,C995)=0,"Check category",IF(COUNTIF(INDEX(Lists!$H$6:$AA$45,0,MATCH(C995,Lists!$H$4:$AA$4,0)),D995)=0,"Check sub-category","OK"))))</f>
        <v/>
      </c>
      <c r="P995">
        <f>IF(ISNUMBER(I995),I995+ROW()/10000000,"")</f>
        <v/>
      </c>
      <c r="Q995">
        <f>IF(AND(ISNUMBER(P995),ISNUMBER(A995)),IF(AND(A995&gt;=Dashboard!$Q$3,A995&lt;=Dashboard!$Q$4,OR(J995&lt;&gt;"Yes",Dashboard!$Q$15="Yes")),P995,""),"")</f>
        <v/>
      </c>
    </row>
    <row r="996">
      <c r="A996" s="47" t="n"/>
      <c r="B996" s="48" t="n"/>
      <c r="C996" s="48" t="n"/>
      <c r="D996" s="48" t="n"/>
      <c r="E996" s="48" t="n"/>
      <c r="F996" s="48" t="n"/>
      <c r="G996" s="48" t="n"/>
      <c r="H996" s="48" t="n"/>
      <c r="I996" s="49" t="n"/>
      <c r="J996" s="50" t="n"/>
      <c r="K996" s="48" t="n"/>
      <c r="L996" s="51">
        <f>IF(A996="","",DATE(YEAR(A996),MONTH(A996),1))</f>
        <v/>
      </c>
      <c r="M996" s="52">
        <f>IF(OR(A996="",NOT(ISNUMBER(I996))),"",IF(G996=Lists!$B$5,I996/2,IF(G996=Lists!$B$6,I996,0)))</f>
        <v/>
      </c>
      <c r="N996" s="52">
        <f>IF(OR(A996="",NOT(ISNUMBER(I996))),"",IF(G996=Lists!$B$5,I996/2,IF(G996=Lists!$B$7,I996,0)))</f>
        <v/>
      </c>
      <c r="O996" s="53">
        <f>IF(COUNTA(A996:K996)=0,"",IF(OR(A996="",B996="",C996="",D996="",E996="",F996="",G996="",NOT(ISNUMBER(I996))),"Incomplete",IF(COUNTIF(Lists!$H$4:$AA$4,C996)=0,"Check category",IF(COUNTIF(INDEX(Lists!$H$6:$AA$45,0,MATCH(C996,Lists!$H$4:$AA$4,0)),D996)=0,"Check sub-category","OK"))))</f>
        <v/>
      </c>
      <c r="P996">
        <f>IF(ISNUMBER(I996),I996+ROW()/10000000,"")</f>
        <v/>
      </c>
      <c r="Q996">
        <f>IF(AND(ISNUMBER(P996),ISNUMBER(A996)),IF(AND(A996&gt;=Dashboard!$Q$3,A996&lt;=Dashboard!$Q$4,OR(J996&lt;&gt;"Yes",Dashboard!$Q$15="Yes")),P996,""),"")</f>
        <v/>
      </c>
    </row>
    <row r="997">
      <c r="A997" s="47" t="n"/>
      <c r="B997" s="48" t="n"/>
      <c r="C997" s="48" t="n"/>
      <c r="D997" s="48" t="n"/>
      <c r="E997" s="48" t="n"/>
      <c r="F997" s="48" t="n"/>
      <c r="G997" s="48" t="n"/>
      <c r="H997" s="48" t="n"/>
      <c r="I997" s="49" t="n"/>
      <c r="J997" s="50" t="n"/>
      <c r="K997" s="48" t="n"/>
      <c r="L997" s="51">
        <f>IF(A997="","",DATE(YEAR(A997),MONTH(A997),1))</f>
        <v/>
      </c>
      <c r="M997" s="52">
        <f>IF(OR(A997="",NOT(ISNUMBER(I997))),"",IF(G997=Lists!$B$5,I997/2,IF(G997=Lists!$B$6,I997,0)))</f>
        <v/>
      </c>
      <c r="N997" s="52">
        <f>IF(OR(A997="",NOT(ISNUMBER(I997))),"",IF(G997=Lists!$B$5,I997/2,IF(G997=Lists!$B$7,I997,0)))</f>
        <v/>
      </c>
      <c r="O997" s="53">
        <f>IF(COUNTA(A997:K997)=0,"",IF(OR(A997="",B997="",C997="",D997="",E997="",F997="",G997="",NOT(ISNUMBER(I997))),"Incomplete",IF(COUNTIF(Lists!$H$4:$AA$4,C997)=0,"Check category",IF(COUNTIF(INDEX(Lists!$H$6:$AA$45,0,MATCH(C997,Lists!$H$4:$AA$4,0)),D997)=0,"Check sub-category","OK"))))</f>
        <v/>
      </c>
      <c r="P997">
        <f>IF(ISNUMBER(I997),I997+ROW()/10000000,"")</f>
        <v/>
      </c>
      <c r="Q997">
        <f>IF(AND(ISNUMBER(P997),ISNUMBER(A997)),IF(AND(A997&gt;=Dashboard!$Q$3,A997&lt;=Dashboard!$Q$4,OR(J997&lt;&gt;"Yes",Dashboard!$Q$15="Yes")),P997,""),"")</f>
        <v/>
      </c>
    </row>
    <row r="998">
      <c r="A998" s="47" t="n"/>
      <c r="B998" s="48" t="n"/>
      <c r="C998" s="48" t="n"/>
      <c r="D998" s="48" t="n"/>
      <c r="E998" s="48" t="n"/>
      <c r="F998" s="48" t="n"/>
      <c r="G998" s="48" t="n"/>
      <c r="H998" s="48" t="n"/>
      <c r="I998" s="49" t="n"/>
      <c r="J998" s="50" t="n"/>
      <c r="K998" s="48" t="n"/>
      <c r="L998" s="51">
        <f>IF(A998="","",DATE(YEAR(A998),MONTH(A998),1))</f>
        <v/>
      </c>
      <c r="M998" s="52">
        <f>IF(OR(A998="",NOT(ISNUMBER(I998))),"",IF(G998=Lists!$B$5,I998/2,IF(G998=Lists!$B$6,I998,0)))</f>
        <v/>
      </c>
      <c r="N998" s="52">
        <f>IF(OR(A998="",NOT(ISNUMBER(I998))),"",IF(G998=Lists!$B$5,I998/2,IF(G998=Lists!$B$7,I998,0)))</f>
        <v/>
      </c>
      <c r="O998" s="53">
        <f>IF(COUNTA(A998:K998)=0,"",IF(OR(A998="",B998="",C998="",D998="",E998="",F998="",G998="",NOT(ISNUMBER(I998))),"Incomplete",IF(COUNTIF(Lists!$H$4:$AA$4,C998)=0,"Check category",IF(COUNTIF(INDEX(Lists!$H$6:$AA$45,0,MATCH(C998,Lists!$H$4:$AA$4,0)),D998)=0,"Check sub-category","OK"))))</f>
        <v/>
      </c>
      <c r="P998">
        <f>IF(ISNUMBER(I998),I998+ROW()/10000000,"")</f>
        <v/>
      </c>
      <c r="Q998">
        <f>IF(AND(ISNUMBER(P998),ISNUMBER(A998)),IF(AND(A998&gt;=Dashboard!$Q$3,A998&lt;=Dashboard!$Q$4,OR(J998&lt;&gt;"Yes",Dashboard!$Q$15="Yes")),P998,""),"")</f>
        <v/>
      </c>
    </row>
    <row r="999">
      <c r="A999" s="47" t="n"/>
      <c r="B999" s="48" t="n"/>
      <c r="C999" s="48" t="n"/>
      <c r="D999" s="48" t="n"/>
      <c r="E999" s="48" t="n"/>
      <c r="F999" s="48" t="n"/>
      <c r="G999" s="48" t="n"/>
      <c r="H999" s="48" t="n"/>
      <c r="I999" s="49" t="n"/>
      <c r="J999" s="50" t="n"/>
      <c r="K999" s="48" t="n"/>
      <c r="L999" s="51">
        <f>IF(A999="","",DATE(YEAR(A999),MONTH(A999),1))</f>
        <v/>
      </c>
      <c r="M999" s="52">
        <f>IF(OR(A999="",NOT(ISNUMBER(I999))),"",IF(G999=Lists!$B$5,I999/2,IF(G999=Lists!$B$6,I999,0)))</f>
        <v/>
      </c>
      <c r="N999" s="52">
        <f>IF(OR(A999="",NOT(ISNUMBER(I999))),"",IF(G999=Lists!$B$5,I999/2,IF(G999=Lists!$B$7,I999,0)))</f>
        <v/>
      </c>
      <c r="O999" s="53">
        <f>IF(COUNTA(A999:K999)=0,"",IF(OR(A999="",B999="",C999="",D999="",E999="",F999="",G999="",NOT(ISNUMBER(I999))),"Incomplete",IF(COUNTIF(Lists!$H$4:$AA$4,C999)=0,"Check category",IF(COUNTIF(INDEX(Lists!$H$6:$AA$45,0,MATCH(C999,Lists!$H$4:$AA$4,0)),D999)=0,"Check sub-category","OK"))))</f>
        <v/>
      </c>
      <c r="P999">
        <f>IF(ISNUMBER(I999),I999+ROW()/10000000,"")</f>
        <v/>
      </c>
      <c r="Q999">
        <f>IF(AND(ISNUMBER(P999),ISNUMBER(A999)),IF(AND(A999&gt;=Dashboard!$Q$3,A999&lt;=Dashboard!$Q$4,OR(J999&lt;&gt;"Yes",Dashboard!$Q$15="Yes")),P999,""),"")</f>
        <v/>
      </c>
    </row>
    <row r="1000">
      <c r="A1000" s="47" t="n"/>
      <c r="B1000" s="48" t="n"/>
      <c r="C1000" s="48" t="n"/>
      <c r="D1000" s="48" t="n"/>
      <c r="E1000" s="48" t="n"/>
      <c r="F1000" s="48" t="n"/>
      <c r="G1000" s="48" t="n"/>
      <c r="H1000" s="48" t="n"/>
      <c r="I1000" s="49" t="n"/>
      <c r="J1000" s="50" t="n"/>
      <c r="K1000" s="48" t="n"/>
      <c r="L1000" s="51">
        <f>IF(A1000="","",DATE(YEAR(A1000),MONTH(A1000),1))</f>
        <v/>
      </c>
      <c r="M1000" s="52">
        <f>IF(OR(A1000="",NOT(ISNUMBER(I1000))),"",IF(G1000=Lists!$B$5,I1000/2,IF(G1000=Lists!$B$6,I1000,0)))</f>
        <v/>
      </c>
      <c r="N1000" s="52">
        <f>IF(OR(A1000="",NOT(ISNUMBER(I1000))),"",IF(G1000=Lists!$B$5,I1000/2,IF(G1000=Lists!$B$7,I1000,0)))</f>
        <v/>
      </c>
      <c r="O1000" s="53">
        <f>IF(COUNTA(A1000:K1000)=0,"",IF(OR(A1000="",B1000="",C1000="",D1000="",E1000="",F1000="",G1000="",NOT(ISNUMBER(I1000))),"Incomplete",IF(COUNTIF(Lists!$H$4:$AA$4,C1000)=0,"Check category",IF(COUNTIF(INDEX(Lists!$H$6:$AA$45,0,MATCH(C1000,Lists!$H$4:$AA$4,0)),D1000)=0,"Check sub-category","OK"))))</f>
        <v/>
      </c>
      <c r="P1000">
        <f>IF(ISNUMBER(I1000),I1000+ROW()/10000000,"")</f>
        <v/>
      </c>
      <c r="Q1000">
        <f>IF(AND(ISNUMBER(P1000),ISNUMBER(A1000)),IF(AND(A1000&gt;=Dashboard!$Q$3,A1000&lt;=Dashboard!$Q$4,OR(J1000&lt;&gt;"Yes",Dashboard!$Q$15="Yes")),P1000,""),"")</f>
        <v/>
      </c>
    </row>
    <row r="1001">
      <c r="A1001" s="47" t="n"/>
      <c r="B1001" s="48" t="n"/>
      <c r="C1001" s="48" t="n"/>
      <c r="D1001" s="48" t="n"/>
      <c r="E1001" s="48" t="n"/>
      <c r="F1001" s="48" t="n"/>
      <c r="G1001" s="48" t="n"/>
      <c r="H1001" s="48" t="n"/>
      <c r="I1001" s="49" t="n"/>
      <c r="J1001" s="50" t="n"/>
      <c r="K1001" s="48" t="n"/>
      <c r="L1001" s="51">
        <f>IF(A1001="","",DATE(YEAR(A1001),MONTH(A1001),1))</f>
        <v/>
      </c>
      <c r="M1001" s="52">
        <f>IF(OR(A1001="",NOT(ISNUMBER(I1001))),"",IF(G1001=Lists!$B$5,I1001/2,IF(G1001=Lists!$B$6,I1001,0)))</f>
        <v/>
      </c>
      <c r="N1001" s="52">
        <f>IF(OR(A1001="",NOT(ISNUMBER(I1001))),"",IF(G1001=Lists!$B$5,I1001/2,IF(G1001=Lists!$B$7,I1001,0)))</f>
        <v/>
      </c>
      <c r="O1001" s="53">
        <f>IF(COUNTA(A1001:K1001)=0,"",IF(OR(A1001="",B1001="",C1001="",D1001="",E1001="",F1001="",G1001="",NOT(ISNUMBER(I1001))),"Incomplete",IF(COUNTIF(Lists!$H$4:$AA$4,C1001)=0,"Check category",IF(COUNTIF(INDEX(Lists!$H$6:$AA$45,0,MATCH(C1001,Lists!$H$4:$AA$4,0)),D1001)=0,"Check sub-category","OK"))))</f>
        <v/>
      </c>
      <c r="P1001">
        <f>IF(ISNUMBER(I1001),I1001+ROW()/10000000,"")</f>
        <v/>
      </c>
      <c r="Q1001">
        <f>IF(AND(ISNUMBER(P1001),ISNUMBER(A1001)),IF(AND(A1001&gt;=Dashboard!$Q$3,A1001&lt;=Dashboard!$Q$4,OR(J1001&lt;&gt;"Yes",Dashboard!$Q$15="Yes")),P1001,""),"")</f>
        <v/>
      </c>
    </row>
    <row r="1002">
      <c r="A1002" s="47" t="n"/>
      <c r="B1002" s="48" t="n"/>
      <c r="C1002" s="48" t="n"/>
      <c r="D1002" s="48" t="n"/>
      <c r="E1002" s="48" t="n"/>
      <c r="F1002" s="48" t="n"/>
      <c r="G1002" s="48" t="n"/>
      <c r="H1002" s="48" t="n"/>
      <c r="I1002" s="49" t="n"/>
      <c r="J1002" s="50" t="n"/>
      <c r="K1002" s="48" t="n"/>
      <c r="L1002" s="51">
        <f>IF(A1002="","",DATE(YEAR(A1002),MONTH(A1002),1))</f>
        <v/>
      </c>
      <c r="M1002" s="52">
        <f>IF(OR(A1002="",NOT(ISNUMBER(I1002))),"",IF(G1002=Lists!$B$5,I1002/2,IF(G1002=Lists!$B$6,I1002,0)))</f>
        <v/>
      </c>
      <c r="N1002" s="52">
        <f>IF(OR(A1002="",NOT(ISNUMBER(I1002))),"",IF(G1002=Lists!$B$5,I1002/2,IF(G1002=Lists!$B$7,I1002,0)))</f>
        <v/>
      </c>
      <c r="O1002" s="53">
        <f>IF(COUNTA(A1002:K1002)=0,"",IF(OR(A1002="",B1002="",C1002="",D1002="",E1002="",F1002="",G1002="",NOT(ISNUMBER(I1002))),"Incomplete",IF(COUNTIF(Lists!$H$4:$AA$4,C1002)=0,"Check category",IF(COUNTIF(INDEX(Lists!$H$6:$AA$45,0,MATCH(C1002,Lists!$H$4:$AA$4,0)),D1002)=0,"Check sub-category","OK"))))</f>
        <v/>
      </c>
      <c r="P1002">
        <f>IF(ISNUMBER(I1002),I1002+ROW()/10000000,"")</f>
        <v/>
      </c>
      <c r="Q1002">
        <f>IF(AND(ISNUMBER(P1002),ISNUMBER(A1002)),IF(AND(A1002&gt;=Dashboard!$Q$3,A1002&lt;=Dashboard!$Q$4,OR(J1002&lt;&gt;"Yes",Dashboard!$Q$15="Yes")),P1002,""),"")</f>
        <v/>
      </c>
    </row>
    <row r="1003">
      <c r="A1003" s="47" t="n"/>
      <c r="B1003" s="48" t="n"/>
      <c r="C1003" s="48" t="n"/>
      <c r="D1003" s="48" t="n"/>
      <c r="E1003" s="48" t="n"/>
      <c r="F1003" s="48" t="n"/>
      <c r="G1003" s="48" t="n"/>
      <c r="H1003" s="48" t="n"/>
      <c r="I1003" s="49" t="n"/>
      <c r="J1003" s="50" t="n"/>
      <c r="K1003" s="48" t="n"/>
      <c r="L1003" s="51">
        <f>IF(A1003="","",DATE(YEAR(A1003),MONTH(A1003),1))</f>
        <v/>
      </c>
      <c r="M1003" s="52">
        <f>IF(OR(A1003="",NOT(ISNUMBER(I1003))),"",IF(G1003=Lists!$B$5,I1003/2,IF(G1003=Lists!$B$6,I1003,0)))</f>
        <v/>
      </c>
      <c r="N1003" s="52">
        <f>IF(OR(A1003="",NOT(ISNUMBER(I1003))),"",IF(G1003=Lists!$B$5,I1003/2,IF(G1003=Lists!$B$7,I1003,0)))</f>
        <v/>
      </c>
      <c r="O1003" s="53">
        <f>IF(COUNTA(A1003:K1003)=0,"",IF(OR(A1003="",B1003="",C1003="",D1003="",E1003="",F1003="",G1003="",NOT(ISNUMBER(I1003))),"Incomplete",IF(COUNTIF(Lists!$H$4:$AA$4,C1003)=0,"Check category",IF(COUNTIF(INDEX(Lists!$H$6:$AA$45,0,MATCH(C1003,Lists!$H$4:$AA$4,0)),D1003)=0,"Check sub-category","OK"))))</f>
        <v/>
      </c>
      <c r="P1003">
        <f>IF(ISNUMBER(I1003),I1003+ROW()/10000000,"")</f>
        <v/>
      </c>
      <c r="Q1003">
        <f>IF(AND(ISNUMBER(P1003),ISNUMBER(A1003)),IF(AND(A1003&gt;=Dashboard!$Q$3,A1003&lt;=Dashboard!$Q$4,OR(J1003&lt;&gt;"Yes",Dashboard!$Q$15="Yes")),P1003,""),"")</f>
        <v/>
      </c>
    </row>
    <row r="1004">
      <c r="A1004" s="47" t="n"/>
      <c r="B1004" s="48" t="n"/>
      <c r="C1004" s="48" t="n"/>
      <c r="D1004" s="48" t="n"/>
      <c r="E1004" s="48" t="n"/>
      <c r="F1004" s="48" t="n"/>
      <c r="G1004" s="48" t="n"/>
      <c r="H1004" s="48" t="n"/>
      <c r="I1004" s="49" t="n"/>
      <c r="J1004" s="50" t="n"/>
      <c r="K1004" s="48" t="n"/>
      <c r="L1004" s="51">
        <f>IF(A1004="","",DATE(YEAR(A1004),MONTH(A1004),1))</f>
        <v/>
      </c>
      <c r="M1004" s="52">
        <f>IF(OR(A1004="",NOT(ISNUMBER(I1004))),"",IF(G1004=Lists!$B$5,I1004/2,IF(G1004=Lists!$B$6,I1004,0)))</f>
        <v/>
      </c>
      <c r="N1004" s="52">
        <f>IF(OR(A1004="",NOT(ISNUMBER(I1004))),"",IF(G1004=Lists!$B$5,I1004/2,IF(G1004=Lists!$B$7,I1004,0)))</f>
        <v/>
      </c>
      <c r="O1004" s="53">
        <f>IF(COUNTA(A1004:K1004)=0,"",IF(OR(A1004="",B1004="",C1004="",D1004="",E1004="",F1004="",G1004="",NOT(ISNUMBER(I1004))),"Incomplete",IF(COUNTIF(Lists!$H$4:$AA$4,C1004)=0,"Check category",IF(COUNTIF(INDEX(Lists!$H$6:$AA$45,0,MATCH(C1004,Lists!$H$4:$AA$4,0)),D1004)=0,"Check sub-category","OK"))))</f>
        <v/>
      </c>
      <c r="P1004">
        <f>IF(ISNUMBER(I1004),I1004+ROW()/10000000,"")</f>
        <v/>
      </c>
      <c r="Q1004">
        <f>IF(AND(ISNUMBER(P1004),ISNUMBER(A1004)),IF(AND(A1004&gt;=Dashboard!$Q$3,A1004&lt;=Dashboard!$Q$4,OR(J1004&lt;&gt;"Yes",Dashboard!$Q$15="Yes")),P1004,""),"")</f>
        <v/>
      </c>
    </row>
    <row r="1005">
      <c r="A1005" s="47" t="n"/>
      <c r="B1005" s="48" t="n"/>
      <c r="C1005" s="48" t="n"/>
      <c r="D1005" s="48" t="n"/>
      <c r="E1005" s="48" t="n"/>
      <c r="F1005" s="48" t="n"/>
      <c r="G1005" s="48" t="n"/>
      <c r="H1005" s="48" t="n"/>
      <c r="I1005" s="49" t="n"/>
      <c r="J1005" s="50" t="n"/>
      <c r="K1005" s="48" t="n"/>
      <c r="L1005" s="51">
        <f>IF(A1005="","",DATE(YEAR(A1005),MONTH(A1005),1))</f>
        <v/>
      </c>
      <c r="M1005" s="52">
        <f>IF(OR(A1005="",NOT(ISNUMBER(I1005))),"",IF(G1005=Lists!$B$5,I1005/2,IF(G1005=Lists!$B$6,I1005,0)))</f>
        <v/>
      </c>
      <c r="N1005" s="52">
        <f>IF(OR(A1005="",NOT(ISNUMBER(I1005))),"",IF(G1005=Lists!$B$5,I1005/2,IF(G1005=Lists!$B$7,I1005,0)))</f>
        <v/>
      </c>
      <c r="O1005" s="53">
        <f>IF(COUNTA(A1005:K1005)=0,"",IF(OR(A1005="",B1005="",C1005="",D1005="",E1005="",F1005="",G1005="",NOT(ISNUMBER(I1005))),"Incomplete",IF(COUNTIF(Lists!$H$4:$AA$4,C1005)=0,"Check category",IF(COUNTIF(INDEX(Lists!$H$6:$AA$45,0,MATCH(C1005,Lists!$H$4:$AA$4,0)),D1005)=0,"Check sub-category","OK"))))</f>
        <v/>
      </c>
      <c r="P1005">
        <f>IF(ISNUMBER(I1005),I1005+ROW()/10000000,"")</f>
        <v/>
      </c>
      <c r="Q1005">
        <f>IF(AND(ISNUMBER(P1005),ISNUMBER(A1005)),IF(AND(A1005&gt;=Dashboard!$Q$3,A1005&lt;=Dashboard!$Q$4,OR(J1005&lt;&gt;"Yes",Dashboard!$Q$15="Yes")),P1005,""),"")</f>
        <v/>
      </c>
    </row>
    <row r="1006">
      <c r="A1006" s="47" t="n"/>
      <c r="B1006" s="48" t="n"/>
      <c r="C1006" s="48" t="n"/>
      <c r="D1006" s="48" t="n"/>
      <c r="E1006" s="48" t="n"/>
      <c r="F1006" s="48" t="n"/>
      <c r="G1006" s="48" t="n"/>
      <c r="H1006" s="48" t="n"/>
      <c r="I1006" s="49" t="n"/>
      <c r="J1006" s="50" t="n"/>
      <c r="K1006" s="48" t="n"/>
      <c r="L1006" s="51">
        <f>IF(A1006="","",DATE(YEAR(A1006),MONTH(A1006),1))</f>
        <v/>
      </c>
      <c r="M1006" s="52">
        <f>IF(OR(A1006="",NOT(ISNUMBER(I1006))),"",IF(G1006=Lists!$B$5,I1006/2,IF(G1006=Lists!$B$6,I1006,0)))</f>
        <v/>
      </c>
      <c r="N1006" s="52">
        <f>IF(OR(A1006="",NOT(ISNUMBER(I1006))),"",IF(G1006=Lists!$B$5,I1006/2,IF(G1006=Lists!$B$7,I1006,0)))</f>
        <v/>
      </c>
      <c r="O1006" s="53">
        <f>IF(COUNTA(A1006:K1006)=0,"",IF(OR(A1006="",B1006="",C1006="",D1006="",E1006="",F1006="",G1006="",NOT(ISNUMBER(I1006))),"Incomplete",IF(COUNTIF(Lists!$H$4:$AA$4,C1006)=0,"Check category",IF(COUNTIF(INDEX(Lists!$H$6:$AA$45,0,MATCH(C1006,Lists!$H$4:$AA$4,0)),D1006)=0,"Check sub-category","OK"))))</f>
        <v/>
      </c>
      <c r="P1006">
        <f>IF(ISNUMBER(I1006),I1006+ROW()/10000000,"")</f>
        <v/>
      </c>
      <c r="Q1006">
        <f>IF(AND(ISNUMBER(P1006),ISNUMBER(A1006)),IF(AND(A1006&gt;=Dashboard!$Q$3,A1006&lt;=Dashboard!$Q$4,OR(J1006&lt;&gt;"Yes",Dashboard!$Q$15="Yes")),P1006,""),"")</f>
        <v/>
      </c>
    </row>
    <row r="1007">
      <c r="A1007" s="47" t="n"/>
      <c r="B1007" s="48" t="n"/>
      <c r="C1007" s="48" t="n"/>
      <c r="D1007" s="48" t="n"/>
      <c r="E1007" s="48" t="n"/>
      <c r="F1007" s="48" t="n"/>
      <c r="G1007" s="48" t="n"/>
      <c r="H1007" s="48" t="n"/>
      <c r="I1007" s="49" t="n"/>
      <c r="J1007" s="50" t="n"/>
      <c r="K1007" s="48" t="n"/>
      <c r="L1007" s="51">
        <f>IF(A1007="","",DATE(YEAR(A1007),MONTH(A1007),1))</f>
        <v/>
      </c>
      <c r="M1007" s="52">
        <f>IF(OR(A1007="",NOT(ISNUMBER(I1007))),"",IF(G1007=Lists!$B$5,I1007/2,IF(G1007=Lists!$B$6,I1007,0)))</f>
        <v/>
      </c>
      <c r="N1007" s="52">
        <f>IF(OR(A1007="",NOT(ISNUMBER(I1007))),"",IF(G1007=Lists!$B$5,I1007/2,IF(G1007=Lists!$B$7,I1007,0)))</f>
        <v/>
      </c>
      <c r="O1007" s="53">
        <f>IF(COUNTA(A1007:K1007)=0,"",IF(OR(A1007="",B1007="",C1007="",D1007="",E1007="",F1007="",G1007="",NOT(ISNUMBER(I1007))),"Incomplete",IF(COUNTIF(Lists!$H$4:$AA$4,C1007)=0,"Check category",IF(COUNTIF(INDEX(Lists!$H$6:$AA$45,0,MATCH(C1007,Lists!$H$4:$AA$4,0)),D1007)=0,"Check sub-category","OK"))))</f>
        <v/>
      </c>
      <c r="P1007">
        <f>IF(ISNUMBER(I1007),I1007+ROW()/10000000,"")</f>
        <v/>
      </c>
      <c r="Q1007">
        <f>IF(AND(ISNUMBER(P1007),ISNUMBER(A1007)),IF(AND(A1007&gt;=Dashboard!$Q$3,A1007&lt;=Dashboard!$Q$4,OR(J1007&lt;&gt;"Yes",Dashboard!$Q$15="Yes")),P1007,""),"")</f>
        <v/>
      </c>
    </row>
    <row r="1008">
      <c r="A1008" s="47" t="n"/>
      <c r="B1008" s="48" t="n"/>
      <c r="C1008" s="48" t="n"/>
      <c r="D1008" s="48" t="n"/>
      <c r="E1008" s="48" t="n"/>
      <c r="F1008" s="48" t="n"/>
      <c r="G1008" s="48" t="n"/>
      <c r="H1008" s="48" t="n"/>
      <c r="I1008" s="49" t="n"/>
      <c r="J1008" s="50" t="n"/>
      <c r="K1008" s="48" t="n"/>
      <c r="L1008" s="51">
        <f>IF(A1008="","",DATE(YEAR(A1008),MONTH(A1008),1))</f>
        <v/>
      </c>
      <c r="M1008" s="52">
        <f>IF(OR(A1008="",NOT(ISNUMBER(I1008))),"",IF(G1008=Lists!$B$5,I1008/2,IF(G1008=Lists!$B$6,I1008,0)))</f>
        <v/>
      </c>
      <c r="N1008" s="52">
        <f>IF(OR(A1008="",NOT(ISNUMBER(I1008))),"",IF(G1008=Lists!$B$5,I1008/2,IF(G1008=Lists!$B$7,I1008,0)))</f>
        <v/>
      </c>
      <c r="O1008" s="53">
        <f>IF(COUNTA(A1008:K1008)=0,"",IF(OR(A1008="",B1008="",C1008="",D1008="",E1008="",F1008="",G1008="",NOT(ISNUMBER(I1008))),"Incomplete",IF(COUNTIF(Lists!$H$4:$AA$4,C1008)=0,"Check category",IF(COUNTIF(INDEX(Lists!$H$6:$AA$45,0,MATCH(C1008,Lists!$H$4:$AA$4,0)),D1008)=0,"Check sub-category","OK"))))</f>
        <v/>
      </c>
      <c r="P1008">
        <f>IF(ISNUMBER(I1008),I1008+ROW()/10000000,"")</f>
        <v/>
      </c>
      <c r="Q1008">
        <f>IF(AND(ISNUMBER(P1008),ISNUMBER(A1008)),IF(AND(A1008&gt;=Dashboard!$Q$3,A1008&lt;=Dashboard!$Q$4,OR(J1008&lt;&gt;"Yes",Dashboard!$Q$15="Yes")),P1008,""),"")</f>
        <v/>
      </c>
    </row>
    <row r="1009">
      <c r="A1009" s="47" t="n"/>
      <c r="B1009" s="48" t="n"/>
      <c r="C1009" s="48" t="n"/>
      <c r="D1009" s="48" t="n"/>
      <c r="E1009" s="48" t="n"/>
      <c r="F1009" s="48" t="n"/>
      <c r="G1009" s="48" t="n"/>
      <c r="H1009" s="48" t="n"/>
      <c r="I1009" s="49" t="n"/>
      <c r="J1009" s="50" t="n"/>
      <c r="K1009" s="48" t="n"/>
      <c r="L1009" s="51">
        <f>IF(A1009="","",DATE(YEAR(A1009),MONTH(A1009),1))</f>
        <v/>
      </c>
      <c r="M1009" s="52">
        <f>IF(OR(A1009="",NOT(ISNUMBER(I1009))),"",IF(G1009=Lists!$B$5,I1009/2,IF(G1009=Lists!$B$6,I1009,0)))</f>
        <v/>
      </c>
      <c r="N1009" s="52">
        <f>IF(OR(A1009="",NOT(ISNUMBER(I1009))),"",IF(G1009=Lists!$B$5,I1009/2,IF(G1009=Lists!$B$7,I1009,0)))</f>
        <v/>
      </c>
      <c r="O1009" s="53">
        <f>IF(COUNTA(A1009:K1009)=0,"",IF(OR(A1009="",B1009="",C1009="",D1009="",E1009="",F1009="",G1009="",NOT(ISNUMBER(I1009))),"Incomplete",IF(COUNTIF(Lists!$H$4:$AA$4,C1009)=0,"Check category",IF(COUNTIF(INDEX(Lists!$H$6:$AA$45,0,MATCH(C1009,Lists!$H$4:$AA$4,0)),D1009)=0,"Check sub-category","OK"))))</f>
        <v/>
      </c>
      <c r="P1009">
        <f>IF(ISNUMBER(I1009),I1009+ROW()/10000000,"")</f>
        <v/>
      </c>
      <c r="Q1009">
        <f>IF(AND(ISNUMBER(P1009),ISNUMBER(A1009)),IF(AND(A1009&gt;=Dashboard!$Q$3,A1009&lt;=Dashboard!$Q$4,OR(J1009&lt;&gt;"Yes",Dashboard!$Q$15="Yes")),P1009,""),"")</f>
        <v/>
      </c>
    </row>
    <row r="1010">
      <c r="A1010" s="47" t="n"/>
      <c r="B1010" s="48" t="n"/>
      <c r="C1010" s="48" t="n"/>
      <c r="D1010" s="48" t="n"/>
      <c r="E1010" s="48" t="n"/>
      <c r="F1010" s="48" t="n"/>
      <c r="G1010" s="48" t="n"/>
      <c r="H1010" s="48" t="n"/>
      <c r="I1010" s="49" t="n"/>
      <c r="J1010" s="50" t="n"/>
      <c r="K1010" s="48" t="n"/>
      <c r="L1010" s="51">
        <f>IF(A1010="","",DATE(YEAR(A1010),MONTH(A1010),1))</f>
        <v/>
      </c>
      <c r="M1010" s="52">
        <f>IF(OR(A1010="",NOT(ISNUMBER(I1010))),"",IF(G1010=Lists!$B$5,I1010/2,IF(G1010=Lists!$B$6,I1010,0)))</f>
        <v/>
      </c>
      <c r="N1010" s="52">
        <f>IF(OR(A1010="",NOT(ISNUMBER(I1010))),"",IF(G1010=Lists!$B$5,I1010/2,IF(G1010=Lists!$B$7,I1010,0)))</f>
        <v/>
      </c>
      <c r="O1010" s="53">
        <f>IF(COUNTA(A1010:K1010)=0,"",IF(OR(A1010="",B1010="",C1010="",D1010="",E1010="",F1010="",G1010="",NOT(ISNUMBER(I1010))),"Incomplete",IF(COUNTIF(Lists!$H$4:$AA$4,C1010)=0,"Check category",IF(COUNTIF(INDEX(Lists!$H$6:$AA$45,0,MATCH(C1010,Lists!$H$4:$AA$4,0)),D1010)=0,"Check sub-category","OK"))))</f>
        <v/>
      </c>
      <c r="P1010">
        <f>IF(ISNUMBER(I1010),I1010+ROW()/10000000,"")</f>
        <v/>
      </c>
      <c r="Q1010">
        <f>IF(AND(ISNUMBER(P1010),ISNUMBER(A1010)),IF(AND(A1010&gt;=Dashboard!$Q$3,A1010&lt;=Dashboard!$Q$4,OR(J1010&lt;&gt;"Yes",Dashboard!$Q$15="Yes")),P1010,""),"")</f>
        <v/>
      </c>
    </row>
    <row r="1011">
      <c r="A1011" s="47" t="n"/>
      <c r="B1011" s="48" t="n"/>
      <c r="C1011" s="48" t="n"/>
      <c r="D1011" s="48" t="n"/>
      <c r="E1011" s="48" t="n"/>
      <c r="F1011" s="48" t="n"/>
      <c r="G1011" s="48" t="n"/>
      <c r="H1011" s="48" t="n"/>
      <c r="I1011" s="49" t="n"/>
      <c r="J1011" s="50" t="n"/>
      <c r="K1011" s="48" t="n"/>
      <c r="L1011" s="51">
        <f>IF(A1011="","",DATE(YEAR(A1011),MONTH(A1011),1))</f>
        <v/>
      </c>
      <c r="M1011" s="52">
        <f>IF(OR(A1011="",NOT(ISNUMBER(I1011))),"",IF(G1011=Lists!$B$5,I1011/2,IF(G1011=Lists!$B$6,I1011,0)))</f>
        <v/>
      </c>
      <c r="N1011" s="52">
        <f>IF(OR(A1011="",NOT(ISNUMBER(I1011))),"",IF(G1011=Lists!$B$5,I1011/2,IF(G1011=Lists!$B$7,I1011,0)))</f>
        <v/>
      </c>
      <c r="O1011" s="53">
        <f>IF(COUNTA(A1011:K1011)=0,"",IF(OR(A1011="",B1011="",C1011="",D1011="",E1011="",F1011="",G1011="",NOT(ISNUMBER(I1011))),"Incomplete",IF(COUNTIF(Lists!$H$4:$AA$4,C1011)=0,"Check category",IF(COUNTIF(INDEX(Lists!$H$6:$AA$45,0,MATCH(C1011,Lists!$H$4:$AA$4,0)),D1011)=0,"Check sub-category","OK"))))</f>
        <v/>
      </c>
      <c r="P1011">
        <f>IF(ISNUMBER(I1011),I1011+ROW()/10000000,"")</f>
        <v/>
      </c>
      <c r="Q1011">
        <f>IF(AND(ISNUMBER(P1011),ISNUMBER(A1011)),IF(AND(A1011&gt;=Dashboard!$Q$3,A1011&lt;=Dashboard!$Q$4,OR(J1011&lt;&gt;"Yes",Dashboard!$Q$15="Yes")),P1011,""),"")</f>
        <v/>
      </c>
    </row>
    <row r="1012">
      <c r="A1012" s="47" t="n"/>
      <c r="B1012" s="48" t="n"/>
      <c r="C1012" s="48" t="n"/>
      <c r="D1012" s="48" t="n"/>
      <c r="E1012" s="48" t="n"/>
      <c r="F1012" s="48" t="n"/>
      <c r="G1012" s="48" t="n"/>
      <c r="H1012" s="48" t="n"/>
      <c r="I1012" s="49" t="n"/>
      <c r="J1012" s="50" t="n"/>
      <c r="K1012" s="48" t="n"/>
      <c r="L1012" s="51">
        <f>IF(A1012="","",DATE(YEAR(A1012),MONTH(A1012),1))</f>
        <v/>
      </c>
      <c r="M1012" s="52">
        <f>IF(OR(A1012="",NOT(ISNUMBER(I1012))),"",IF(G1012=Lists!$B$5,I1012/2,IF(G1012=Lists!$B$6,I1012,0)))</f>
        <v/>
      </c>
      <c r="N1012" s="52">
        <f>IF(OR(A1012="",NOT(ISNUMBER(I1012))),"",IF(G1012=Lists!$B$5,I1012/2,IF(G1012=Lists!$B$7,I1012,0)))</f>
        <v/>
      </c>
      <c r="O1012" s="53">
        <f>IF(COUNTA(A1012:K1012)=0,"",IF(OR(A1012="",B1012="",C1012="",D1012="",E1012="",F1012="",G1012="",NOT(ISNUMBER(I1012))),"Incomplete",IF(COUNTIF(Lists!$H$4:$AA$4,C1012)=0,"Check category",IF(COUNTIF(INDEX(Lists!$H$6:$AA$45,0,MATCH(C1012,Lists!$H$4:$AA$4,0)),D1012)=0,"Check sub-category","OK"))))</f>
        <v/>
      </c>
      <c r="P1012">
        <f>IF(ISNUMBER(I1012),I1012+ROW()/10000000,"")</f>
        <v/>
      </c>
      <c r="Q1012">
        <f>IF(AND(ISNUMBER(P1012),ISNUMBER(A1012)),IF(AND(A1012&gt;=Dashboard!$Q$3,A1012&lt;=Dashboard!$Q$4,OR(J1012&lt;&gt;"Yes",Dashboard!$Q$15="Yes")),P1012,""),"")</f>
        <v/>
      </c>
    </row>
    <row r="1013">
      <c r="A1013" s="47" t="n"/>
      <c r="B1013" s="48" t="n"/>
      <c r="C1013" s="48" t="n"/>
      <c r="D1013" s="48" t="n"/>
      <c r="E1013" s="48" t="n"/>
      <c r="F1013" s="48" t="n"/>
      <c r="G1013" s="48" t="n"/>
      <c r="H1013" s="48" t="n"/>
      <c r="I1013" s="49" t="n"/>
      <c r="J1013" s="50" t="n"/>
      <c r="K1013" s="48" t="n"/>
      <c r="L1013" s="51">
        <f>IF(A1013="","",DATE(YEAR(A1013),MONTH(A1013),1))</f>
        <v/>
      </c>
      <c r="M1013" s="52">
        <f>IF(OR(A1013="",NOT(ISNUMBER(I1013))),"",IF(G1013=Lists!$B$5,I1013/2,IF(G1013=Lists!$B$6,I1013,0)))</f>
        <v/>
      </c>
      <c r="N1013" s="52">
        <f>IF(OR(A1013="",NOT(ISNUMBER(I1013))),"",IF(G1013=Lists!$B$5,I1013/2,IF(G1013=Lists!$B$7,I1013,0)))</f>
        <v/>
      </c>
      <c r="O1013" s="53">
        <f>IF(COUNTA(A1013:K1013)=0,"",IF(OR(A1013="",B1013="",C1013="",D1013="",E1013="",F1013="",G1013="",NOT(ISNUMBER(I1013))),"Incomplete",IF(COUNTIF(Lists!$H$4:$AA$4,C1013)=0,"Check category",IF(COUNTIF(INDEX(Lists!$H$6:$AA$45,0,MATCH(C1013,Lists!$H$4:$AA$4,0)),D1013)=0,"Check sub-category","OK"))))</f>
        <v/>
      </c>
      <c r="P1013">
        <f>IF(ISNUMBER(I1013),I1013+ROW()/10000000,"")</f>
        <v/>
      </c>
      <c r="Q1013">
        <f>IF(AND(ISNUMBER(P1013),ISNUMBER(A1013)),IF(AND(A1013&gt;=Dashboard!$Q$3,A1013&lt;=Dashboard!$Q$4,OR(J1013&lt;&gt;"Yes",Dashboard!$Q$15="Yes")),P1013,""),"")</f>
        <v/>
      </c>
    </row>
    <row r="1014">
      <c r="A1014" s="47" t="n"/>
      <c r="B1014" s="48" t="n"/>
      <c r="C1014" s="48" t="n"/>
      <c r="D1014" s="48" t="n"/>
      <c r="E1014" s="48" t="n"/>
      <c r="F1014" s="48" t="n"/>
      <c r="G1014" s="48" t="n"/>
      <c r="H1014" s="48" t="n"/>
      <c r="I1014" s="49" t="n"/>
      <c r="J1014" s="50" t="n"/>
      <c r="K1014" s="48" t="n"/>
      <c r="L1014" s="51">
        <f>IF(A1014="","",DATE(YEAR(A1014),MONTH(A1014),1))</f>
        <v/>
      </c>
      <c r="M1014" s="52">
        <f>IF(OR(A1014="",NOT(ISNUMBER(I1014))),"",IF(G1014=Lists!$B$5,I1014/2,IF(G1014=Lists!$B$6,I1014,0)))</f>
        <v/>
      </c>
      <c r="N1014" s="52">
        <f>IF(OR(A1014="",NOT(ISNUMBER(I1014))),"",IF(G1014=Lists!$B$5,I1014/2,IF(G1014=Lists!$B$7,I1014,0)))</f>
        <v/>
      </c>
      <c r="O1014" s="53">
        <f>IF(COUNTA(A1014:K1014)=0,"",IF(OR(A1014="",B1014="",C1014="",D1014="",E1014="",F1014="",G1014="",NOT(ISNUMBER(I1014))),"Incomplete",IF(COUNTIF(Lists!$H$4:$AA$4,C1014)=0,"Check category",IF(COUNTIF(INDEX(Lists!$H$6:$AA$45,0,MATCH(C1014,Lists!$H$4:$AA$4,0)),D1014)=0,"Check sub-category","OK"))))</f>
        <v/>
      </c>
      <c r="P1014">
        <f>IF(ISNUMBER(I1014),I1014+ROW()/10000000,"")</f>
        <v/>
      </c>
      <c r="Q1014">
        <f>IF(AND(ISNUMBER(P1014),ISNUMBER(A1014)),IF(AND(A1014&gt;=Dashboard!$Q$3,A1014&lt;=Dashboard!$Q$4,OR(J1014&lt;&gt;"Yes",Dashboard!$Q$15="Yes")),P1014,""),"")</f>
        <v/>
      </c>
    </row>
    <row r="1015">
      <c r="A1015" s="47" t="n"/>
      <c r="B1015" s="48" t="n"/>
      <c r="C1015" s="48" t="n"/>
      <c r="D1015" s="48" t="n"/>
      <c r="E1015" s="48" t="n"/>
      <c r="F1015" s="48" t="n"/>
      <c r="G1015" s="48" t="n"/>
      <c r="H1015" s="48" t="n"/>
      <c r="I1015" s="49" t="n"/>
      <c r="J1015" s="50" t="n"/>
      <c r="K1015" s="48" t="n"/>
      <c r="L1015" s="51">
        <f>IF(A1015="","",DATE(YEAR(A1015),MONTH(A1015),1))</f>
        <v/>
      </c>
      <c r="M1015" s="52">
        <f>IF(OR(A1015="",NOT(ISNUMBER(I1015))),"",IF(G1015=Lists!$B$5,I1015/2,IF(G1015=Lists!$B$6,I1015,0)))</f>
        <v/>
      </c>
      <c r="N1015" s="52">
        <f>IF(OR(A1015="",NOT(ISNUMBER(I1015))),"",IF(G1015=Lists!$B$5,I1015/2,IF(G1015=Lists!$B$7,I1015,0)))</f>
        <v/>
      </c>
      <c r="O1015" s="53">
        <f>IF(COUNTA(A1015:K1015)=0,"",IF(OR(A1015="",B1015="",C1015="",D1015="",E1015="",F1015="",G1015="",NOT(ISNUMBER(I1015))),"Incomplete",IF(COUNTIF(Lists!$H$4:$AA$4,C1015)=0,"Check category",IF(COUNTIF(INDEX(Lists!$H$6:$AA$45,0,MATCH(C1015,Lists!$H$4:$AA$4,0)),D1015)=0,"Check sub-category","OK"))))</f>
        <v/>
      </c>
      <c r="P1015">
        <f>IF(ISNUMBER(I1015),I1015+ROW()/10000000,"")</f>
        <v/>
      </c>
      <c r="Q1015">
        <f>IF(AND(ISNUMBER(P1015),ISNUMBER(A1015)),IF(AND(A1015&gt;=Dashboard!$Q$3,A1015&lt;=Dashboard!$Q$4,OR(J1015&lt;&gt;"Yes",Dashboard!$Q$15="Yes")),P1015,""),"")</f>
        <v/>
      </c>
    </row>
    <row r="1016">
      <c r="A1016" s="47" t="n"/>
      <c r="B1016" s="48" t="n"/>
      <c r="C1016" s="48" t="n"/>
      <c r="D1016" s="48" t="n"/>
      <c r="E1016" s="48" t="n"/>
      <c r="F1016" s="48" t="n"/>
      <c r="G1016" s="48" t="n"/>
      <c r="H1016" s="48" t="n"/>
      <c r="I1016" s="49" t="n"/>
      <c r="J1016" s="50" t="n"/>
      <c r="K1016" s="48" t="n"/>
      <c r="L1016" s="51">
        <f>IF(A1016="","",DATE(YEAR(A1016),MONTH(A1016),1))</f>
        <v/>
      </c>
      <c r="M1016" s="52">
        <f>IF(OR(A1016="",NOT(ISNUMBER(I1016))),"",IF(G1016=Lists!$B$5,I1016/2,IF(G1016=Lists!$B$6,I1016,0)))</f>
        <v/>
      </c>
      <c r="N1016" s="52">
        <f>IF(OR(A1016="",NOT(ISNUMBER(I1016))),"",IF(G1016=Lists!$B$5,I1016/2,IF(G1016=Lists!$B$7,I1016,0)))</f>
        <v/>
      </c>
      <c r="O1016" s="53">
        <f>IF(COUNTA(A1016:K1016)=0,"",IF(OR(A1016="",B1016="",C1016="",D1016="",E1016="",F1016="",G1016="",NOT(ISNUMBER(I1016))),"Incomplete",IF(COUNTIF(Lists!$H$4:$AA$4,C1016)=0,"Check category",IF(COUNTIF(INDEX(Lists!$H$6:$AA$45,0,MATCH(C1016,Lists!$H$4:$AA$4,0)),D1016)=0,"Check sub-category","OK"))))</f>
        <v/>
      </c>
      <c r="P1016">
        <f>IF(ISNUMBER(I1016),I1016+ROW()/10000000,"")</f>
        <v/>
      </c>
      <c r="Q1016">
        <f>IF(AND(ISNUMBER(P1016),ISNUMBER(A1016)),IF(AND(A1016&gt;=Dashboard!$Q$3,A1016&lt;=Dashboard!$Q$4,OR(J1016&lt;&gt;"Yes",Dashboard!$Q$15="Yes")),P1016,""),"")</f>
        <v/>
      </c>
    </row>
    <row r="1017">
      <c r="A1017" s="47" t="n"/>
      <c r="B1017" s="48" t="n"/>
      <c r="C1017" s="48" t="n"/>
      <c r="D1017" s="48" t="n"/>
      <c r="E1017" s="48" t="n"/>
      <c r="F1017" s="48" t="n"/>
      <c r="G1017" s="48" t="n"/>
      <c r="H1017" s="48" t="n"/>
      <c r="I1017" s="49" t="n"/>
      <c r="J1017" s="50" t="n"/>
      <c r="K1017" s="48" t="n"/>
      <c r="L1017" s="51">
        <f>IF(A1017="","",DATE(YEAR(A1017),MONTH(A1017),1))</f>
        <v/>
      </c>
      <c r="M1017" s="52">
        <f>IF(OR(A1017="",NOT(ISNUMBER(I1017))),"",IF(G1017=Lists!$B$5,I1017/2,IF(G1017=Lists!$B$6,I1017,0)))</f>
        <v/>
      </c>
      <c r="N1017" s="52">
        <f>IF(OR(A1017="",NOT(ISNUMBER(I1017))),"",IF(G1017=Lists!$B$5,I1017/2,IF(G1017=Lists!$B$7,I1017,0)))</f>
        <v/>
      </c>
      <c r="O1017" s="53">
        <f>IF(COUNTA(A1017:K1017)=0,"",IF(OR(A1017="",B1017="",C1017="",D1017="",E1017="",F1017="",G1017="",NOT(ISNUMBER(I1017))),"Incomplete",IF(COUNTIF(Lists!$H$4:$AA$4,C1017)=0,"Check category",IF(COUNTIF(INDEX(Lists!$H$6:$AA$45,0,MATCH(C1017,Lists!$H$4:$AA$4,0)),D1017)=0,"Check sub-category","OK"))))</f>
        <v/>
      </c>
      <c r="P1017">
        <f>IF(ISNUMBER(I1017),I1017+ROW()/10000000,"")</f>
        <v/>
      </c>
      <c r="Q1017">
        <f>IF(AND(ISNUMBER(P1017),ISNUMBER(A1017)),IF(AND(A1017&gt;=Dashboard!$Q$3,A1017&lt;=Dashboard!$Q$4,OR(J1017&lt;&gt;"Yes",Dashboard!$Q$15="Yes")),P1017,""),"")</f>
        <v/>
      </c>
    </row>
    <row r="1018">
      <c r="A1018" s="47" t="n"/>
      <c r="B1018" s="48" t="n"/>
      <c r="C1018" s="48" t="n"/>
      <c r="D1018" s="48" t="n"/>
      <c r="E1018" s="48" t="n"/>
      <c r="F1018" s="48" t="n"/>
      <c r="G1018" s="48" t="n"/>
      <c r="H1018" s="48" t="n"/>
      <c r="I1018" s="49" t="n"/>
      <c r="J1018" s="50" t="n"/>
      <c r="K1018" s="48" t="n"/>
      <c r="L1018" s="51">
        <f>IF(A1018="","",DATE(YEAR(A1018),MONTH(A1018),1))</f>
        <v/>
      </c>
      <c r="M1018" s="52">
        <f>IF(OR(A1018="",NOT(ISNUMBER(I1018))),"",IF(G1018=Lists!$B$5,I1018/2,IF(G1018=Lists!$B$6,I1018,0)))</f>
        <v/>
      </c>
      <c r="N1018" s="52">
        <f>IF(OR(A1018="",NOT(ISNUMBER(I1018))),"",IF(G1018=Lists!$B$5,I1018/2,IF(G1018=Lists!$B$7,I1018,0)))</f>
        <v/>
      </c>
      <c r="O1018" s="53">
        <f>IF(COUNTA(A1018:K1018)=0,"",IF(OR(A1018="",B1018="",C1018="",D1018="",E1018="",F1018="",G1018="",NOT(ISNUMBER(I1018))),"Incomplete",IF(COUNTIF(Lists!$H$4:$AA$4,C1018)=0,"Check category",IF(COUNTIF(INDEX(Lists!$H$6:$AA$45,0,MATCH(C1018,Lists!$H$4:$AA$4,0)),D1018)=0,"Check sub-category","OK"))))</f>
        <v/>
      </c>
      <c r="P1018">
        <f>IF(ISNUMBER(I1018),I1018+ROW()/10000000,"")</f>
        <v/>
      </c>
      <c r="Q1018">
        <f>IF(AND(ISNUMBER(P1018),ISNUMBER(A1018)),IF(AND(A1018&gt;=Dashboard!$Q$3,A1018&lt;=Dashboard!$Q$4,OR(J1018&lt;&gt;"Yes",Dashboard!$Q$15="Yes")),P1018,""),"")</f>
        <v/>
      </c>
    </row>
    <row r="1019">
      <c r="A1019" s="47" t="n"/>
      <c r="B1019" s="48" t="n"/>
      <c r="C1019" s="48" t="n"/>
      <c r="D1019" s="48" t="n"/>
      <c r="E1019" s="48" t="n"/>
      <c r="F1019" s="48" t="n"/>
      <c r="G1019" s="48" t="n"/>
      <c r="H1019" s="48" t="n"/>
      <c r="I1019" s="49" t="n"/>
      <c r="J1019" s="50" t="n"/>
      <c r="K1019" s="48" t="n"/>
      <c r="L1019" s="51">
        <f>IF(A1019="","",DATE(YEAR(A1019),MONTH(A1019),1))</f>
        <v/>
      </c>
      <c r="M1019" s="52">
        <f>IF(OR(A1019="",NOT(ISNUMBER(I1019))),"",IF(G1019=Lists!$B$5,I1019/2,IF(G1019=Lists!$B$6,I1019,0)))</f>
        <v/>
      </c>
      <c r="N1019" s="52">
        <f>IF(OR(A1019="",NOT(ISNUMBER(I1019))),"",IF(G1019=Lists!$B$5,I1019/2,IF(G1019=Lists!$B$7,I1019,0)))</f>
        <v/>
      </c>
      <c r="O1019" s="53">
        <f>IF(COUNTA(A1019:K1019)=0,"",IF(OR(A1019="",B1019="",C1019="",D1019="",E1019="",F1019="",G1019="",NOT(ISNUMBER(I1019))),"Incomplete",IF(COUNTIF(Lists!$H$4:$AA$4,C1019)=0,"Check category",IF(COUNTIF(INDEX(Lists!$H$6:$AA$45,0,MATCH(C1019,Lists!$H$4:$AA$4,0)),D1019)=0,"Check sub-category","OK"))))</f>
        <v/>
      </c>
      <c r="P1019">
        <f>IF(ISNUMBER(I1019),I1019+ROW()/10000000,"")</f>
        <v/>
      </c>
      <c r="Q1019">
        <f>IF(AND(ISNUMBER(P1019),ISNUMBER(A1019)),IF(AND(A1019&gt;=Dashboard!$Q$3,A1019&lt;=Dashboard!$Q$4,OR(J1019&lt;&gt;"Yes",Dashboard!$Q$15="Yes")),P1019,""),"")</f>
        <v/>
      </c>
    </row>
    <row r="1020">
      <c r="A1020" s="47" t="n"/>
      <c r="B1020" s="48" t="n"/>
      <c r="C1020" s="48" t="n"/>
      <c r="D1020" s="48" t="n"/>
      <c r="E1020" s="48" t="n"/>
      <c r="F1020" s="48" t="n"/>
      <c r="G1020" s="48" t="n"/>
      <c r="H1020" s="48" t="n"/>
      <c r="I1020" s="49" t="n"/>
      <c r="J1020" s="50" t="n"/>
      <c r="K1020" s="48" t="n"/>
      <c r="L1020" s="51">
        <f>IF(A1020="","",DATE(YEAR(A1020),MONTH(A1020),1))</f>
        <v/>
      </c>
      <c r="M1020" s="52">
        <f>IF(OR(A1020="",NOT(ISNUMBER(I1020))),"",IF(G1020=Lists!$B$5,I1020/2,IF(G1020=Lists!$B$6,I1020,0)))</f>
        <v/>
      </c>
      <c r="N1020" s="52">
        <f>IF(OR(A1020="",NOT(ISNUMBER(I1020))),"",IF(G1020=Lists!$B$5,I1020/2,IF(G1020=Lists!$B$7,I1020,0)))</f>
        <v/>
      </c>
      <c r="O1020" s="53">
        <f>IF(COUNTA(A1020:K1020)=0,"",IF(OR(A1020="",B1020="",C1020="",D1020="",E1020="",F1020="",G1020="",NOT(ISNUMBER(I1020))),"Incomplete",IF(COUNTIF(Lists!$H$4:$AA$4,C1020)=0,"Check category",IF(COUNTIF(INDEX(Lists!$H$6:$AA$45,0,MATCH(C1020,Lists!$H$4:$AA$4,0)),D1020)=0,"Check sub-category","OK"))))</f>
        <v/>
      </c>
      <c r="P1020">
        <f>IF(ISNUMBER(I1020),I1020+ROW()/10000000,"")</f>
        <v/>
      </c>
      <c r="Q1020">
        <f>IF(AND(ISNUMBER(P1020),ISNUMBER(A1020)),IF(AND(A1020&gt;=Dashboard!$Q$3,A1020&lt;=Dashboard!$Q$4,OR(J1020&lt;&gt;"Yes",Dashboard!$Q$15="Yes")),P1020,""),"")</f>
        <v/>
      </c>
    </row>
    <row r="1021">
      <c r="A1021" s="47" t="n"/>
      <c r="B1021" s="48" t="n"/>
      <c r="C1021" s="48" t="n"/>
      <c r="D1021" s="48" t="n"/>
      <c r="E1021" s="48" t="n"/>
      <c r="F1021" s="48" t="n"/>
      <c r="G1021" s="48" t="n"/>
      <c r="H1021" s="48" t="n"/>
      <c r="I1021" s="49" t="n"/>
      <c r="J1021" s="50" t="n"/>
      <c r="K1021" s="48" t="n"/>
      <c r="L1021" s="51">
        <f>IF(A1021="","",DATE(YEAR(A1021),MONTH(A1021),1))</f>
        <v/>
      </c>
      <c r="M1021" s="52">
        <f>IF(OR(A1021="",NOT(ISNUMBER(I1021))),"",IF(G1021=Lists!$B$5,I1021/2,IF(G1021=Lists!$B$6,I1021,0)))</f>
        <v/>
      </c>
      <c r="N1021" s="52">
        <f>IF(OR(A1021="",NOT(ISNUMBER(I1021))),"",IF(G1021=Lists!$B$5,I1021/2,IF(G1021=Lists!$B$7,I1021,0)))</f>
        <v/>
      </c>
      <c r="O1021" s="53">
        <f>IF(COUNTA(A1021:K1021)=0,"",IF(OR(A1021="",B1021="",C1021="",D1021="",E1021="",F1021="",G1021="",NOT(ISNUMBER(I1021))),"Incomplete",IF(COUNTIF(Lists!$H$4:$AA$4,C1021)=0,"Check category",IF(COUNTIF(INDEX(Lists!$H$6:$AA$45,0,MATCH(C1021,Lists!$H$4:$AA$4,0)),D1021)=0,"Check sub-category","OK"))))</f>
        <v/>
      </c>
      <c r="P1021">
        <f>IF(ISNUMBER(I1021),I1021+ROW()/10000000,"")</f>
        <v/>
      </c>
      <c r="Q1021">
        <f>IF(AND(ISNUMBER(P1021),ISNUMBER(A1021)),IF(AND(A1021&gt;=Dashboard!$Q$3,A1021&lt;=Dashboard!$Q$4,OR(J1021&lt;&gt;"Yes",Dashboard!$Q$15="Yes")),P1021,""),"")</f>
        <v/>
      </c>
    </row>
    <row r="1022">
      <c r="A1022" s="47" t="n"/>
      <c r="B1022" s="48" t="n"/>
      <c r="C1022" s="48" t="n"/>
      <c r="D1022" s="48" t="n"/>
      <c r="E1022" s="48" t="n"/>
      <c r="F1022" s="48" t="n"/>
      <c r="G1022" s="48" t="n"/>
      <c r="H1022" s="48" t="n"/>
      <c r="I1022" s="49" t="n"/>
      <c r="J1022" s="50" t="n"/>
      <c r="K1022" s="48" t="n"/>
      <c r="L1022" s="51">
        <f>IF(A1022="","",DATE(YEAR(A1022),MONTH(A1022),1))</f>
        <v/>
      </c>
      <c r="M1022" s="52">
        <f>IF(OR(A1022="",NOT(ISNUMBER(I1022))),"",IF(G1022=Lists!$B$5,I1022/2,IF(G1022=Lists!$B$6,I1022,0)))</f>
        <v/>
      </c>
      <c r="N1022" s="52">
        <f>IF(OR(A1022="",NOT(ISNUMBER(I1022))),"",IF(G1022=Lists!$B$5,I1022/2,IF(G1022=Lists!$B$7,I1022,0)))</f>
        <v/>
      </c>
      <c r="O1022" s="53">
        <f>IF(COUNTA(A1022:K1022)=0,"",IF(OR(A1022="",B1022="",C1022="",D1022="",E1022="",F1022="",G1022="",NOT(ISNUMBER(I1022))),"Incomplete",IF(COUNTIF(Lists!$H$4:$AA$4,C1022)=0,"Check category",IF(COUNTIF(INDEX(Lists!$H$6:$AA$45,0,MATCH(C1022,Lists!$H$4:$AA$4,0)),D1022)=0,"Check sub-category","OK"))))</f>
        <v/>
      </c>
      <c r="P1022">
        <f>IF(ISNUMBER(I1022),I1022+ROW()/10000000,"")</f>
        <v/>
      </c>
      <c r="Q1022">
        <f>IF(AND(ISNUMBER(P1022),ISNUMBER(A1022)),IF(AND(A1022&gt;=Dashboard!$Q$3,A1022&lt;=Dashboard!$Q$4,OR(J1022&lt;&gt;"Yes",Dashboard!$Q$15="Yes")),P1022,""),"")</f>
        <v/>
      </c>
    </row>
    <row r="1023">
      <c r="A1023" s="47" t="n"/>
      <c r="B1023" s="48" t="n"/>
      <c r="C1023" s="48" t="n"/>
      <c r="D1023" s="48" t="n"/>
      <c r="E1023" s="48" t="n"/>
      <c r="F1023" s="48" t="n"/>
      <c r="G1023" s="48" t="n"/>
      <c r="H1023" s="48" t="n"/>
      <c r="I1023" s="49" t="n"/>
      <c r="J1023" s="50" t="n"/>
      <c r="K1023" s="48" t="n"/>
      <c r="L1023" s="51">
        <f>IF(A1023="","",DATE(YEAR(A1023),MONTH(A1023),1))</f>
        <v/>
      </c>
      <c r="M1023" s="52">
        <f>IF(OR(A1023="",NOT(ISNUMBER(I1023))),"",IF(G1023=Lists!$B$5,I1023/2,IF(G1023=Lists!$B$6,I1023,0)))</f>
        <v/>
      </c>
      <c r="N1023" s="52">
        <f>IF(OR(A1023="",NOT(ISNUMBER(I1023))),"",IF(G1023=Lists!$B$5,I1023/2,IF(G1023=Lists!$B$7,I1023,0)))</f>
        <v/>
      </c>
      <c r="O1023" s="53">
        <f>IF(COUNTA(A1023:K1023)=0,"",IF(OR(A1023="",B1023="",C1023="",D1023="",E1023="",F1023="",G1023="",NOT(ISNUMBER(I1023))),"Incomplete",IF(COUNTIF(Lists!$H$4:$AA$4,C1023)=0,"Check category",IF(COUNTIF(INDEX(Lists!$H$6:$AA$45,0,MATCH(C1023,Lists!$H$4:$AA$4,0)),D1023)=0,"Check sub-category","OK"))))</f>
        <v/>
      </c>
      <c r="P1023">
        <f>IF(ISNUMBER(I1023),I1023+ROW()/10000000,"")</f>
        <v/>
      </c>
      <c r="Q1023">
        <f>IF(AND(ISNUMBER(P1023),ISNUMBER(A1023)),IF(AND(A1023&gt;=Dashboard!$Q$3,A1023&lt;=Dashboard!$Q$4,OR(J1023&lt;&gt;"Yes",Dashboard!$Q$15="Yes")),P1023,""),"")</f>
        <v/>
      </c>
    </row>
    <row r="1024">
      <c r="A1024" s="47" t="n"/>
      <c r="B1024" s="48" t="n"/>
      <c r="C1024" s="48" t="n"/>
      <c r="D1024" s="48" t="n"/>
      <c r="E1024" s="48" t="n"/>
      <c r="F1024" s="48" t="n"/>
      <c r="G1024" s="48" t="n"/>
      <c r="H1024" s="48" t="n"/>
      <c r="I1024" s="49" t="n"/>
      <c r="J1024" s="50" t="n"/>
      <c r="K1024" s="48" t="n"/>
      <c r="L1024" s="51">
        <f>IF(A1024="","",DATE(YEAR(A1024),MONTH(A1024),1))</f>
        <v/>
      </c>
      <c r="M1024" s="52">
        <f>IF(OR(A1024="",NOT(ISNUMBER(I1024))),"",IF(G1024=Lists!$B$5,I1024/2,IF(G1024=Lists!$B$6,I1024,0)))</f>
        <v/>
      </c>
      <c r="N1024" s="52">
        <f>IF(OR(A1024="",NOT(ISNUMBER(I1024))),"",IF(G1024=Lists!$B$5,I1024/2,IF(G1024=Lists!$B$7,I1024,0)))</f>
        <v/>
      </c>
      <c r="O1024" s="53">
        <f>IF(COUNTA(A1024:K1024)=0,"",IF(OR(A1024="",B1024="",C1024="",D1024="",E1024="",F1024="",G1024="",NOT(ISNUMBER(I1024))),"Incomplete",IF(COUNTIF(Lists!$H$4:$AA$4,C1024)=0,"Check category",IF(COUNTIF(INDEX(Lists!$H$6:$AA$45,0,MATCH(C1024,Lists!$H$4:$AA$4,0)),D1024)=0,"Check sub-category","OK"))))</f>
        <v/>
      </c>
      <c r="P1024">
        <f>IF(ISNUMBER(I1024),I1024+ROW()/10000000,"")</f>
        <v/>
      </c>
      <c r="Q1024">
        <f>IF(AND(ISNUMBER(P1024),ISNUMBER(A1024)),IF(AND(A1024&gt;=Dashboard!$Q$3,A1024&lt;=Dashboard!$Q$4,OR(J1024&lt;&gt;"Yes",Dashboard!$Q$15="Yes")),P1024,""),"")</f>
        <v/>
      </c>
    </row>
    <row r="1025">
      <c r="A1025" s="47" t="n"/>
      <c r="B1025" s="48" t="n"/>
      <c r="C1025" s="48" t="n"/>
      <c r="D1025" s="48" t="n"/>
      <c r="E1025" s="48" t="n"/>
      <c r="F1025" s="48" t="n"/>
      <c r="G1025" s="48" t="n"/>
      <c r="H1025" s="48" t="n"/>
      <c r="I1025" s="49" t="n"/>
      <c r="J1025" s="50" t="n"/>
      <c r="K1025" s="48" t="n"/>
      <c r="L1025" s="51">
        <f>IF(A1025="","",DATE(YEAR(A1025),MONTH(A1025),1))</f>
        <v/>
      </c>
      <c r="M1025" s="52">
        <f>IF(OR(A1025="",NOT(ISNUMBER(I1025))),"",IF(G1025=Lists!$B$5,I1025/2,IF(G1025=Lists!$B$6,I1025,0)))</f>
        <v/>
      </c>
      <c r="N1025" s="52">
        <f>IF(OR(A1025="",NOT(ISNUMBER(I1025))),"",IF(G1025=Lists!$B$5,I1025/2,IF(G1025=Lists!$B$7,I1025,0)))</f>
        <v/>
      </c>
      <c r="O1025" s="53">
        <f>IF(COUNTA(A1025:K1025)=0,"",IF(OR(A1025="",B1025="",C1025="",D1025="",E1025="",F1025="",G1025="",NOT(ISNUMBER(I1025))),"Incomplete",IF(COUNTIF(Lists!$H$4:$AA$4,C1025)=0,"Check category",IF(COUNTIF(INDEX(Lists!$H$6:$AA$45,0,MATCH(C1025,Lists!$H$4:$AA$4,0)),D1025)=0,"Check sub-category","OK"))))</f>
        <v/>
      </c>
      <c r="P1025">
        <f>IF(ISNUMBER(I1025),I1025+ROW()/10000000,"")</f>
        <v/>
      </c>
      <c r="Q1025">
        <f>IF(AND(ISNUMBER(P1025),ISNUMBER(A1025)),IF(AND(A1025&gt;=Dashboard!$Q$3,A1025&lt;=Dashboard!$Q$4,OR(J1025&lt;&gt;"Yes",Dashboard!$Q$15="Yes")),P1025,""),"")</f>
        <v/>
      </c>
    </row>
    <row r="1026">
      <c r="A1026" s="47" t="n"/>
      <c r="B1026" s="48" t="n"/>
      <c r="C1026" s="48" t="n"/>
      <c r="D1026" s="48" t="n"/>
      <c r="E1026" s="48" t="n"/>
      <c r="F1026" s="48" t="n"/>
      <c r="G1026" s="48" t="n"/>
      <c r="H1026" s="48" t="n"/>
      <c r="I1026" s="49" t="n"/>
      <c r="J1026" s="50" t="n"/>
      <c r="K1026" s="48" t="n"/>
      <c r="L1026" s="51">
        <f>IF(A1026="","",DATE(YEAR(A1026),MONTH(A1026),1))</f>
        <v/>
      </c>
      <c r="M1026" s="52">
        <f>IF(OR(A1026="",NOT(ISNUMBER(I1026))),"",IF(G1026=Lists!$B$5,I1026/2,IF(G1026=Lists!$B$6,I1026,0)))</f>
        <v/>
      </c>
      <c r="N1026" s="52">
        <f>IF(OR(A1026="",NOT(ISNUMBER(I1026))),"",IF(G1026=Lists!$B$5,I1026/2,IF(G1026=Lists!$B$7,I1026,0)))</f>
        <v/>
      </c>
      <c r="O1026" s="53">
        <f>IF(COUNTA(A1026:K1026)=0,"",IF(OR(A1026="",B1026="",C1026="",D1026="",E1026="",F1026="",G1026="",NOT(ISNUMBER(I1026))),"Incomplete",IF(COUNTIF(Lists!$H$4:$AA$4,C1026)=0,"Check category",IF(COUNTIF(INDEX(Lists!$H$6:$AA$45,0,MATCH(C1026,Lists!$H$4:$AA$4,0)),D1026)=0,"Check sub-category","OK"))))</f>
        <v/>
      </c>
      <c r="P1026">
        <f>IF(ISNUMBER(I1026),I1026+ROW()/10000000,"")</f>
        <v/>
      </c>
      <c r="Q1026">
        <f>IF(AND(ISNUMBER(P1026),ISNUMBER(A1026)),IF(AND(A1026&gt;=Dashboard!$Q$3,A1026&lt;=Dashboard!$Q$4,OR(J1026&lt;&gt;"Yes",Dashboard!$Q$15="Yes")),P1026,""),"")</f>
        <v/>
      </c>
    </row>
    <row r="1027">
      <c r="A1027" s="47" t="n"/>
      <c r="B1027" s="48" t="n"/>
      <c r="C1027" s="48" t="n"/>
      <c r="D1027" s="48" t="n"/>
      <c r="E1027" s="48" t="n"/>
      <c r="F1027" s="48" t="n"/>
      <c r="G1027" s="48" t="n"/>
      <c r="H1027" s="48" t="n"/>
      <c r="I1027" s="49" t="n"/>
      <c r="J1027" s="50" t="n"/>
      <c r="K1027" s="48" t="n"/>
      <c r="L1027" s="51">
        <f>IF(A1027="","",DATE(YEAR(A1027),MONTH(A1027),1))</f>
        <v/>
      </c>
      <c r="M1027" s="52">
        <f>IF(OR(A1027="",NOT(ISNUMBER(I1027))),"",IF(G1027=Lists!$B$5,I1027/2,IF(G1027=Lists!$B$6,I1027,0)))</f>
        <v/>
      </c>
      <c r="N1027" s="52">
        <f>IF(OR(A1027="",NOT(ISNUMBER(I1027))),"",IF(G1027=Lists!$B$5,I1027/2,IF(G1027=Lists!$B$7,I1027,0)))</f>
        <v/>
      </c>
      <c r="O1027" s="53">
        <f>IF(COUNTA(A1027:K1027)=0,"",IF(OR(A1027="",B1027="",C1027="",D1027="",E1027="",F1027="",G1027="",NOT(ISNUMBER(I1027))),"Incomplete",IF(COUNTIF(Lists!$H$4:$AA$4,C1027)=0,"Check category",IF(COUNTIF(INDEX(Lists!$H$6:$AA$45,0,MATCH(C1027,Lists!$H$4:$AA$4,0)),D1027)=0,"Check sub-category","OK"))))</f>
        <v/>
      </c>
      <c r="P1027">
        <f>IF(ISNUMBER(I1027),I1027+ROW()/10000000,"")</f>
        <v/>
      </c>
      <c r="Q1027">
        <f>IF(AND(ISNUMBER(P1027),ISNUMBER(A1027)),IF(AND(A1027&gt;=Dashboard!$Q$3,A1027&lt;=Dashboard!$Q$4,OR(J1027&lt;&gt;"Yes",Dashboard!$Q$15="Yes")),P1027,""),"")</f>
        <v/>
      </c>
    </row>
    <row r="1028">
      <c r="A1028" s="47" t="n"/>
      <c r="B1028" s="48" t="n"/>
      <c r="C1028" s="48" t="n"/>
      <c r="D1028" s="48" t="n"/>
      <c r="E1028" s="48" t="n"/>
      <c r="F1028" s="48" t="n"/>
      <c r="G1028" s="48" t="n"/>
      <c r="H1028" s="48" t="n"/>
      <c r="I1028" s="49" t="n"/>
      <c r="J1028" s="50" t="n"/>
      <c r="K1028" s="48" t="n"/>
      <c r="L1028" s="51">
        <f>IF(A1028="","",DATE(YEAR(A1028),MONTH(A1028),1))</f>
        <v/>
      </c>
      <c r="M1028" s="52">
        <f>IF(OR(A1028="",NOT(ISNUMBER(I1028))),"",IF(G1028=Lists!$B$5,I1028/2,IF(G1028=Lists!$B$6,I1028,0)))</f>
        <v/>
      </c>
      <c r="N1028" s="52">
        <f>IF(OR(A1028="",NOT(ISNUMBER(I1028))),"",IF(G1028=Lists!$B$5,I1028/2,IF(G1028=Lists!$B$7,I1028,0)))</f>
        <v/>
      </c>
      <c r="O1028" s="53">
        <f>IF(COUNTA(A1028:K1028)=0,"",IF(OR(A1028="",B1028="",C1028="",D1028="",E1028="",F1028="",G1028="",NOT(ISNUMBER(I1028))),"Incomplete",IF(COUNTIF(Lists!$H$4:$AA$4,C1028)=0,"Check category",IF(COUNTIF(INDEX(Lists!$H$6:$AA$45,0,MATCH(C1028,Lists!$H$4:$AA$4,0)),D1028)=0,"Check sub-category","OK"))))</f>
        <v/>
      </c>
      <c r="P1028">
        <f>IF(ISNUMBER(I1028),I1028+ROW()/10000000,"")</f>
        <v/>
      </c>
      <c r="Q1028">
        <f>IF(AND(ISNUMBER(P1028),ISNUMBER(A1028)),IF(AND(A1028&gt;=Dashboard!$Q$3,A1028&lt;=Dashboard!$Q$4,OR(J1028&lt;&gt;"Yes",Dashboard!$Q$15="Yes")),P1028,""),"")</f>
        <v/>
      </c>
    </row>
    <row r="1029">
      <c r="A1029" s="47" t="n"/>
      <c r="B1029" s="48" t="n"/>
      <c r="C1029" s="48" t="n"/>
      <c r="D1029" s="48" t="n"/>
      <c r="E1029" s="48" t="n"/>
      <c r="F1029" s="48" t="n"/>
      <c r="G1029" s="48" t="n"/>
      <c r="H1029" s="48" t="n"/>
      <c r="I1029" s="49" t="n"/>
      <c r="J1029" s="50" t="n"/>
      <c r="K1029" s="48" t="n"/>
      <c r="L1029" s="51">
        <f>IF(A1029="","",DATE(YEAR(A1029),MONTH(A1029),1))</f>
        <v/>
      </c>
      <c r="M1029" s="52">
        <f>IF(OR(A1029="",NOT(ISNUMBER(I1029))),"",IF(G1029=Lists!$B$5,I1029/2,IF(G1029=Lists!$B$6,I1029,0)))</f>
        <v/>
      </c>
      <c r="N1029" s="52">
        <f>IF(OR(A1029="",NOT(ISNUMBER(I1029))),"",IF(G1029=Lists!$B$5,I1029/2,IF(G1029=Lists!$B$7,I1029,0)))</f>
        <v/>
      </c>
      <c r="O1029" s="53">
        <f>IF(COUNTA(A1029:K1029)=0,"",IF(OR(A1029="",B1029="",C1029="",D1029="",E1029="",F1029="",G1029="",NOT(ISNUMBER(I1029))),"Incomplete",IF(COUNTIF(Lists!$H$4:$AA$4,C1029)=0,"Check category",IF(COUNTIF(INDEX(Lists!$H$6:$AA$45,0,MATCH(C1029,Lists!$H$4:$AA$4,0)),D1029)=0,"Check sub-category","OK"))))</f>
        <v/>
      </c>
      <c r="P1029">
        <f>IF(ISNUMBER(I1029),I1029+ROW()/10000000,"")</f>
        <v/>
      </c>
      <c r="Q1029">
        <f>IF(AND(ISNUMBER(P1029),ISNUMBER(A1029)),IF(AND(A1029&gt;=Dashboard!$Q$3,A1029&lt;=Dashboard!$Q$4,OR(J1029&lt;&gt;"Yes",Dashboard!$Q$15="Yes")),P1029,""),"")</f>
        <v/>
      </c>
    </row>
    <row r="1030">
      <c r="A1030" s="47" t="n"/>
      <c r="B1030" s="48" t="n"/>
      <c r="C1030" s="48" t="n"/>
      <c r="D1030" s="48" t="n"/>
      <c r="E1030" s="48" t="n"/>
      <c r="F1030" s="48" t="n"/>
      <c r="G1030" s="48" t="n"/>
      <c r="H1030" s="48" t="n"/>
      <c r="I1030" s="49" t="n"/>
      <c r="J1030" s="50" t="n"/>
      <c r="K1030" s="48" t="n"/>
      <c r="L1030" s="51">
        <f>IF(A1030="","",DATE(YEAR(A1030),MONTH(A1030),1))</f>
        <v/>
      </c>
      <c r="M1030" s="52">
        <f>IF(OR(A1030="",NOT(ISNUMBER(I1030))),"",IF(G1030=Lists!$B$5,I1030/2,IF(G1030=Lists!$B$6,I1030,0)))</f>
        <v/>
      </c>
      <c r="N1030" s="52">
        <f>IF(OR(A1030="",NOT(ISNUMBER(I1030))),"",IF(G1030=Lists!$B$5,I1030/2,IF(G1030=Lists!$B$7,I1030,0)))</f>
        <v/>
      </c>
      <c r="O1030" s="53">
        <f>IF(COUNTA(A1030:K1030)=0,"",IF(OR(A1030="",B1030="",C1030="",D1030="",E1030="",F1030="",G1030="",NOT(ISNUMBER(I1030))),"Incomplete",IF(COUNTIF(Lists!$H$4:$AA$4,C1030)=0,"Check category",IF(COUNTIF(INDEX(Lists!$H$6:$AA$45,0,MATCH(C1030,Lists!$H$4:$AA$4,0)),D1030)=0,"Check sub-category","OK"))))</f>
        <v/>
      </c>
      <c r="P1030">
        <f>IF(ISNUMBER(I1030),I1030+ROW()/10000000,"")</f>
        <v/>
      </c>
      <c r="Q1030">
        <f>IF(AND(ISNUMBER(P1030),ISNUMBER(A1030)),IF(AND(A1030&gt;=Dashboard!$Q$3,A1030&lt;=Dashboard!$Q$4,OR(J1030&lt;&gt;"Yes",Dashboard!$Q$15="Yes")),P1030,""),"")</f>
        <v/>
      </c>
    </row>
    <row r="1031">
      <c r="A1031" s="47" t="n"/>
      <c r="B1031" s="48" t="n"/>
      <c r="C1031" s="48" t="n"/>
      <c r="D1031" s="48" t="n"/>
      <c r="E1031" s="48" t="n"/>
      <c r="F1031" s="48" t="n"/>
      <c r="G1031" s="48" t="n"/>
      <c r="H1031" s="48" t="n"/>
      <c r="I1031" s="49" t="n"/>
      <c r="J1031" s="50" t="n"/>
      <c r="K1031" s="48" t="n"/>
      <c r="L1031" s="51">
        <f>IF(A1031="","",DATE(YEAR(A1031),MONTH(A1031),1))</f>
        <v/>
      </c>
      <c r="M1031" s="52">
        <f>IF(OR(A1031="",NOT(ISNUMBER(I1031))),"",IF(G1031=Lists!$B$5,I1031/2,IF(G1031=Lists!$B$6,I1031,0)))</f>
        <v/>
      </c>
      <c r="N1031" s="52">
        <f>IF(OR(A1031="",NOT(ISNUMBER(I1031))),"",IF(G1031=Lists!$B$5,I1031/2,IF(G1031=Lists!$B$7,I1031,0)))</f>
        <v/>
      </c>
      <c r="O1031" s="53">
        <f>IF(COUNTA(A1031:K1031)=0,"",IF(OR(A1031="",B1031="",C1031="",D1031="",E1031="",F1031="",G1031="",NOT(ISNUMBER(I1031))),"Incomplete",IF(COUNTIF(Lists!$H$4:$AA$4,C1031)=0,"Check category",IF(COUNTIF(INDEX(Lists!$H$6:$AA$45,0,MATCH(C1031,Lists!$H$4:$AA$4,0)),D1031)=0,"Check sub-category","OK"))))</f>
        <v/>
      </c>
      <c r="P1031">
        <f>IF(ISNUMBER(I1031),I1031+ROW()/10000000,"")</f>
        <v/>
      </c>
      <c r="Q1031">
        <f>IF(AND(ISNUMBER(P1031),ISNUMBER(A1031)),IF(AND(A1031&gt;=Dashboard!$Q$3,A1031&lt;=Dashboard!$Q$4,OR(J1031&lt;&gt;"Yes",Dashboard!$Q$15="Yes")),P1031,""),"")</f>
        <v/>
      </c>
    </row>
    <row r="1032">
      <c r="A1032" s="47" t="n"/>
      <c r="B1032" s="48" t="n"/>
      <c r="C1032" s="48" t="n"/>
      <c r="D1032" s="48" t="n"/>
      <c r="E1032" s="48" t="n"/>
      <c r="F1032" s="48" t="n"/>
      <c r="G1032" s="48" t="n"/>
      <c r="H1032" s="48" t="n"/>
      <c r="I1032" s="49" t="n"/>
      <c r="J1032" s="50" t="n"/>
      <c r="K1032" s="48" t="n"/>
      <c r="L1032" s="51">
        <f>IF(A1032="","",DATE(YEAR(A1032),MONTH(A1032),1))</f>
        <v/>
      </c>
      <c r="M1032" s="52">
        <f>IF(OR(A1032="",NOT(ISNUMBER(I1032))),"",IF(G1032=Lists!$B$5,I1032/2,IF(G1032=Lists!$B$6,I1032,0)))</f>
        <v/>
      </c>
      <c r="N1032" s="52">
        <f>IF(OR(A1032="",NOT(ISNUMBER(I1032))),"",IF(G1032=Lists!$B$5,I1032/2,IF(G1032=Lists!$B$7,I1032,0)))</f>
        <v/>
      </c>
      <c r="O1032" s="53">
        <f>IF(COUNTA(A1032:K1032)=0,"",IF(OR(A1032="",B1032="",C1032="",D1032="",E1032="",F1032="",G1032="",NOT(ISNUMBER(I1032))),"Incomplete",IF(COUNTIF(Lists!$H$4:$AA$4,C1032)=0,"Check category",IF(COUNTIF(INDEX(Lists!$H$6:$AA$45,0,MATCH(C1032,Lists!$H$4:$AA$4,0)),D1032)=0,"Check sub-category","OK"))))</f>
        <v/>
      </c>
      <c r="P1032">
        <f>IF(ISNUMBER(I1032),I1032+ROW()/10000000,"")</f>
        <v/>
      </c>
      <c r="Q1032">
        <f>IF(AND(ISNUMBER(P1032),ISNUMBER(A1032)),IF(AND(A1032&gt;=Dashboard!$Q$3,A1032&lt;=Dashboard!$Q$4,OR(J1032&lt;&gt;"Yes",Dashboard!$Q$15="Yes")),P1032,""),"")</f>
        <v/>
      </c>
    </row>
    <row r="1033">
      <c r="A1033" s="47" t="n"/>
      <c r="B1033" s="48" t="n"/>
      <c r="C1033" s="48" t="n"/>
      <c r="D1033" s="48" t="n"/>
      <c r="E1033" s="48" t="n"/>
      <c r="F1033" s="48" t="n"/>
      <c r="G1033" s="48" t="n"/>
      <c r="H1033" s="48" t="n"/>
      <c r="I1033" s="49" t="n"/>
      <c r="J1033" s="50" t="n"/>
      <c r="K1033" s="48" t="n"/>
      <c r="L1033" s="51">
        <f>IF(A1033="","",DATE(YEAR(A1033),MONTH(A1033),1))</f>
        <v/>
      </c>
      <c r="M1033" s="52">
        <f>IF(OR(A1033="",NOT(ISNUMBER(I1033))),"",IF(G1033=Lists!$B$5,I1033/2,IF(G1033=Lists!$B$6,I1033,0)))</f>
        <v/>
      </c>
      <c r="N1033" s="52">
        <f>IF(OR(A1033="",NOT(ISNUMBER(I1033))),"",IF(G1033=Lists!$B$5,I1033/2,IF(G1033=Lists!$B$7,I1033,0)))</f>
        <v/>
      </c>
      <c r="O1033" s="53">
        <f>IF(COUNTA(A1033:K1033)=0,"",IF(OR(A1033="",B1033="",C1033="",D1033="",E1033="",F1033="",G1033="",NOT(ISNUMBER(I1033))),"Incomplete",IF(COUNTIF(Lists!$H$4:$AA$4,C1033)=0,"Check category",IF(COUNTIF(INDEX(Lists!$H$6:$AA$45,0,MATCH(C1033,Lists!$H$4:$AA$4,0)),D1033)=0,"Check sub-category","OK"))))</f>
        <v/>
      </c>
      <c r="P1033">
        <f>IF(ISNUMBER(I1033),I1033+ROW()/10000000,"")</f>
        <v/>
      </c>
      <c r="Q1033">
        <f>IF(AND(ISNUMBER(P1033),ISNUMBER(A1033)),IF(AND(A1033&gt;=Dashboard!$Q$3,A1033&lt;=Dashboard!$Q$4,OR(J1033&lt;&gt;"Yes",Dashboard!$Q$15="Yes")),P1033,""),"")</f>
        <v/>
      </c>
    </row>
    <row r="1034">
      <c r="A1034" s="47" t="n"/>
      <c r="B1034" s="48" t="n"/>
      <c r="C1034" s="48" t="n"/>
      <c r="D1034" s="48" t="n"/>
      <c r="E1034" s="48" t="n"/>
      <c r="F1034" s="48" t="n"/>
      <c r="G1034" s="48" t="n"/>
      <c r="H1034" s="48" t="n"/>
      <c r="I1034" s="49" t="n"/>
      <c r="J1034" s="50" t="n"/>
      <c r="K1034" s="48" t="n"/>
      <c r="L1034" s="51">
        <f>IF(A1034="","",DATE(YEAR(A1034),MONTH(A1034),1))</f>
        <v/>
      </c>
      <c r="M1034" s="52">
        <f>IF(OR(A1034="",NOT(ISNUMBER(I1034))),"",IF(G1034=Lists!$B$5,I1034/2,IF(G1034=Lists!$B$6,I1034,0)))</f>
        <v/>
      </c>
      <c r="N1034" s="52">
        <f>IF(OR(A1034="",NOT(ISNUMBER(I1034))),"",IF(G1034=Lists!$B$5,I1034/2,IF(G1034=Lists!$B$7,I1034,0)))</f>
        <v/>
      </c>
      <c r="O1034" s="53">
        <f>IF(COUNTA(A1034:K1034)=0,"",IF(OR(A1034="",B1034="",C1034="",D1034="",E1034="",F1034="",G1034="",NOT(ISNUMBER(I1034))),"Incomplete",IF(COUNTIF(Lists!$H$4:$AA$4,C1034)=0,"Check category",IF(COUNTIF(INDEX(Lists!$H$6:$AA$45,0,MATCH(C1034,Lists!$H$4:$AA$4,0)),D1034)=0,"Check sub-category","OK"))))</f>
        <v/>
      </c>
      <c r="P1034">
        <f>IF(ISNUMBER(I1034),I1034+ROW()/10000000,"")</f>
        <v/>
      </c>
      <c r="Q1034">
        <f>IF(AND(ISNUMBER(P1034),ISNUMBER(A1034)),IF(AND(A1034&gt;=Dashboard!$Q$3,A1034&lt;=Dashboard!$Q$4,OR(J1034&lt;&gt;"Yes",Dashboard!$Q$15="Yes")),P1034,""),"")</f>
        <v/>
      </c>
    </row>
    <row r="1035">
      <c r="A1035" s="47" t="n"/>
      <c r="B1035" s="48" t="n"/>
      <c r="C1035" s="48" t="n"/>
      <c r="D1035" s="48" t="n"/>
      <c r="E1035" s="48" t="n"/>
      <c r="F1035" s="48" t="n"/>
      <c r="G1035" s="48" t="n"/>
      <c r="H1035" s="48" t="n"/>
      <c r="I1035" s="49" t="n"/>
      <c r="J1035" s="50" t="n"/>
      <c r="K1035" s="48" t="n"/>
      <c r="L1035" s="51">
        <f>IF(A1035="","",DATE(YEAR(A1035),MONTH(A1035),1))</f>
        <v/>
      </c>
      <c r="M1035" s="52">
        <f>IF(OR(A1035="",NOT(ISNUMBER(I1035))),"",IF(G1035=Lists!$B$5,I1035/2,IF(G1035=Lists!$B$6,I1035,0)))</f>
        <v/>
      </c>
      <c r="N1035" s="52">
        <f>IF(OR(A1035="",NOT(ISNUMBER(I1035))),"",IF(G1035=Lists!$B$5,I1035/2,IF(G1035=Lists!$B$7,I1035,0)))</f>
        <v/>
      </c>
      <c r="O1035" s="53">
        <f>IF(COUNTA(A1035:K1035)=0,"",IF(OR(A1035="",B1035="",C1035="",D1035="",E1035="",F1035="",G1035="",NOT(ISNUMBER(I1035))),"Incomplete",IF(COUNTIF(Lists!$H$4:$AA$4,C1035)=0,"Check category",IF(COUNTIF(INDEX(Lists!$H$6:$AA$45,0,MATCH(C1035,Lists!$H$4:$AA$4,0)),D1035)=0,"Check sub-category","OK"))))</f>
        <v/>
      </c>
      <c r="P1035">
        <f>IF(ISNUMBER(I1035),I1035+ROW()/10000000,"")</f>
        <v/>
      </c>
      <c r="Q1035">
        <f>IF(AND(ISNUMBER(P1035),ISNUMBER(A1035)),IF(AND(A1035&gt;=Dashboard!$Q$3,A1035&lt;=Dashboard!$Q$4,OR(J1035&lt;&gt;"Yes",Dashboard!$Q$15="Yes")),P1035,""),"")</f>
        <v/>
      </c>
    </row>
    <row r="1036">
      <c r="A1036" s="47" t="n"/>
      <c r="B1036" s="48" t="n"/>
      <c r="C1036" s="48" t="n"/>
      <c r="D1036" s="48" t="n"/>
      <c r="E1036" s="48" t="n"/>
      <c r="F1036" s="48" t="n"/>
      <c r="G1036" s="48" t="n"/>
      <c r="H1036" s="48" t="n"/>
      <c r="I1036" s="49" t="n"/>
      <c r="J1036" s="50" t="n"/>
      <c r="K1036" s="48" t="n"/>
      <c r="L1036" s="51">
        <f>IF(A1036="","",DATE(YEAR(A1036),MONTH(A1036),1))</f>
        <v/>
      </c>
      <c r="M1036" s="52">
        <f>IF(OR(A1036="",NOT(ISNUMBER(I1036))),"",IF(G1036=Lists!$B$5,I1036/2,IF(G1036=Lists!$B$6,I1036,0)))</f>
        <v/>
      </c>
      <c r="N1036" s="52">
        <f>IF(OR(A1036="",NOT(ISNUMBER(I1036))),"",IF(G1036=Lists!$B$5,I1036/2,IF(G1036=Lists!$B$7,I1036,0)))</f>
        <v/>
      </c>
      <c r="O1036" s="53">
        <f>IF(COUNTA(A1036:K1036)=0,"",IF(OR(A1036="",B1036="",C1036="",D1036="",E1036="",F1036="",G1036="",NOT(ISNUMBER(I1036))),"Incomplete",IF(COUNTIF(Lists!$H$4:$AA$4,C1036)=0,"Check category",IF(COUNTIF(INDEX(Lists!$H$6:$AA$45,0,MATCH(C1036,Lists!$H$4:$AA$4,0)),D1036)=0,"Check sub-category","OK"))))</f>
        <v/>
      </c>
      <c r="P1036">
        <f>IF(ISNUMBER(I1036),I1036+ROW()/10000000,"")</f>
        <v/>
      </c>
      <c r="Q1036">
        <f>IF(AND(ISNUMBER(P1036),ISNUMBER(A1036)),IF(AND(A1036&gt;=Dashboard!$Q$3,A1036&lt;=Dashboard!$Q$4,OR(J1036&lt;&gt;"Yes",Dashboard!$Q$15="Yes")),P1036,""),"")</f>
        <v/>
      </c>
    </row>
    <row r="1037">
      <c r="A1037" s="47" t="n"/>
      <c r="B1037" s="48" t="n"/>
      <c r="C1037" s="48" t="n"/>
      <c r="D1037" s="48" t="n"/>
      <c r="E1037" s="48" t="n"/>
      <c r="F1037" s="48" t="n"/>
      <c r="G1037" s="48" t="n"/>
      <c r="H1037" s="48" t="n"/>
      <c r="I1037" s="49" t="n"/>
      <c r="J1037" s="50" t="n"/>
      <c r="K1037" s="48" t="n"/>
      <c r="L1037" s="51">
        <f>IF(A1037="","",DATE(YEAR(A1037),MONTH(A1037),1))</f>
        <v/>
      </c>
      <c r="M1037" s="52">
        <f>IF(OR(A1037="",NOT(ISNUMBER(I1037))),"",IF(G1037=Lists!$B$5,I1037/2,IF(G1037=Lists!$B$6,I1037,0)))</f>
        <v/>
      </c>
      <c r="N1037" s="52">
        <f>IF(OR(A1037="",NOT(ISNUMBER(I1037))),"",IF(G1037=Lists!$B$5,I1037/2,IF(G1037=Lists!$B$7,I1037,0)))</f>
        <v/>
      </c>
      <c r="O1037" s="53">
        <f>IF(COUNTA(A1037:K1037)=0,"",IF(OR(A1037="",B1037="",C1037="",D1037="",E1037="",F1037="",G1037="",NOT(ISNUMBER(I1037))),"Incomplete",IF(COUNTIF(Lists!$H$4:$AA$4,C1037)=0,"Check category",IF(COUNTIF(INDEX(Lists!$H$6:$AA$45,0,MATCH(C1037,Lists!$H$4:$AA$4,0)),D1037)=0,"Check sub-category","OK"))))</f>
        <v/>
      </c>
      <c r="P1037">
        <f>IF(ISNUMBER(I1037),I1037+ROW()/10000000,"")</f>
        <v/>
      </c>
      <c r="Q1037">
        <f>IF(AND(ISNUMBER(P1037),ISNUMBER(A1037)),IF(AND(A1037&gt;=Dashboard!$Q$3,A1037&lt;=Dashboard!$Q$4,OR(J1037&lt;&gt;"Yes",Dashboard!$Q$15="Yes")),P1037,""),"")</f>
        <v/>
      </c>
    </row>
    <row r="1038">
      <c r="A1038" s="47" t="n"/>
      <c r="B1038" s="48" t="n"/>
      <c r="C1038" s="48" t="n"/>
      <c r="D1038" s="48" t="n"/>
      <c r="E1038" s="48" t="n"/>
      <c r="F1038" s="48" t="n"/>
      <c r="G1038" s="48" t="n"/>
      <c r="H1038" s="48" t="n"/>
      <c r="I1038" s="49" t="n"/>
      <c r="J1038" s="50" t="n"/>
      <c r="K1038" s="48" t="n"/>
      <c r="L1038" s="51">
        <f>IF(A1038="","",DATE(YEAR(A1038),MONTH(A1038),1))</f>
        <v/>
      </c>
      <c r="M1038" s="52">
        <f>IF(OR(A1038="",NOT(ISNUMBER(I1038))),"",IF(G1038=Lists!$B$5,I1038/2,IF(G1038=Lists!$B$6,I1038,0)))</f>
        <v/>
      </c>
      <c r="N1038" s="52">
        <f>IF(OR(A1038="",NOT(ISNUMBER(I1038))),"",IF(G1038=Lists!$B$5,I1038/2,IF(G1038=Lists!$B$7,I1038,0)))</f>
        <v/>
      </c>
      <c r="O1038" s="53">
        <f>IF(COUNTA(A1038:K1038)=0,"",IF(OR(A1038="",B1038="",C1038="",D1038="",E1038="",F1038="",G1038="",NOT(ISNUMBER(I1038))),"Incomplete",IF(COUNTIF(Lists!$H$4:$AA$4,C1038)=0,"Check category",IF(COUNTIF(INDEX(Lists!$H$6:$AA$45,0,MATCH(C1038,Lists!$H$4:$AA$4,0)),D1038)=0,"Check sub-category","OK"))))</f>
        <v/>
      </c>
      <c r="P1038">
        <f>IF(ISNUMBER(I1038),I1038+ROW()/10000000,"")</f>
        <v/>
      </c>
      <c r="Q1038">
        <f>IF(AND(ISNUMBER(P1038),ISNUMBER(A1038)),IF(AND(A1038&gt;=Dashboard!$Q$3,A1038&lt;=Dashboard!$Q$4,OR(J1038&lt;&gt;"Yes",Dashboard!$Q$15="Yes")),P1038,""),"")</f>
        <v/>
      </c>
    </row>
    <row r="1039">
      <c r="A1039" s="47" t="n"/>
      <c r="B1039" s="48" t="n"/>
      <c r="C1039" s="48" t="n"/>
      <c r="D1039" s="48" t="n"/>
      <c r="E1039" s="48" t="n"/>
      <c r="F1039" s="48" t="n"/>
      <c r="G1039" s="48" t="n"/>
      <c r="H1039" s="48" t="n"/>
      <c r="I1039" s="49" t="n"/>
      <c r="J1039" s="50" t="n"/>
      <c r="K1039" s="48" t="n"/>
      <c r="L1039" s="51">
        <f>IF(A1039="","",DATE(YEAR(A1039),MONTH(A1039),1))</f>
        <v/>
      </c>
      <c r="M1039" s="52">
        <f>IF(OR(A1039="",NOT(ISNUMBER(I1039))),"",IF(G1039=Lists!$B$5,I1039/2,IF(G1039=Lists!$B$6,I1039,0)))</f>
        <v/>
      </c>
      <c r="N1039" s="52">
        <f>IF(OR(A1039="",NOT(ISNUMBER(I1039))),"",IF(G1039=Lists!$B$5,I1039/2,IF(G1039=Lists!$B$7,I1039,0)))</f>
        <v/>
      </c>
      <c r="O1039" s="53">
        <f>IF(COUNTA(A1039:K1039)=0,"",IF(OR(A1039="",B1039="",C1039="",D1039="",E1039="",F1039="",G1039="",NOT(ISNUMBER(I1039))),"Incomplete",IF(COUNTIF(Lists!$H$4:$AA$4,C1039)=0,"Check category",IF(COUNTIF(INDEX(Lists!$H$6:$AA$45,0,MATCH(C1039,Lists!$H$4:$AA$4,0)),D1039)=0,"Check sub-category","OK"))))</f>
        <v/>
      </c>
      <c r="P1039">
        <f>IF(ISNUMBER(I1039),I1039+ROW()/10000000,"")</f>
        <v/>
      </c>
      <c r="Q1039">
        <f>IF(AND(ISNUMBER(P1039),ISNUMBER(A1039)),IF(AND(A1039&gt;=Dashboard!$Q$3,A1039&lt;=Dashboard!$Q$4,OR(J1039&lt;&gt;"Yes",Dashboard!$Q$15="Yes")),P1039,""),"")</f>
        <v/>
      </c>
    </row>
    <row r="1040">
      <c r="A1040" s="47" t="n"/>
      <c r="B1040" s="48" t="n"/>
      <c r="C1040" s="48" t="n"/>
      <c r="D1040" s="48" t="n"/>
      <c r="E1040" s="48" t="n"/>
      <c r="F1040" s="48" t="n"/>
      <c r="G1040" s="48" t="n"/>
      <c r="H1040" s="48" t="n"/>
      <c r="I1040" s="49" t="n"/>
      <c r="J1040" s="50" t="n"/>
      <c r="K1040" s="48" t="n"/>
      <c r="L1040" s="51">
        <f>IF(A1040="","",DATE(YEAR(A1040),MONTH(A1040),1))</f>
        <v/>
      </c>
      <c r="M1040" s="52">
        <f>IF(OR(A1040="",NOT(ISNUMBER(I1040))),"",IF(G1040=Lists!$B$5,I1040/2,IF(G1040=Lists!$B$6,I1040,0)))</f>
        <v/>
      </c>
      <c r="N1040" s="52">
        <f>IF(OR(A1040="",NOT(ISNUMBER(I1040))),"",IF(G1040=Lists!$B$5,I1040/2,IF(G1040=Lists!$B$7,I1040,0)))</f>
        <v/>
      </c>
      <c r="O1040" s="53">
        <f>IF(COUNTA(A1040:K1040)=0,"",IF(OR(A1040="",B1040="",C1040="",D1040="",E1040="",F1040="",G1040="",NOT(ISNUMBER(I1040))),"Incomplete",IF(COUNTIF(Lists!$H$4:$AA$4,C1040)=0,"Check category",IF(COUNTIF(INDEX(Lists!$H$6:$AA$45,0,MATCH(C1040,Lists!$H$4:$AA$4,0)),D1040)=0,"Check sub-category","OK"))))</f>
        <v/>
      </c>
      <c r="P1040">
        <f>IF(ISNUMBER(I1040),I1040+ROW()/10000000,"")</f>
        <v/>
      </c>
      <c r="Q1040">
        <f>IF(AND(ISNUMBER(P1040),ISNUMBER(A1040)),IF(AND(A1040&gt;=Dashboard!$Q$3,A1040&lt;=Dashboard!$Q$4,OR(J1040&lt;&gt;"Yes",Dashboard!$Q$15="Yes")),P1040,""),"")</f>
        <v/>
      </c>
    </row>
    <row r="1041">
      <c r="A1041" s="47" t="n"/>
      <c r="B1041" s="48" t="n"/>
      <c r="C1041" s="48" t="n"/>
      <c r="D1041" s="48" t="n"/>
      <c r="E1041" s="48" t="n"/>
      <c r="F1041" s="48" t="n"/>
      <c r="G1041" s="48" t="n"/>
      <c r="H1041" s="48" t="n"/>
      <c r="I1041" s="49" t="n"/>
      <c r="J1041" s="50" t="n"/>
      <c r="K1041" s="48" t="n"/>
      <c r="L1041" s="51">
        <f>IF(A1041="","",DATE(YEAR(A1041),MONTH(A1041),1))</f>
        <v/>
      </c>
      <c r="M1041" s="52">
        <f>IF(OR(A1041="",NOT(ISNUMBER(I1041))),"",IF(G1041=Lists!$B$5,I1041/2,IF(G1041=Lists!$B$6,I1041,0)))</f>
        <v/>
      </c>
      <c r="N1041" s="52">
        <f>IF(OR(A1041="",NOT(ISNUMBER(I1041))),"",IF(G1041=Lists!$B$5,I1041/2,IF(G1041=Lists!$B$7,I1041,0)))</f>
        <v/>
      </c>
      <c r="O1041" s="53">
        <f>IF(COUNTA(A1041:K1041)=0,"",IF(OR(A1041="",B1041="",C1041="",D1041="",E1041="",F1041="",G1041="",NOT(ISNUMBER(I1041))),"Incomplete",IF(COUNTIF(Lists!$H$4:$AA$4,C1041)=0,"Check category",IF(COUNTIF(INDEX(Lists!$H$6:$AA$45,0,MATCH(C1041,Lists!$H$4:$AA$4,0)),D1041)=0,"Check sub-category","OK"))))</f>
        <v/>
      </c>
      <c r="P1041">
        <f>IF(ISNUMBER(I1041),I1041+ROW()/10000000,"")</f>
        <v/>
      </c>
      <c r="Q1041">
        <f>IF(AND(ISNUMBER(P1041),ISNUMBER(A1041)),IF(AND(A1041&gt;=Dashboard!$Q$3,A1041&lt;=Dashboard!$Q$4,OR(J1041&lt;&gt;"Yes",Dashboard!$Q$15="Yes")),P1041,""),"")</f>
        <v/>
      </c>
    </row>
    <row r="1042">
      <c r="A1042" s="47" t="n"/>
      <c r="B1042" s="48" t="n"/>
      <c r="C1042" s="48" t="n"/>
      <c r="D1042" s="48" t="n"/>
      <c r="E1042" s="48" t="n"/>
      <c r="F1042" s="48" t="n"/>
      <c r="G1042" s="48" t="n"/>
      <c r="H1042" s="48" t="n"/>
      <c r="I1042" s="49" t="n"/>
      <c r="J1042" s="50" t="n"/>
      <c r="K1042" s="48" t="n"/>
      <c r="L1042" s="51">
        <f>IF(A1042="","",DATE(YEAR(A1042),MONTH(A1042),1))</f>
        <v/>
      </c>
      <c r="M1042" s="52">
        <f>IF(OR(A1042="",NOT(ISNUMBER(I1042))),"",IF(G1042=Lists!$B$5,I1042/2,IF(G1042=Lists!$B$6,I1042,0)))</f>
        <v/>
      </c>
      <c r="N1042" s="52">
        <f>IF(OR(A1042="",NOT(ISNUMBER(I1042))),"",IF(G1042=Lists!$B$5,I1042/2,IF(G1042=Lists!$B$7,I1042,0)))</f>
        <v/>
      </c>
      <c r="O1042" s="53">
        <f>IF(COUNTA(A1042:K1042)=0,"",IF(OR(A1042="",B1042="",C1042="",D1042="",E1042="",F1042="",G1042="",NOT(ISNUMBER(I1042))),"Incomplete",IF(COUNTIF(Lists!$H$4:$AA$4,C1042)=0,"Check category",IF(COUNTIF(INDEX(Lists!$H$6:$AA$45,0,MATCH(C1042,Lists!$H$4:$AA$4,0)),D1042)=0,"Check sub-category","OK"))))</f>
        <v/>
      </c>
      <c r="P1042">
        <f>IF(ISNUMBER(I1042),I1042+ROW()/10000000,"")</f>
        <v/>
      </c>
      <c r="Q1042">
        <f>IF(AND(ISNUMBER(P1042),ISNUMBER(A1042)),IF(AND(A1042&gt;=Dashboard!$Q$3,A1042&lt;=Dashboard!$Q$4,OR(J1042&lt;&gt;"Yes",Dashboard!$Q$15="Yes")),P1042,""),"")</f>
        <v/>
      </c>
    </row>
    <row r="1043">
      <c r="A1043" s="47" t="n"/>
      <c r="B1043" s="48" t="n"/>
      <c r="C1043" s="48" t="n"/>
      <c r="D1043" s="48" t="n"/>
      <c r="E1043" s="48" t="n"/>
      <c r="F1043" s="48" t="n"/>
      <c r="G1043" s="48" t="n"/>
      <c r="H1043" s="48" t="n"/>
      <c r="I1043" s="49" t="n"/>
      <c r="J1043" s="50" t="n"/>
      <c r="K1043" s="48" t="n"/>
      <c r="L1043" s="51">
        <f>IF(A1043="","",DATE(YEAR(A1043),MONTH(A1043),1))</f>
        <v/>
      </c>
      <c r="M1043" s="52">
        <f>IF(OR(A1043="",NOT(ISNUMBER(I1043))),"",IF(G1043=Lists!$B$5,I1043/2,IF(G1043=Lists!$B$6,I1043,0)))</f>
        <v/>
      </c>
      <c r="N1043" s="52">
        <f>IF(OR(A1043="",NOT(ISNUMBER(I1043))),"",IF(G1043=Lists!$B$5,I1043/2,IF(G1043=Lists!$B$7,I1043,0)))</f>
        <v/>
      </c>
      <c r="O1043" s="53">
        <f>IF(COUNTA(A1043:K1043)=0,"",IF(OR(A1043="",B1043="",C1043="",D1043="",E1043="",F1043="",G1043="",NOT(ISNUMBER(I1043))),"Incomplete",IF(COUNTIF(Lists!$H$4:$AA$4,C1043)=0,"Check category",IF(COUNTIF(INDEX(Lists!$H$6:$AA$45,0,MATCH(C1043,Lists!$H$4:$AA$4,0)),D1043)=0,"Check sub-category","OK"))))</f>
        <v/>
      </c>
      <c r="P1043">
        <f>IF(ISNUMBER(I1043),I1043+ROW()/10000000,"")</f>
        <v/>
      </c>
      <c r="Q1043">
        <f>IF(AND(ISNUMBER(P1043),ISNUMBER(A1043)),IF(AND(A1043&gt;=Dashboard!$Q$3,A1043&lt;=Dashboard!$Q$4,OR(J1043&lt;&gt;"Yes",Dashboard!$Q$15="Yes")),P1043,""),"")</f>
        <v/>
      </c>
    </row>
    <row r="1044">
      <c r="A1044" s="47" t="n"/>
      <c r="B1044" s="48" t="n"/>
      <c r="C1044" s="48" t="n"/>
      <c r="D1044" s="48" t="n"/>
      <c r="E1044" s="48" t="n"/>
      <c r="F1044" s="48" t="n"/>
      <c r="G1044" s="48" t="n"/>
      <c r="H1044" s="48" t="n"/>
      <c r="I1044" s="49" t="n"/>
      <c r="J1044" s="50" t="n"/>
      <c r="K1044" s="48" t="n"/>
      <c r="L1044" s="51">
        <f>IF(A1044="","",DATE(YEAR(A1044),MONTH(A1044),1))</f>
        <v/>
      </c>
      <c r="M1044" s="52">
        <f>IF(OR(A1044="",NOT(ISNUMBER(I1044))),"",IF(G1044=Lists!$B$5,I1044/2,IF(G1044=Lists!$B$6,I1044,0)))</f>
        <v/>
      </c>
      <c r="N1044" s="52">
        <f>IF(OR(A1044="",NOT(ISNUMBER(I1044))),"",IF(G1044=Lists!$B$5,I1044/2,IF(G1044=Lists!$B$7,I1044,0)))</f>
        <v/>
      </c>
      <c r="O1044" s="53">
        <f>IF(COUNTA(A1044:K1044)=0,"",IF(OR(A1044="",B1044="",C1044="",D1044="",E1044="",F1044="",G1044="",NOT(ISNUMBER(I1044))),"Incomplete",IF(COUNTIF(Lists!$H$4:$AA$4,C1044)=0,"Check category",IF(COUNTIF(INDEX(Lists!$H$6:$AA$45,0,MATCH(C1044,Lists!$H$4:$AA$4,0)),D1044)=0,"Check sub-category","OK"))))</f>
        <v/>
      </c>
      <c r="P1044">
        <f>IF(ISNUMBER(I1044),I1044+ROW()/10000000,"")</f>
        <v/>
      </c>
      <c r="Q1044">
        <f>IF(AND(ISNUMBER(P1044),ISNUMBER(A1044)),IF(AND(A1044&gt;=Dashboard!$Q$3,A1044&lt;=Dashboard!$Q$4,OR(J1044&lt;&gt;"Yes",Dashboard!$Q$15="Yes")),P1044,""),"")</f>
        <v/>
      </c>
    </row>
    <row r="1045">
      <c r="A1045" s="47" t="n"/>
      <c r="B1045" s="48" t="n"/>
      <c r="C1045" s="48" t="n"/>
      <c r="D1045" s="48" t="n"/>
      <c r="E1045" s="48" t="n"/>
      <c r="F1045" s="48" t="n"/>
      <c r="G1045" s="48" t="n"/>
      <c r="H1045" s="48" t="n"/>
      <c r="I1045" s="49" t="n"/>
      <c r="J1045" s="50" t="n"/>
      <c r="K1045" s="48" t="n"/>
      <c r="L1045" s="51">
        <f>IF(A1045="","",DATE(YEAR(A1045),MONTH(A1045),1))</f>
        <v/>
      </c>
      <c r="M1045" s="52">
        <f>IF(OR(A1045="",NOT(ISNUMBER(I1045))),"",IF(G1045=Lists!$B$5,I1045/2,IF(G1045=Lists!$B$6,I1045,0)))</f>
        <v/>
      </c>
      <c r="N1045" s="52">
        <f>IF(OR(A1045="",NOT(ISNUMBER(I1045))),"",IF(G1045=Lists!$B$5,I1045/2,IF(G1045=Lists!$B$7,I1045,0)))</f>
        <v/>
      </c>
      <c r="O1045" s="53">
        <f>IF(COUNTA(A1045:K1045)=0,"",IF(OR(A1045="",B1045="",C1045="",D1045="",E1045="",F1045="",G1045="",NOT(ISNUMBER(I1045))),"Incomplete",IF(COUNTIF(Lists!$H$4:$AA$4,C1045)=0,"Check category",IF(COUNTIF(INDEX(Lists!$H$6:$AA$45,0,MATCH(C1045,Lists!$H$4:$AA$4,0)),D1045)=0,"Check sub-category","OK"))))</f>
        <v/>
      </c>
      <c r="P1045">
        <f>IF(ISNUMBER(I1045),I1045+ROW()/10000000,"")</f>
        <v/>
      </c>
      <c r="Q1045">
        <f>IF(AND(ISNUMBER(P1045),ISNUMBER(A1045)),IF(AND(A1045&gt;=Dashboard!$Q$3,A1045&lt;=Dashboard!$Q$4,OR(J1045&lt;&gt;"Yes",Dashboard!$Q$15="Yes")),P1045,""),"")</f>
        <v/>
      </c>
    </row>
    <row r="1046">
      <c r="A1046" s="47" t="n"/>
      <c r="B1046" s="48" t="n"/>
      <c r="C1046" s="48" t="n"/>
      <c r="D1046" s="48" t="n"/>
      <c r="E1046" s="48" t="n"/>
      <c r="F1046" s="48" t="n"/>
      <c r="G1046" s="48" t="n"/>
      <c r="H1046" s="48" t="n"/>
      <c r="I1046" s="49" t="n"/>
      <c r="J1046" s="50" t="n"/>
      <c r="K1046" s="48" t="n"/>
      <c r="L1046" s="51">
        <f>IF(A1046="","",DATE(YEAR(A1046),MONTH(A1046),1))</f>
        <v/>
      </c>
      <c r="M1046" s="52">
        <f>IF(OR(A1046="",NOT(ISNUMBER(I1046))),"",IF(G1046=Lists!$B$5,I1046/2,IF(G1046=Lists!$B$6,I1046,0)))</f>
        <v/>
      </c>
      <c r="N1046" s="52">
        <f>IF(OR(A1046="",NOT(ISNUMBER(I1046))),"",IF(G1046=Lists!$B$5,I1046/2,IF(G1046=Lists!$B$7,I1046,0)))</f>
        <v/>
      </c>
      <c r="O1046" s="53">
        <f>IF(COUNTA(A1046:K1046)=0,"",IF(OR(A1046="",B1046="",C1046="",D1046="",E1046="",F1046="",G1046="",NOT(ISNUMBER(I1046))),"Incomplete",IF(COUNTIF(Lists!$H$4:$AA$4,C1046)=0,"Check category",IF(COUNTIF(INDEX(Lists!$H$6:$AA$45,0,MATCH(C1046,Lists!$H$4:$AA$4,0)),D1046)=0,"Check sub-category","OK"))))</f>
        <v/>
      </c>
      <c r="P1046">
        <f>IF(ISNUMBER(I1046),I1046+ROW()/10000000,"")</f>
        <v/>
      </c>
      <c r="Q1046">
        <f>IF(AND(ISNUMBER(P1046),ISNUMBER(A1046)),IF(AND(A1046&gt;=Dashboard!$Q$3,A1046&lt;=Dashboard!$Q$4,OR(J1046&lt;&gt;"Yes",Dashboard!$Q$15="Yes")),P1046,""),"")</f>
        <v/>
      </c>
    </row>
    <row r="1047">
      <c r="A1047" s="47" t="n"/>
      <c r="B1047" s="48" t="n"/>
      <c r="C1047" s="48" t="n"/>
      <c r="D1047" s="48" t="n"/>
      <c r="E1047" s="48" t="n"/>
      <c r="F1047" s="48" t="n"/>
      <c r="G1047" s="48" t="n"/>
      <c r="H1047" s="48" t="n"/>
      <c r="I1047" s="49" t="n"/>
      <c r="J1047" s="50" t="n"/>
      <c r="K1047" s="48" t="n"/>
      <c r="L1047" s="51">
        <f>IF(A1047="","",DATE(YEAR(A1047),MONTH(A1047),1))</f>
        <v/>
      </c>
      <c r="M1047" s="52">
        <f>IF(OR(A1047="",NOT(ISNUMBER(I1047))),"",IF(G1047=Lists!$B$5,I1047/2,IF(G1047=Lists!$B$6,I1047,0)))</f>
        <v/>
      </c>
      <c r="N1047" s="52">
        <f>IF(OR(A1047="",NOT(ISNUMBER(I1047))),"",IF(G1047=Lists!$B$5,I1047/2,IF(G1047=Lists!$B$7,I1047,0)))</f>
        <v/>
      </c>
      <c r="O1047" s="53">
        <f>IF(COUNTA(A1047:K1047)=0,"",IF(OR(A1047="",B1047="",C1047="",D1047="",E1047="",F1047="",G1047="",NOT(ISNUMBER(I1047))),"Incomplete",IF(COUNTIF(Lists!$H$4:$AA$4,C1047)=0,"Check category",IF(COUNTIF(INDEX(Lists!$H$6:$AA$45,0,MATCH(C1047,Lists!$H$4:$AA$4,0)),D1047)=0,"Check sub-category","OK"))))</f>
        <v/>
      </c>
      <c r="P1047">
        <f>IF(ISNUMBER(I1047),I1047+ROW()/10000000,"")</f>
        <v/>
      </c>
      <c r="Q1047">
        <f>IF(AND(ISNUMBER(P1047),ISNUMBER(A1047)),IF(AND(A1047&gt;=Dashboard!$Q$3,A1047&lt;=Dashboard!$Q$4,OR(J1047&lt;&gt;"Yes",Dashboard!$Q$15="Yes")),P1047,""),"")</f>
        <v/>
      </c>
    </row>
    <row r="1048">
      <c r="A1048" s="47" t="n"/>
      <c r="B1048" s="48" t="n"/>
      <c r="C1048" s="48" t="n"/>
      <c r="D1048" s="48" t="n"/>
      <c r="E1048" s="48" t="n"/>
      <c r="F1048" s="48" t="n"/>
      <c r="G1048" s="48" t="n"/>
      <c r="H1048" s="48" t="n"/>
      <c r="I1048" s="49" t="n"/>
      <c r="J1048" s="50" t="n"/>
      <c r="K1048" s="48" t="n"/>
      <c r="L1048" s="51">
        <f>IF(A1048="","",DATE(YEAR(A1048),MONTH(A1048),1))</f>
        <v/>
      </c>
      <c r="M1048" s="52">
        <f>IF(OR(A1048="",NOT(ISNUMBER(I1048))),"",IF(G1048=Lists!$B$5,I1048/2,IF(G1048=Lists!$B$6,I1048,0)))</f>
        <v/>
      </c>
      <c r="N1048" s="52">
        <f>IF(OR(A1048="",NOT(ISNUMBER(I1048))),"",IF(G1048=Lists!$B$5,I1048/2,IF(G1048=Lists!$B$7,I1048,0)))</f>
        <v/>
      </c>
      <c r="O1048" s="53">
        <f>IF(COUNTA(A1048:K1048)=0,"",IF(OR(A1048="",B1048="",C1048="",D1048="",E1048="",F1048="",G1048="",NOT(ISNUMBER(I1048))),"Incomplete",IF(COUNTIF(Lists!$H$4:$AA$4,C1048)=0,"Check category",IF(COUNTIF(INDEX(Lists!$H$6:$AA$45,0,MATCH(C1048,Lists!$H$4:$AA$4,0)),D1048)=0,"Check sub-category","OK"))))</f>
        <v/>
      </c>
      <c r="P1048">
        <f>IF(ISNUMBER(I1048),I1048+ROW()/10000000,"")</f>
        <v/>
      </c>
      <c r="Q1048">
        <f>IF(AND(ISNUMBER(P1048),ISNUMBER(A1048)),IF(AND(A1048&gt;=Dashboard!$Q$3,A1048&lt;=Dashboard!$Q$4,OR(J1048&lt;&gt;"Yes",Dashboard!$Q$15="Yes")),P1048,""),"")</f>
        <v/>
      </c>
    </row>
    <row r="1049">
      <c r="A1049" s="47" t="n"/>
      <c r="B1049" s="48" t="n"/>
      <c r="C1049" s="48" t="n"/>
      <c r="D1049" s="48" t="n"/>
      <c r="E1049" s="48" t="n"/>
      <c r="F1049" s="48" t="n"/>
      <c r="G1049" s="48" t="n"/>
      <c r="H1049" s="48" t="n"/>
      <c r="I1049" s="49" t="n"/>
      <c r="J1049" s="50" t="n"/>
      <c r="K1049" s="48" t="n"/>
      <c r="L1049" s="51">
        <f>IF(A1049="","",DATE(YEAR(A1049),MONTH(A1049),1))</f>
        <v/>
      </c>
      <c r="M1049" s="52">
        <f>IF(OR(A1049="",NOT(ISNUMBER(I1049))),"",IF(G1049=Lists!$B$5,I1049/2,IF(G1049=Lists!$B$6,I1049,0)))</f>
        <v/>
      </c>
      <c r="N1049" s="52">
        <f>IF(OR(A1049="",NOT(ISNUMBER(I1049))),"",IF(G1049=Lists!$B$5,I1049/2,IF(G1049=Lists!$B$7,I1049,0)))</f>
        <v/>
      </c>
      <c r="O1049" s="53">
        <f>IF(COUNTA(A1049:K1049)=0,"",IF(OR(A1049="",B1049="",C1049="",D1049="",E1049="",F1049="",G1049="",NOT(ISNUMBER(I1049))),"Incomplete",IF(COUNTIF(Lists!$H$4:$AA$4,C1049)=0,"Check category",IF(COUNTIF(INDEX(Lists!$H$6:$AA$45,0,MATCH(C1049,Lists!$H$4:$AA$4,0)),D1049)=0,"Check sub-category","OK"))))</f>
        <v/>
      </c>
      <c r="P1049">
        <f>IF(ISNUMBER(I1049),I1049+ROW()/10000000,"")</f>
        <v/>
      </c>
      <c r="Q1049">
        <f>IF(AND(ISNUMBER(P1049),ISNUMBER(A1049)),IF(AND(A1049&gt;=Dashboard!$Q$3,A1049&lt;=Dashboard!$Q$4,OR(J1049&lt;&gt;"Yes",Dashboard!$Q$15="Yes")),P1049,""),"")</f>
        <v/>
      </c>
    </row>
    <row r="1050">
      <c r="A1050" s="47" t="n"/>
      <c r="B1050" s="48" t="n"/>
      <c r="C1050" s="48" t="n"/>
      <c r="D1050" s="48" t="n"/>
      <c r="E1050" s="48" t="n"/>
      <c r="F1050" s="48" t="n"/>
      <c r="G1050" s="48" t="n"/>
      <c r="H1050" s="48" t="n"/>
      <c r="I1050" s="49" t="n"/>
      <c r="J1050" s="50" t="n"/>
      <c r="K1050" s="48" t="n"/>
      <c r="L1050" s="51">
        <f>IF(A1050="","",DATE(YEAR(A1050),MONTH(A1050),1))</f>
        <v/>
      </c>
      <c r="M1050" s="52">
        <f>IF(OR(A1050="",NOT(ISNUMBER(I1050))),"",IF(G1050=Lists!$B$5,I1050/2,IF(G1050=Lists!$B$6,I1050,0)))</f>
        <v/>
      </c>
      <c r="N1050" s="52">
        <f>IF(OR(A1050="",NOT(ISNUMBER(I1050))),"",IF(G1050=Lists!$B$5,I1050/2,IF(G1050=Lists!$B$7,I1050,0)))</f>
        <v/>
      </c>
      <c r="O1050" s="53">
        <f>IF(COUNTA(A1050:K1050)=0,"",IF(OR(A1050="",B1050="",C1050="",D1050="",E1050="",F1050="",G1050="",NOT(ISNUMBER(I1050))),"Incomplete",IF(COUNTIF(Lists!$H$4:$AA$4,C1050)=0,"Check category",IF(COUNTIF(INDEX(Lists!$H$6:$AA$45,0,MATCH(C1050,Lists!$H$4:$AA$4,0)),D1050)=0,"Check sub-category","OK"))))</f>
        <v/>
      </c>
      <c r="P1050">
        <f>IF(ISNUMBER(I1050),I1050+ROW()/10000000,"")</f>
        <v/>
      </c>
      <c r="Q1050">
        <f>IF(AND(ISNUMBER(P1050),ISNUMBER(A1050)),IF(AND(A1050&gt;=Dashboard!$Q$3,A1050&lt;=Dashboard!$Q$4,OR(J1050&lt;&gt;"Yes",Dashboard!$Q$15="Yes")),P1050,""),"")</f>
        <v/>
      </c>
    </row>
    <row r="1051">
      <c r="A1051" s="47" t="n"/>
      <c r="B1051" s="48" t="n"/>
      <c r="C1051" s="48" t="n"/>
      <c r="D1051" s="48" t="n"/>
      <c r="E1051" s="48" t="n"/>
      <c r="F1051" s="48" t="n"/>
      <c r="G1051" s="48" t="n"/>
      <c r="H1051" s="48" t="n"/>
      <c r="I1051" s="49" t="n"/>
      <c r="J1051" s="50" t="n"/>
      <c r="K1051" s="48" t="n"/>
      <c r="L1051" s="51">
        <f>IF(A1051="","",DATE(YEAR(A1051),MONTH(A1051),1))</f>
        <v/>
      </c>
      <c r="M1051" s="52">
        <f>IF(OR(A1051="",NOT(ISNUMBER(I1051))),"",IF(G1051=Lists!$B$5,I1051/2,IF(G1051=Lists!$B$6,I1051,0)))</f>
        <v/>
      </c>
      <c r="N1051" s="52">
        <f>IF(OR(A1051="",NOT(ISNUMBER(I1051))),"",IF(G1051=Lists!$B$5,I1051/2,IF(G1051=Lists!$B$7,I1051,0)))</f>
        <v/>
      </c>
      <c r="O1051" s="53">
        <f>IF(COUNTA(A1051:K1051)=0,"",IF(OR(A1051="",B1051="",C1051="",D1051="",E1051="",F1051="",G1051="",NOT(ISNUMBER(I1051))),"Incomplete",IF(COUNTIF(Lists!$H$4:$AA$4,C1051)=0,"Check category",IF(COUNTIF(INDEX(Lists!$H$6:$AA$45,0,MATCH(C1051,Lists!$H$4:$AA$4,0)),D1051)=0,"Check sub-category","OK"))))</f>
        <v/>
      </c>
      <c r="P1051">
        <f>IF(ISNUMBER(I1051),I1051+ROW()/10000000,"")</f>
        <v/>
      </c>
      <c r="Q1051">
        <f>IF(AND(ISNUMBER(P1051),ISNUMBER(A1051)),IF(AND(A1051&gt;=Dashboard!$Q$3,A1051&lt;=Dashboard!$Q$4,OR(J1051&lt;&gt;"Yes",Dashboard!$Q$15="Yes")),P1051,""),"")</f>
        <v/>
      </c>
    </row>
    <row r="1052">
      <c r="A1052" s="47" t="n"/>
      <c r="B1052" s="48" t="n"/>
      <c r="C1052" s="48" t="n"/>
      <c r="D1052" s="48" t="n"/>
      <c r="E1052" s="48" t="n"/>
      <c r="F1052" s="48" t="n"/>
      <c r="G1052" s="48" t="n"/>
      <c r="H1052" s="48" t="n"/>
      <c r="I1052" s="49" t="n"/>
      <c r="J1052" s="50" t="n"/>
      <c r="K1052" s="48" t="n"/>
      <c r="L1052" s="51">
        <f>IF(A1052="","",DATE(YEAR(A1052),MONTH(A1052),1))</f>
        <v/>
      </c>
      <c r="M1052" s="52">
        <f>IF(OR(A1052="",NOT(ISNUMBER(I1052))),"",IF(G1052=Lists!$B$5,I1052/2,IF(G1052=Lists!$B$6,I1052,0)))</f>
        <v/>
      </c>
      <c r="N1052" s="52">
        <f>IF(OR(A1052="",NOT(ISNUMBER(I1052))),"",IF(G1052=Lists!$B$5,I1052/2,IF(G1052=Lists!$B$7,I1052,0)))</f>
        <v/>
      </c>
      <c r="O1052" s="53">
        <f>IF(COUNTA(A1052:K1052)=0,"",IF(OR(A1052="",B1052="",C1052="",D1052="",E1052="",F1052="",G1052="",NOT(ISNUMBER(I1052))),"Incomplete",IF(COUNTIF(Lists!$H$4:$AA$4,C1052)=0,"Check category",IF(COUNTIF(INDEX(Lists!$H$6:$AA$45,0,MATCH(C1052,Lists!$H$4:$AA$4,0)),D1052)=0,"Check sub-category","OK"))))</f>
        <v/>
      </c>
      <c r="P1052">
        <f>IF(ISNUMBER(I1052),I1052+ROW()/10000000,"")</f>
        <v/>
      </c>
      <c r="Q1052">
        <f>IF(AND(ISNUMBER(P1052),ISNUMBER(A1052)),IF(AND(A1052&gt;=Dashboard!$Q$3,A1052&lt;=Dashboard!$Q$4,OR(J1052&lt;&gt;"Yes",Dashboard!$Q$15="Yes")),P1052,""),"")</f>
        <v/>
      </c>
    </row>
    <row r="1053">
      <c r="A1053" s="47" t="n"/>
      <c r="B1053" s="48" t="n"/>
      <c r="C1053" s="48" t="n"/>
      <c r="D1053" s="48" t="n"/>
      <c r="E1053" s="48" t="n"/>
      <c r="F1053" s="48" t="n"/>
      <c r="G1053" s="48" t="n"/>
      <c r="H1053" s="48" t="n"/>
      <c r="I1053" s="49" t="n"/>
      <c r="J1053" s="50" t="n"/>
      <c r="K1053" s="48" t="n"/>
      <c r="L1053" s="51">
        <f>IF(A1053="","",DATE(YEAR(A1053),MONTH(A1053),1))</f>
        <v/>
      </c>
      <c r="M1053" s="52">
        <f>IF(OR(A1053="",NOT(ISNUMBER(I1053))),"",IF(G1053=Lists!$B$5,I1053/2,IF(G1053=Lists!$B$6,I1053,0)))</f>
        <v/>
      </c>
      <c r="N1053" s="52">
        <f>IF(OR(A1053="",NOT(ISNUMBER(I1053))),"",IF(G1053=Lists!$B$5,I1053/2,IF(G1053=Lists!$B$7,I1053,0)))</f>
        <v/>
      </c>
      <c r="O1053" s="53">
        <f>IF(COUNTA(A1053:K1053)=0,"",IF(OR(A1053="",B1053="",C1053="",D1053="",E1053="",F1053="",G1053="",NOT(ISNUMBER(I1053))),"Incomplete",IF(COUNTIF(Lists!$H$4:$AA$4,C1053)=0,"Check category",IF(COUNTIF(INDEX(Lists!$H$6:$AA$45,0,MATCH(C1053,Lists!$H$4:$AA$4,0)),D1053)=0,"Check sub-category","OK"))))</f>
        <v/>
      </c>
      <c r="P1053">
        <f>IF(ISNUMBER(I1053),I1053+ROW()/10000000,"")</f>
        <v/>
      </c>
      <c r="Q1053">
        <f>IF(AND(ISNUMBER(P1053),ISNUMBER(A1053)),IF(AND(A1053&gt;=Dashboard!$Q$3,A1053&lt;=Dashboard!$Q$4,OR(J1053&lt;&gt;"Yes",Dashboard!$Q$15="Yes")),P1053,""),"")</f>
        <v/>
      </c>
    </row>
    <row r="1054">
      <c r="A1054" s="47" t="n"/>
      <c r="B1054" s="48" t="n"/>
      <c r="C1054" s="48" t="n"/>
      <c r="D1054" s="48" t="n"/>
      <c r="E1054" s="48" t="n"/>
      <c r="F1054" s="48" t="n"/>
      <c r="G1054" s="48" t="n"/>
      <c r="H1054" s="48" t="n"/>
      <c r="I1054" s="49" t="n"/>
      <c r="J1054" s="50" t="n"/>
      <c r="K1054" s="48" t="n"/>
      <c r="L1054" s="51">
        <f>IF(A1054="","",DATE(YEAR(A1054),MONTH(A1054),1))</f>
        <v/>
      </c>
      <c r="M1054" s="52">
        <f>IF(OR(A1054="",NOT(ISNUMBER(I1054))),"",IF(G1054=Lists!$B$5,I1054/2,IF(G1054=Lists!$B$6,I1054,0)))</f>
        <v/>
      </c>
      <c r="N1054" s="52">
        <f>IF(OR(A1054="",NOT(ISNUMBER(I1054))),"",IF(G1054=Lists!$B$5,I1054/2,IF(G1054=Lists!$B$7,I1054,0)))</f>
        <v/>
      </c>
      <c r="O1054" s="53">
        <f>IF(COUNTA(A1054:K1054)=0,"",IF(OR(A1054="",B1054="",C1054="",D1054="",E1054="",F1054="",G1054="",NOT(ISNUMBER(I1054))),"Incomplete",IF(COUNTIF(Lists!$H$4:$AA$4,C1054)=0,"Check category",IF(COUNTIF(INDEX(Lists!$H$6:$AA$45,0,MATCH(C1054,Lists!$H$4:$AA$4,0)),D1054)=0,"Check sub-category","OK"))))</f>
        <v/>
      </c>
      <c r="P1054">
        <f>IF(ISNUMBER(I1054),I1054+ROW()/10000000,"")</f>
        <v/>
      </c>
      <c r="Q1054">
        <f>IF(AND(ISNUMBER(P1054),ISNUMBER(A1054)),IF(AND(A1054&gt;=Dashboard!$Q$3,A1054&lt;=Dashboard!$Q$4,OR(J1054&lt;&gt;"Yes",Dashboard!$Q$15="Yes")),P1054,""),"")</f>
        <v/>
      </c>
    </row>
    <row r="1055">
      <c r="A1055" s="47" t="n"/>
      <c r="B1055" s="48" t="n"/>
      <c r="C1055" s="48" t="n"/>
      <c r="D1055" s="48" t="n"/>
      <c r="E1055" s="48" t="n"/>
      <c r="F1055" s="48" t="n"/>
      <c r="G1055" s="48" t="n"/>
      <c r="H1055" s="48" t="n"/>
      <c r="I1055" s="49" t="n"/>
      <c r="J1055" s="50" t="n"/>
      <c r="K1055" s="48" t="n"/>
      <c r="L1055" s="51">
        <f>IF(A1055="","",DATE(YEAR(A1055),MONTH(A1055),1))</f>
        <v/>
      </c>
      <c r="M1055" s="52">
        <f>IF(OR(A1055="",NOT(ISNUMBER(I1055))),"",IF(G1055=Lists!$B$5,I1055/2,IF(G1055=Lists!$B$6,I1055,0)))</f>
        <v/>
      </c>
      <c r="N1055" s="52">
        <f>IF(OR(A1055="",NOT(ISNUMBER(I1055))),"",IF(G1055=Lists!$B$5,I1055/2,IF(G1055=Lists!$B$7,I1055,0)))</f>
        <v/>
      </c>
      <c r="O1055" s="53">
        <f>IF(COUNTA(A1055:K1055)=0,"",IF(OR(A1055="",B1055="",C1055="",D1055="",E1055="",F1055="",G1055="",NOT(ISNUMBER(I1055))),"Incomplete",IF(COUNTIF(Lists!$H$4:$AA$4,C1055)=0,"Check category",IF(COUNTIF(INDEX(Lists!$H$6:$AA$45,0,MATCH(C1055,Lists!$H$4:$AA$4,0)),D1055)=0,"Check sub-category","OK"))))</f>
        <v/>
      </c>
      <c r="P1055">
        <f>IF(ISNUMBER(I1055),I1055+ROW()/10000000,"")</f>
        <v/>
      </c>
      <c r="Q1055">
        <f>IF(AND(ISNUMBER(P1055),ISNUMBER(A1055)),IF(AND(A1055&gt;=Dashboard!$Q$3,A1055&lt;=Dashboard!$Q$4,OR(J1055&lt;&gt;"Yes",Dashboard!$Q$15="Yes")),P1055,""),"")</f>
        <v/>
      </c>
    </row>
    <row r="1056">
      <c r="A1056" s="47" t="n"/>
      <c r="B1056" s="48" t="n"/>
      <c r="C1056" s="48" t="n"/>
      <c r="D1056" s="48" t="n"/>
      <c r="E1056" s="48" t="n"/>
      <c r="F1056" s="48" t="n"/>
      <c r="G1056" s="48" t="n"/>
      <c r="H1056" s="48" t="n"/>
      <c r="I1056" s="49" t="n"/>
      <c r="J1056" s="50" t="n"/>
      <c r="K1056" s="48" t="n"/>
      <c r="L1056" s="51">
        <f>IF(A1056="","",DATE(YEAR(A1056),MONTH(A1056),1))</f>
        <v/>
      </c>
      <c r="M1056" s="52">
        <f>IF(OR(A1056="",NOT(ISNUMBER(I1056))),"",IF(G1056=Lists!$B$5,I1056/2,IF(G1056=Lists!$B$6,I1056,0)))</f>
        <v/>
      </c>
      <c r="N1056" s="52">
        <f>IF(OR(A1056="",NOT(ISNUMBER(I1056))),"",IF(G1056=Lists!$B$5,I1056/2,IF(G1056=Lists!$B$7,I1056,0)))</f>
        <v/>
      </c>
      <c r="O1056" s="53">
        <f>IF(COUNTA(A1056:K1056)=0,"",IF(OR(A1056="",B1056="",C1056="",D1056="",E1056="",F1056="",G1056="",NOT(ISNUMBER(I1056))),"Incomplete",IF(COUNTIF(Lists!$H$4:$AA$4,C1056)=0,"Check category",IF(COUNTIF(INDEX(Lists!$H$6:$AA$45,0,MATCH(C1056,Lists!$H$4:$AA$4,0)),D1056)=0,"Check sub-category","OK"))))</f>
        <v/>
      </c>
      <c r="P1056">
        <f>IF(ISNUMBER(I1056),I1056+ROW()/10000000,"")</f>
        <v/>
      </c>
      <c r="Q1056">
        <f>IF(AND(ISNUMBER(P1056),ISNUMBER(A1056)),IF(AND(A1056&gt;=Dashboard!$Q$3,A1056&lt;=Dashboard!$Q$4,OR(J1056&lt;&gt;"Yes",Dashboard!$Q$15="Yes")),P1056,""),"")</f>
        <v/>
      </c>
    </row>
    <row r="1057">
      <c r="A1057" s="47" t="n"/>
      <c r="B1057" s="48" t="n"/>
      <c r="C1057" s="48" t="n"/>
      <c r="D1057" s="48" t="n"/>
      <c r="E1057" s="48" t="n"/>
      <c r="F1057" s="48" t="n"/>
      <c r="G1057" s="48" t="n"/>
      <c r="H1057" s="48" t="n"/>
      <c r="I1057" s="49" t="n"/>
      <c r="J1057" s="50" t="n"/>
      <c r="K1057" s="48" t="n"/>
      <c r="L1057" s="51">
        <f>IF(A1057="","",DATE(YEAR(A1057),MONTH(A1057),1))</f>
        <v/>
      </c>
      <c r="M1057" s="52">
        <f>IF(OR(A1057="",NOT(ISNUMBER(I1057))),"",IF(G1057=Lists!$B$5,I1057/2,IF(G1057=Lists!$B$6,I1057,0)))</f>
        <v/>
      </c>
      <c r="N1057" s="52">
        <f>IF(OR(A1057="",NOT(ISNUMBER(I1057))),"",IF(G1057=Lists!$B$5,I1057/2,IF(G1057=Lists!$B$7,I1057,0)))</f>
        <v/>
      </c>
      <c r="O1057" s="53">
        <f>IF(COUNTA(A1057:K1057)=0,"",IF(OR(A1057="",B1057="",C1057="",D1057="",E1057="",F1057="",G1057="",NOT(ISNUMBER(I1057))),"Incomplete",IF(COUNTIF(Lists!$H$4:$AA$4,C1057)=0,"Check category",IF(COUNTIF(INDEX(Lists!$H$6:$AA$45,0,MATCH(C1057,Lists!$H$4:$AA$4,0)),D1057)=0,"Check sub-category","OK"))))</f>
        <v/>
      </c>
      <c r="P1057">
        <f>IF(ISNUMBER(I1057),I1057+ROW()/10000000,"")</f>
        <v/>
      </c>
      <c r="Q1057">
        <f>IF(AND(ISNUMBER(P1057),ISNUMBER(A1057)),IF(AND(A1057&gt;=Dashboard!$Q$3,A1057&lt;=Dashboard!$Q$4,OR(J1057&lt;&gt;"Yes",Dashboard!$Q$15="Yes")),P1057,""),"")</f>
        <v/>
      </c>
    </row>
    <row r="1058">
      <c r="A1058" s="47" t="n"/>
      <c r="B1058" s="48" t="n"/>
      <c r="C1058" s="48" t="n"/>
      <c r="D1058" s="48" t="n"/>
      <c r="E1058" s="48" t="n"/>
      <c r="F1058" s="48" t="n"/>
      <c r="G1058" s="48" t="n"/>
      <c r="H1058" s="48" t="n"/>
      <c r="I1058" s="49" t="n"/>
      <c r="J1058" s="50" t="n"/>
      <c r="K1058" s="48" t="n"/>
      <c r="L1058" s="51">
        <f>IF(A1058="","",DATE(YEAR(A1058),MONTH(A1058),1))</f>
        <v/>
      </c>
      <c r="M1058" s="52">
        <f>IF(OR(A1058="",NOT(ISNUMBER(I1058))),"",IF(G1058=Lists!$B$5,I1058/2,IF(G1058=Lists!$B$6,I1058,0)))</f>
        <v/>
      </c>
      <c r="N1058" s="52">
        <f>IF(OR(A1058="",NOT(ISNUMBER(I1058))),"",IF(G1058=Lists!$B$5,I1058/2,IF(G1058=Lists!$B$7,I1058,0)))</f>
        <v/>
      </c>
      <c r="O1058" s="53">
        <f>IF(COUNTA(A1058:K1058)=0,"",IF(OR(A1058="",B1058="",C1058="",D1058="",E1058="",F1058="",G1058="",NOT(ISNUMBER(I1058))),"Incomplete",IF(COUNTIF(Lists!$H$4:$AA$4,C1058)=0,"Check category",IF(COUNTIF(INDEX(Lists!$H$6:$AA$45,0,MATCH(C1058,Lists!$H$4:$AA$4,0)),D1058)=0,"Check sub-category","OK"))))</f>
        <v/>
      </c>
      <c r="P1058">
        <f>IF(ISNUMBER(I1058),I1058+ROW()/10000000,"")</f>
        <v/>
      </c>
      <c r="Q1058">
        <f>IF(AND(ISNUMBER(P1058),ISNUMBER(A1058)),IF(AND(A1058&gt;=Dashboard!$Q$3,A1058&lt;=Dashboard!$Q$4,OR(J1058&lt;&gt;"Yes",Dashboard!$Q$15="Yes")),P1058,""),"")</f>
        <v/>
      </c>
    </row>
    <row r="1059">
      <c r="A1059" s="47" t="n"/>
      <c r="B1059" s="48" t="n"/>
      <c r="C1059" s="48" t="n"/>
      <c r="D1059" s="48" t="n"/>
      <c r="E1059" s="48" t="n"/>
      <c r="F1059" s="48" t="n"/>
      <c r="G1059" s="48" t="n"/>
      <c r="H1059" s="48" t="n"/>
      <c r="I1059" s="49" t="n"/>
      <c r="J1059" s="50" t="n"/>
      <c r="K1059" s="48" t="n"/>
      <c r="L1059" s="51">
        <f>IF(A1059="","",DATE(YEAR(A1059),MONTH(A1059),1))</f>
        <v/>
      </c>
      <c r="M1059" s="52">
        <f>IF(OR(A1059="",NOT(ISNUMBER(I1059))),"",IF(G1059=Lists!$B$5,I1059/2,IF(G1059=Lists!$B$6,I1059,0)))</f>
        <v/>
      </c>
      <c r="N1059" s="52">
        <f>IF(OR(A1059="",NOT(ISNUMBER(I1059))),"",IF(G1059=Lists!$B$5,I1059/2,IF(G1059=Lists!$B$7,I1059,0)))</f>
        <v/>
      </c>
      <c r="O1059" s="53">
        <f>IF(COUNTA(A1059:K1059)=0,"",IF(OR(A1059="",B1059="",C1059="",D1059="",E1059="",F1059="",G1059="",NOT(ISNUMBER(I1059))),"Incomplete",IF(COUNTIF(Lists!$H$4:$AA$4,C1059)=0,"Check category",IF(COUNTIF(INDEX(Lists!$H$6:$AA$45,0,MATCH(C1059,Lists!$H$4:$AA$4,0)),D1059)=0,"Check sub-category","OK"))))</f>
        <v/>
      </c>
      <c r="P1059">
        <f>IF(ISNUMBER(I1059),I1059+ROW()/10000000,"")</f>
        <v/>
      </c>
      <c r="Q1059">
        <f>IF(AND(ISNUMBER(P1059),ISNUMBER(A1059)),IF(AND(A1059&gt;=Dashboard!$Q$3,A1059&lt;=Dashboard!$Q$4,OR(J1059&lt;&gt;"Yes",Dashboard!$Q$15="Yes")),P1059,""),"")</f>
        <v/>
      </c>
    </row>
    <row r="1060">
      <c r="A1060" s="47" t="n"/>
      <c r="B1060" s="48" t="n"/>
      <c r="C1060" s="48" t="n"/>
      <c r="D1060" s="48" t="n"/>
      <c r="E1060" s="48" t="n"/>
      <c r="F1060" s="48" t="n"/>
      <c r="G1060" s="48" t="n"/>
      <c r="H1060" s="48" t="n"/>
      <c r="I1060" s="49" t="n"/>
      <c r="J1060" s="50" t="n"/>
      <c r="K1060" s="48" t="n"/>
      <c r="L1060" s="51">
        <f>IF(A1060="","",DATE(YEAR(A1060),MONTH(A1060),1))</f>
        <v/>
      </c>
      <c r="M1060" s="52">
        <f>IF(OR(A1060="",NOT(ISNUMBER(I1060))),"",IF(G1060=Lists!$B$5,I1060/2,IF(G1060=Lists!$B$6,I1060,0)))</f>
        <v/>
      </c>
      <c r="N1060" s="52">
        <f>IF(OR(A1060="",NOT(ISNUMBER(I1060))),"",IF(G1060=Lists!$B$5,I1060/2,IF(G1060=Lists!$B$7,I1060,0)))</f>
        <v/>
      </c>
      <c r="O1060" s="53">
        <f>IF(COUNTA(A1060:K1060)=0,"",IF(OR(A1060="",B1060="",C1060="",D1060="",E1060="",F1060="",G1060="",NOT(ISNUMBER(I1060))),"Incomplete",IF(COUNTIF(Lists!$H$4:$AA$4,C1060)=0,"Check category",IF(COUNTIF(INDEX(Lists!$H$6:$AA$45,0,MATCH(C1060,Lists!$H$4:$AA$4,0)),D1060)=0,"Check sub-category","OK"))))</f>
        <v/>
      </c>
      <c r="P1060">
        <f>IF(ISNUMBER(I1060),I1060+ROW()/10000000,"")</f>
        <v/>
      </c>
      <c r="Q1060">
        <f>IF(AND(ISNUMBER(P1060),ISNUMBER(A1060)),IF(AND(A1060&gt;=Dashboard!$Q$3,A1060&lt;=Dashboard!$Q$4,OR(J1060&lt;&gt;"Yes",Dashboard!$Q$15="Yes")),P1060,""),"")</f>
        <v/>
      </c>
    </row>
    <row r="1061">
      <c r="A1061" s="47" t="n"/>
      <c r="B1061" s="48" t="n"/>
      <c r="C1061" s="48" t="n"/>
      <c r="D1061" s="48" t="n"/>
      <c r="E1061" s="48" t="n"/>
      <c r="F1061" s="48" t="n"/>
      <c r="G1061" s="48" t="n"/>
      <c r="H1061" s="48" t="n"/>
      <c r="I1061" s="49" t="n"/>
      <c r="J1061" s="50" t="n"/>
      <c r="K1061" s="48" t="n"/>
      <c r="L1061" s="51">
        <f>IF(A1061="","",DATE(YEAR(A1061),MONTH(A1061),1))</f>
        <v/>
      </c>
      <c r="M1061" s="52">
        <f>IF(OR(A1061="",NOT(ISNUMBER(I1061))),"",IF(G1061=Lists!$B$5,I1061/2,IF(G1061=Lists!$B$6,I1061,0)))</f>
        <v/>
      </c>
      <c r="N1061" s="52">
        <f>IF(OR(A1061="",NOT(ISNUMBER(I1061))),"",IF(G1061=Lists!$B$5,I1061/2,IF(G1061=Lists!$B$7,I1061,0)))</f>
        <v/>
      </c>
      <c r="O1061" s="53">
        <f>IF(COUNTA(A1061:K1061)=0,"",IF(OR(A1061="",B1061="",C1061="",D1061="",E1061="",F1061="",G1061="",NOT(ISNUMBER(I1061))),"Incomplete",IF(COUNTIF(Lists!$H$4:$AA$4,C1061)=0,"Check category",IF(COUNTIF(INDEX(Lists!$H$6:$AA$45,0,MATCH(C1061,Lists!$H$4:$AA$4,0)),D1061)=0,"Check sub-category","OK"))))</f>
        <v/>
      </c>
      <c r="P1061">
        <f>IF(ISNUMBER(I1061),I1061+ROW()/10000000,"")</f>
        <v/>
      </c>
      <c r="Q1061">
        <f>IF(AND(ISNUMBER(P1061),ISNUMBER(A1061)),IF(AND(A1061&gt;=Dashboard!$Q$3,A1061&lt;=Dashboard!$Q$4,OR(J1061&lt;&gt;"Yes",Dashboard!$Q$15="Yes")),P1061,""),"")</f>
        <v/>
      </c>
    </row>
    <row r="1062">
      <c r="A1062" s="47" t="n"/>
      <c r="B1062" s="48" t="n"/>
      <c r="C1062" s="48" t="n"/>
      <c r="D1062" s="48" t="n"/>
      <c r="E1062" s="48" t="n"/>
      <c r="F1062" s="48" t="n"/>
      <c r="G1062" s="48" t="n"/>
      <c r="H1062" s="48" t="n"/>
      <c r="I1062" s="49" t="n"/>
      <c r="J1062" s="50" t="n"/>
      <c r="K1062" s="48" t="n"/>
      <c r="L1062" s="51">
        <f>IF(A1062="","",DATE(YEAR(A1062),MONTH(A1062),1))</f>
        <v/>
      </c>
      <c r="M1062" s="52">
        <f>IF(OR(A1062="",NOT(ISNUMBER(I1062))),"",IF(G1062=Lists!$B$5,I1062/2,IF(G1062=Lists!$B$6,I1062,0)))</f>
        <v/>
      </c>
      <c r="N1062" s="52">
        <f>IF(OR(A1062="",NOT(ISNUMBER(I1062))),"",IF(G1062=Lists!$B$5,I1062/2,IF(G1062=Lists!$B$7,I1062,0)))</f>
        <v/>
      </c>
      <c r="O1062" s="53">
        <f>IF(COUNTA(A1062:K1062)=0,"",IF(OR(A1062="",B1062="",C1062="",D1062="",E1062="",F1062="",G1062="",NOT(ISNUMBER(I1062))),"Incomplete",IF(COUNTIF(Lists!$H$4:$AA$4,C1062)=0,"Check category",IF(COUNTIF(INDEX(Lists!$H$6:$AA$45,0,MATCH(C1062,Lists!$H$4:$AA$4,0)),D1062)=0,"Check sub-category","OK"))))</f>
        <v/>
      </c>
      <c r="P1062">
        <f>IF(ISNUMBER(I1062),I1062+ROW()/10000000,"")</f>
        <v/>
      </c>
      <c r="Q1062">
        <f>IF(AND(ISNUMBER(P1062),ISNUMBER(A1062)),IF(AND(A1062&gt;=Dashboard!$Q$3,A1062&lt;=Dashboard!$Q$4,OR(J1062&lt;&gt;"Yes",Dashboard!$Q$15="Yes")),P1062,""),"")</f>
        <v/>
      </c>
    </row>
    <row r="1063">
      <c r="A1063" s="47" t="n"/>
      <c r="B1063" s="48" t="n"/>
      <c r="C1063" s="48" t="n"/>
      <c r="D1063" s="48" t="n"/>
      <c r="E1063" s="48" t="n"/>
      <c r="F1063" s="48" t="n"/>
      <c r="G1063" s="48" t="n"/>
      <c r="H1063" s="48" t="n"/>
      <c r="I1063" s="49" t="n"/>
      <c r="J1063" s="50" t="n"/>
      <c r="K1063" s="48" t="n"/>
      <c r="L1063" s="51">
        <f>IF(A1063="","",DATE(YEAR(A1063),MONTH(A1063),1))</f>
        <v/>
      </c>
      <c r="M1063" s="52">
        <f>IF(OR(A1063="",NOT(ISNUMBER(I1063))),"",IF(G1063=Lists!$B$5,I1063/2,IF(G1063=Lists!$B$6,I1063,0)))</f>
        <v/>
      </c>
      <c r="N1063" s="52">
        <f>IF(OR(A1063="",NOT(ISNUMBER(I1063))),"",IF(G1063=Lists!$B$5,I1063/2,IF(G1063=Lists!$B$7,I1063,0)))</f>
        <v/>
      </c>
      <c r="O1063" s="53">
        <f>IF(COUNTA(A1063:K1063)=0,"",IF(OR(A1063="",B1063="",C1063="",D1063="",E1063="",F1063="",G1063="",NOT(ISNUMBER(I1063))),"Incomplete",IF(COUNTIF(Lists!$H$4:$AA$4,C1063)=0,"Check category",IF(COUNTIF(INDEX(Lists!$H$6:$AA$45,0,MATCH(C1063,Lists!$H$4:$AA$4,0)),D1063)=0,"Check sub-category","OK"))))</f>
        <v/>
      </c>
      <c r="P1063">
        <f>IF(ISNUMBER(I1063),I1063+ROW()/10000000,"")</f>
        <v/>
      </c>
      <c r="Q1063">
        <f>IF(AND(ISNUMBER(P1063),ISNUMBER(A1063)),IF(AND(A1063&gt;=Dashboard!$Q$3,A1063&lt;=Dashboard!$Q$4,OR(J1063&lt;&gt;"Yes",Dashboard!$Q$15="Yes")),P1063,""),"")</f>
        <v/>
      </c>
    </row>
    <row r="1064">
      <c r="A1064" s="47" t="n"/>
      <c r="B1064" s="48" t="n"/>
      <c r="C1064" s="48" t="n"/>
      <c r="D1064" s="48" t="n"/>
      <c r="E1064" s="48" t="n"/>
      <c r="F1064" s="48" t="n"/>
      <c r="G1064" s="48" t="n"/>
      <c r="H1064" s="48" t="n"/>
      <c r="I1064" s="49" t="n"/>
      <c r="J1064" s="50" t="n"/>
      <c r="K1064" s="48" t="n"/>
      <c r="L1064" s="51">
        <f>IF(A1064="","",DATE(YEAR(A1064),MONTH(A1064),1))</f>
        <v/>
      </c>
      <c r="M1064" s="52">
        <f>IF(OR(A1064="",NOT(ISNUMBER(I1064))),"",IF(G1064=Lists!$B$5,I1064/2,IF(G1064=Lists!$B$6,I1064,0)))</f>
        <v/>
      </c>
      <c r="N1064" s="52">
        <f>IF(OR(A1064="",NOT(ISNUMBER(I1064))),"",IF(G1064=Lists!$B$5,I1064/2,IF(G1064=Lists!$B$7,I1064,0)))</f>
        <v/>
      </c>
      <c r="O1064" s="53">
        <f>IF(COUNTA(A1064:K1064)=0,"",IF(OR(A1064="",B1064="",C1064="",D1064="",E1064="",F1064="",G1064="",NOT(ISNUMBER(I1064))),"Incomplete",IF(COUNTIF(Lists!$H$4:$AA$4,C1064)=0,"Check category",IF(COUNTIF(INDEX(Lists!$H$6:$AA$45,0,MATCH(C1064,Lists!$H$4:$AA$4,0)),D1064)=0,"Check sub-category","OK"))))</f>
        <v/>
      </c>
      <c r="P1064">
        <f>IF(ISNUMBER(I1064),I1064+ROW()/10000000,"")</f>
        <v/>
      </c>
      <c r="Q1064">
        <f>IF(AND(ISNUMBER(P1064),ISNUMBER(A1064)),IF(AND(A1064&gt;=Dashboard!$Q$3,A1064&lt;=Dashboard!$Q$4,OR(J1064&lt;&gt;"Yes",Dashboard!$Q$15="Yes")),P1064,""),"")</f>
        <v/>
      </c>
    </row>
    <row r="1065">
      <c r="A1065" s="47" t="n"/>
      <c r="B1065" s="48" t="n"/>
      <c r="C1065" s="48" t="n"/>
      <c r="D1065" s="48" t="n"/>
      <c r="E1065" s="48" t="n"/>
      <c r="F1065" s="48" t="n"/>
      <c r="G1065" s="48" t="n"/>
      <c r="H1065" s="48" t="n"/>
      <c r="I1065" s="49" t="n"/>
      <c r="J1065" s="50" t="n"/>
      <c r="K1065" s="48" t="n"/>
      <c r="L1065" s="51">
        <f>IF(A1065="","",DATE(YEAR(A1065),MONTH(A1065),1))</f>
        <v/>
      </c>
      <c r="M1065" s="52">
        <f>IF(OR(A1065="",NOT(ISNUMBER(I1065))),"",IF(G1065=Lists!$B$5,I1065/2,IF(G1065=Lists!$B$6,I1065,0)))</f>
        <v/>
      </c>
      <c r="N1065" s="52">
        <f>IF(OR(A1065="",NOT(ISNUMBER(I1065))),"",IF(G1065=Lists!$B$5,I1065/2,IF(G1065=Lists!$B$7,I1065,0)))</f>
        <v/>
      </c>
      <c r="O1065" s="53">
        <f>IF(COUNTA(A1065:K1065)=0,"",IF(OR(A1065="",B1065="",C1065="",D1065="",E1065="",F1065="",G1065="",NOT(ISNUMBER(I1065))),"Incomplete",IF(COUNTIF(Lists!$H$4:$AA$4,C1065)=0,"Check category",IF(COUNTIF(INDEX(Lists!$H$6:$AA$45,0,MATCH(C1065,Lists!$H$4:$AA$4,0)),D1065)=0,"Check sub-category","OK"))))</f>
        <v/>
      </c>
      <c r="P1065">
        <f>IF(ISNUMBER(I1065),I1065+ROW()/10000000,"")</f>
        <v/>
      </c>
      <c r="Q1065">
        <f>IF(AND(ISNUMBER(P1065),ISNUMBER(A1065)),IF(AND(A1065&gt;=Dashboard!$Q$3,A1065&lt;=Dashboard!$Q$4,OR(J1065&lt;&gt;"Yes",Dashboard!$Q$15="Yes")),P1065,""),"")</f>
        <v/>
      </c>
    </row>
    <row r="1066">
      <c r="A1066" s="47" t="n"/>
      <c r="B1066" s="48" t="n"/>
      <c r="C1066" s="48" t="n"/>
      <c r="D1066" s="48" t="n"/>
      <c r="E1066" s="48" t="n"/>
      <c r="F1066" s="48" t="n"/>
      <c r="G1066" s="48" t="n"/>
      <c r="H1066" s="48" t="n"/>
      <c r="I1066" s="49" t="n"/>
      <c r="J1066" s="50" t="n"/>
      <c r="K1066" s="48" t="n"/>
      <c r="L1066" s="51">
        <f>IF(A1066="","",DATE(YEAR(A1066),MONTH(A1066),1))</f>
        <v/>
      </c>
      <c r="M1066" s="52">
        <f>IF(OR(A1066="",NOT(ISNUMBER(I1066))),"",IF(G1066=Lists!$B$5,I1066/2,IF(G1066=Lists!$B$6,I1066,0)))</f>
        <v/>
      </c>
      <c r="N1066" s="52">
        <f>IF(OR(A1066="",NOT(ISNUMBER(I1066))),"",IF(G1066=Lists!$B$5,I1066/2,IF(G1066=Lists!$B$7,I1066,0)))</f>
        <v/>
      </c>
      <c r="O1066" s="53">
        <f>IF(COUNTA(A1066:K1066)=0,"",IF(OR(A1066="",B1066="",C1066="",D1066="",E1066="",F1066="",G1066="",NOT(ISNUMBER(I1066))),"Incomplete",IF(COUNTIF(Lists!$H$4:$AA$4,C1066)=0,"Check category",IF(COUNTIF(INDEX(Lists!$H$6:$AA$45,0,MATCH(C1066,Lists!$H$4:$AA$4,0)),D1066)=0,"Check sub-category","OK"))))</f>
        <v/>
      </c>
      <c r="P1066">
        <f>IF(ISNUMBER(I1066),I1066+ROW()/10000000,"")</f>
        <v/>
      </c>
      <c r="Q1066">
        <f>IF(AND(ISNUMBER(P1066),ISNUMBER(A1066)),IF(AND(A1066&gt;=Dashboard!$Q$3,A1066&lt;=Dashboard!$Q$4,OR(J1066&lt;&gt;"Yes",Dashboard!$Q$15="Yes")),P1066,""),"")</f>
        <v/>
      </c>
    </row>
    <row r="1067">
      <c r="A1067" s="47" t="n"/>
      <c r="B1067" s="48" t="n"/>
      <c r="C1067" s="48" t="n"/>
      <c r="D1067" s="48" t="n"/>
      <c r="E1067" s="48" t="n"/>
      <c r="F1067" s="48" t="n"/>
      <c r="G1067" s="48" t="n"/>
      <c r="H1067" s="48" t="n"/>
      <c r="I1067" s="49" t="n"/>
      <c r="J1067" s="50" t="n"/>
      <c r="K1067" s="48" t="n"/>
      <c r="L1067" s="51">
        <f>IF(A1067="","",DATE(YEAR(A1067),MONTH(A1067),1))</f>
        <v/>
      </c>
      <c r="M1067" s="52">
        <f>IF(OR(A1067="",NOT(ISNUMBER(I1067))),"",IF(G1067=Lists!$B$5,I1067/2,IF(G1067=Lists!$B$6,I1067,0)))</f>
        <v/>
      </c>
      <c r="N1067" s="52">
        <f>IF(OR(A1067="",NOT(ISNUMBER(I1067))),"",IF(G1067=Lists!$B$5,I1067/2,IF(G1067=Lists!$B$7,I1067,0)))</f>
        <v/>
      </c>
      <c r="O1067" s="53">
        <f>IF(COUNTA(A1067:K1067)=0,"",IF(OR(A1067="",B1067="",C1067="",D1067="",E1067="",F1067="",G1067="",NOT(ISNUMBER(I1067))),"Incomplete",IF(COUNTIF(Lists!$H$4:$AA$4,C1067)=0,"Check category",IF(COUNTIF(INDEX(Lists!$H$6:$AA$45,0,MATCH(C1067,Lists!$H$4:$AA$4,0)),D1067)=0,"Check sub-category","OK"))))</f>
        <v/>
      </c>
      <c r="P1067">
        <f>IF(ISNUMBER(I1067),I1067+ROW()/10000000,"")</f>
        <v/>
      </c>
      <c r="Q1067">
        <f>IF(AND(ISNUMBER(P1067),ISNUMBER(A1067)),IF(AND(A1067&gt;=Dashboard!$Q$3,A1067&lt;=Dashboard!$Q$4,OR(J1067&lt;&gt;"Yes",Dashboard!$Q$15="Yes")),P1067,""),"")</f>
        <v/>
      </c>
    </row>
    <row r="1068">
      <c r="A1068" s="47" t="n"/>
      <c r="B1068" s="48" t="n"/>
      <c r="C1068" s="48" t="n"/>
      <c r="D1068" s="48" t="n"/>
      <c r="E1068" s="48" t="n"/>
      <c r="F1068" s="48" t="n"/>
      <c r="G1068" s="48" t="n"/>
      <c r="H1068" s="48" t="n"/>
      <c r="I1068" s="49" t="n"/>
      <c r="J1068" s="50" t="n"/>
      <c r="K1068" s="48" t="n"/>
      <c r="L1068" s="51">
        <f>IF(A1068="","",DATE(YEAR(A1068),MONTH(A1068),1))</f>
        <v/>
      </c>
      <c r="M1068" s="52">
        <f>IF(OR(A1068="",NOT(ISNUMBER(I1068))),"",IF(G1068=Lists!$B$5,I1068/2,IF(G1068=Lists!$B$6,I1068,0)))</f>
        <v/>
      </c>
      <c r="N1068" s="52">
        <f>IF(OR(A1068="",NOT(ISNUMBER(I1068))),"",IF(G1068=Lists!$B$5,I1068/2,IF(G1068=Lists!$B$7,I1068,0)))</f>
        <v/>
      </c>
      <c r="O1068" s="53">
        <f>IF(COUNTA(A1068:K1068)=0,"",IF(OR(A1068="",B1068="",C1068="",D1068="",E1068="",F1068="",G1068="",NOT(ISNUMBER(I1068))),"Incomplete",IF(COUNTIF(Lists!$H$4:$AA$4,C1068)=0,"Check category",IF(COUNTIF(INDEX(Lists!$H$6:$AA$45,0,MATCH(C1068,Lists!$H$4:$AA$4,0)),D1068)=0,"Check sub-category","OK"))))</f>
        <v/>
      </c>
      <c r="P1068">
        <f>IF(ISNUMBER(I1068),I1068+ROW()/10000000,"")</f>
        <v/>
      </c>
      <c r="Q1068">
        <f>IF(AND(ISNUMBER(P1068),ISNUMBER(A1068)),IF(AND(A1068&gt;=Dashboard!$Q$3,A1068&lt;=Dashboard!$Q$4,OR(J1068&lt;&gt;"Yes",Dashboard!$Q$15="Yes")),P1068,""),"")</f>
        <v/>
      </c>
    </row>
    <row r="1069">
      <c r="A1069" s="47" t="n"/>
      <c r="B1069" s="48" t="n"/>
      <c r="C1069" s="48" t="n"/>
      <c r="D1069" s="48" t="n"/>
      <c r="E1069" s="48" t="n"/>
      <c r="F1069" s="48" t="n"/>
      <c r="G1069" s="48" t="n"/>
      <c r="H1069" s="48" t="n"/>
      <c r="I1069" s="49" t="n"/>
      <c r="J1069" s="50" t="n"/>
      <c r="K1069" s="48" t="n"/>
      <c r="L1069" s="51">
        <f>IF(A1069="","",DATE(YEAR(A1069),MONTH(A1069),1))</f>
        <v/>
      </c>
      <c r="M1069" s="52">
        <f>IF(OR(A1069="",NOT(ISNUMBER(I1069))),"",IF(G1069=Lists!$B$5,I1069/2,IF(G1069=Lists!$B$6,I1069,0)))</f>
        <v/>
      </c>
      <c r="N1069" s="52">
        <f>IF(OR(A1069="",NOT(ISNUMBER(I1069))),"",IF(G1069=Lists!$B$5,I1069/2,IF(G1069=Lists!$B$7,I1069,0)))</f>
        <v/>
      </c>
      <c r="O1069" s="53">
        <f>IF(COUNTA(A1069:K1069)=0,"",IF(OR(A1069="",B1069="",C1069="",D1069="",E1069="",F1069="",G1069="",NOT(ISNUMBER(I1069))),"Incomplete",IF(COUNTIF(Lists!$H$4:$AA$4,C1069)=0,"Check category",IF(COUNTIF(INDEX(Lists!$H$6:$AA$45,0,MATCH(C1069,Lists!$H$4:$AA$4,0)),D1069)=0,"Check sub-category","OK"))))</f>
        <v/>
      </c>
      <c r="P1069">
        <f>IF(ISNUMBER(I1069),I1069+ROW()/10000000,"")</f>
        <v/>
      </c>
      <c r="Q1069">
        <f>IF(AND(ISNUMBER(P1069),ISNUMBER(A1069)),IF(AND(A1069&gt;=Dashboard!$Q$3,A1069&lt;=Dashboard!$Q$4,OR(J1069&lt;&gt;"Yes",Dashboard!$Q$15="Yes")),P1069,""),"")</f>
        <v/>
      </c>
    </row>
    <row r="1070">
      <c r="A1070" s="47" t="n"/>
      <c r="B1070" s="48" t="n"/>
      <c r="C1070" s="48" t="n"/>
      <c r="D1070" s="48" t="n"/>
      <c r="E1070" s="48" t="n"/>
      <c r="F1070" s="48" t="n"/>
      <c r="G1070" s="48" t="n"/>
      <c r="H1070" s="48" t="n"/>
      <c r="I1070" s="49" t="n"/>
      <c r="J1070" s="50" t="n"/>
      <c r="K1070" s="48" t="n"/>
      <c r="L1070" s="51">
        <f>IF(A1070="","",DATE(YEAR(A1070),MONTH(A1070),1))</f>
        <v/>
      </c>
      <c r="M1070" s="52">
        <f>IF(OR(A1070="",NOT(ISNUMBER(I1070))),"",IF(G1070=Lists!$B$5,I1070/2,IF(G1070=Lists!$B$6,I1070,0)))</f>
        <v/>
      </c>
      <c r="N1070" s="52">
        <f>IF(OR(A1070="",NOT(ISNUMBER(I1070))),"",IF(G1070=Lists!$B$5,I1070/2,IF(G1070=Lists!$B$7,I1070,0)))</f>
        <v/>
      </c>
      <c r="O1070" s="53">
        <f>IF(COUNTA(A1070:K1070)=0,"",IF(OR(A1070="",B1070="",C1070="",D1070="",E1070="",F1070="",G1070="",NOT(ISNUMBER(I1070))),"Incomplete",IF(COUNTIF(Lists!$H$4:$AA$4,C1070)=0,"Check category",IF(COUNTIF(INDEX(Lists!$H$6:$AA$45,0,MATCH(C1070,Lists!$H$4:$AA$4,0)),D1070)=0,"Check sub-category","OK"))))</f>
        <v/>
      </c>
      <c r="P1070">
        <f>IF(ISNUMBER(I1070),I1070+ROW()/10000000,"")</f>
        <v/>
      </c>
      <c r="Q1070">
        <f>IF(AND(ISNUMBER(P1070),ISNUMBER(A1070)),IF(AND(A1070&gt;=Dashboard!$Q$3,A1070&lt;=Dashboard!$Q$4,OR(J1070&lt;&gt;"Yes",Dashboard!$Q$15="Yes")),P1070,""),"")</f>
        <v/>
      </c>
    </row>
    <row r="1071">
      <c r="A1071" s="47" t="n"/>
      <c r="B1071" s="48" t="n"/>
      <c r="C1071" s="48" t="n"/>
      <c r="D1071" s="48" t="n"/>
      <c r="E1071" s="48" t="n"/>
      <c r="F1071" s="48" t="n"/>
      <c r="G1071" s="48" t="n"/>
      <c r="H1071" s="48" t="n"/>
      <c r="I1071" s="49" t="n"/>
      <c r="J1071" s="50" t="n"/>
      <c r="K1071" s="48" t="n"/>
      <c r="L1071" s="51">
        <f>IF(A1071="","",DATE(YEAR(A1071),MONTH(A1071),1))</f>
        <v/>
      </c>
      <c r="M1071" s="52">
        <f>IF(OR(A1071="",NOT(ISNUMBER(I1071))),"",IF(G1071=Lists!$B$5,I1071/2,IF(G1071=Lists!$B$6,I1071,0)))</f>
        <v/>
      </c>
      <c r="N1071" s="52">
        <f>IF(OR(A1071="",NOT(ISNUMBER(I1071))),"",IF(G1071=Lists!$B$5,I1071/2,IF(G1071=Lists!$B$7,I1071,0)))</f>
        <v/>
      </c>
      <c r="O1071" s="53">
        <f>IF(COUNTA(A1071:K1071)=0,"",IF(OR(A1071="",B1071="",C1071="",D1071="",E1071="",F1071="",G1071="",NOT(ISNUMBER(I1071))),"Incomplete",IF(COUNTIF(Lists!$H$4:$AA$4,C1071)=0,"Check category",IF(COUNTIF(INDEX(Lists!$H$6:$AA$45,0,MATCH(C1071,Lists!$H$4:$AA$4,0)),D1071)=0,"Check sub-category","OK"))))</f>
        <v/>
      </c>
      <c r="P1071">
        <f>IF(ISNUMBER(I1071),I1071+ROW()/10000000,"")</f>
        <v/>
      </c>
      <c r="Q1071">
        <f>IF(AND(ISNUMBER(P1071),ISNUMBER(A1071)),IF(AND(A1071&gt;=Dashboard!$Q$3,A1071&lt;=Dashboard!$Q$4,OR(J1071&lt;&gt;"Yes",Dashboard!$Q$15="Yes")),P1071,""),"")</f>
        <v/>
      </c>
    </row>
    <row r="1072">
      <c r="A1072" s="47" t="n"/>
      <c r="B1072" s="48" t="n"/>
      <c r="C1072" s="48" t="n"/>
      <c r="D1072" s="48" t="n"/>
      <c r="E1072" s="48" t="n"/>
      <c r="F1072" s="48" t="n"/>
      <c r="G1072" s="48" t="n"/>
      <c r="H1072" s="48" t="n"/>
      <c r="I1072" s="49" t="n"/>
      <c r="J1072" s="50" t="n"/>
      <c r="K1072" s="48" t="n"/>
      <c r="L1072" s="51">
        <f>IF(A1072="","",DATE(YEAR(A1072),MONTH(A1072),1))</f>
        <v/>
      </c>
      <c r="M1072" s="52">
        <f>IF(OR(A1072="",NOT(ISNUMBER(I1072))),"",IF(G1072=Lists!$B$5,I1072/2,IF(G1072=Lists!$B$6,I1072,0)))</f>
        <v/>
      </c>
      <c r="N1072" s="52">
        <f>IF(OR(A1072="",NOT(ISNUMBER(I1072))),"",IF(G1072=Lists!$B$5,I1072/2,IF(G1072=Lists!$B$7,I1072,0)))</f>
        <v/>
      </c>
      <c r="O1072" s="53">
        <f>IF(COUNTA(A1072:K1072)=0,"",IF(OR(A1072="",B1072="",C1072="",D1072="",E1072="",F1072="",G1072="",NOT(ISNUMBER(I1072))),"Incomplete",IF(COUNTIF(Lists!$H$4:$AA$4,C1072)=0,"Check category",IF(COUNTIF(INDEX(Lists!$H$6:$AA$45,0,MATCH(C1072,Lists!$H$4:$AA$4,0)),D1072)=0,"Check sub-category","OK"))))</f>
        <v/>
      </c>
      <c r="P1072">
        <f>IF(ISNUMBER(I1072),I1072+ROW()/10000000,"")</f>
        <v/>
      </c>
      <c r="Q1072">
        <f>IF(AND(ISNUMBER(P1072),ISNUMBER(A1072)),IF(AND(A1072&gt;=Dashboard!$Q$3,A1072&lt;=Dashboard!$Q$4,OR(J1072&lt;&gt;"Yes",Dashboard!$Q$15="Yes")),P1072,""),"")</f>
        <v/>
      </c>
    </row>
    <row r="1073">
      <c r="A1073" s="47" t="n"/>
      <c r="B1073" s="48" t="n"/>
      <c r="C1073" s="48" t="n"/>
      <c r="D1073" s="48" t="n"/>
      <c r="E1073" s="48" t="n"/>
      <c r="F1073" s="48" t="n"/>
      <c r="G1073" s="48" t="n"/>
      <c r="H1073" s="48" t="n"/>
      <c r="I1073" s="49" t="n"/>
      <c r="J1073" s="50" t="n"/>
      <c r="K1073" s="48" t="n"/>
      <c r="L1073" s="51">
        <f>IF(A1073="","",DATE(YEAR(A1073),MONTH(A1073),1))</f>
        <v/>
      </c>
      <c r="M1073" s="52">
        <f>IF(OR(A1073="",NOT(ISNUMBER(I1073))),"",IF(G1073=Lists!$B$5,I1073/2,IF(G1073=Lists!$B$6,I1073,0)))</f>
        <v/>
      </c>
      <c r="N1073" s="52">
        <f>IF(OR(A1073="",NOT(ISNUMBER(I1073))),"",IF(G1073=Lists!$B$5,I1073/2,IF(G1073=Lists!$B$7,I1073,0)))</f>
        <v/>
      </c>
      <c r="O1073" s="53">
        <f>IF(COUNTA(A1073:K1073)=0,"",IF(OR(A1073="",B1073="",C1073="",D1073="",E1073="",F1073="",G1073="",NOT(ISNUMBER(I1073))),"Incomplete",IF(COUNTIF(Lists!$H$4:$AA$4,C1073)=0,"Check category",IF(COUNTIF(INDEX(Lists!$H$6:$AA$45,0,MATCH(C1073,Lists!$H$4:$AA$4,0)),D1073)=0,"Check sub-category","OK"))))</f>
        <v/>
      </c>
      <c r="P1073">
        <f>IF(ISNUMBER(I1073),I1073+ROW()/10000000,"")</f>
        <v/>
      </c>
      <c r="Q1073">
        <f>IF(AND(ISNUMBER(P1073),ISNUMBER(A1073)),IF(AND(A1073&gt;=Dashboard!$Q$3,A1073&lt;=Dashboard!$Q$4,OR(J1073&lt;&gt;"Yes",Dashboard!$Q$15="Yes")),P1073,""),"")</f>
        <v/>
      </c>
    </row>
    <row r="1074">
      <c r="A1074" s="47" t="n"/>
      <c r="B1074" s="48" t="n"/>
      <c r="C1074" s="48" t="n"/>
      <c r="D1074" s="48" t="n"/>
      <c r="E1074" s="48" t="n"/>
      <c r="F1074" s="48" t="n"/>
      <c r="G1074" s="48" t="n"/>
      <c r="H1074" s="48" t="n"/>
      <c r="I1074" s="49" t="n"/>
      <c r="J1074" s="50" t="n"/>
      <c r="K1074" s="48" t="n"/>
      <c r="L1074" s="51">
        <f>IF(A1074="","",DATE(YEAR(A1074),MONTH(A1074),1))</f>
        <v/>
      </c>
      <c r="M1074" s="52">
        <f>IF(OR(A1074="",NOT(ISNUMBER(I1074))),"",IF(G1074=Lists!$B$5,I1074/2,IF(G1074=Lists!$B$6,I1074,0)))</f>
        <v/>
      </c>
      <c r="N1074" s="52">
        <f>IF(OR(A1074="",NOT(ISNUMBER(I1074))),"",IF(G1074=Lists!$B$5,I1074/2,IF(G1074=Lists!$B$7,I1074,0)))</f>
        <v/>
      </c>
      <c r="O1074" s="53">
        <f>IF(COUNTA(A1074:K1074)=0,"",IF(OR(A1074="",B1074="",C1074="",D1074="",E1074="",F1074="",G1074="",NOT(ISNUMBER(I1074))),"Incomplete",IF(COUNTIF(Lists!$H$4:$AA$4,C1074)=0,"Check category",IF(COUNTIF(INDEX(Lists!$H$6:$AA$45,0,MATCH(C1074,Lists!$H$4:$AA$4,0)),D1074)=0,"Check sub-category","OK"))))</f>
        <v/>
      </c>
      <c r="P1074">
        <f>IF(ISNUMBER(I1074),I1074+ROW()/10000000,"")</f>
        <v/>
      </c>
      <c r="Q1074">
        <f>IF(AND(ISNUMBER(P1074),ISNUMBER(A1074)),IF(AND(A1074&gt;=Dashboard!$Q$3,A1074&lt;=Dashboard!$Q$4,OR(J1074&lt;&gt;"Yes",Dashboard!$Q$15="Yes")),P1074,""),"")</f>
        <v/>
      </c>
    </row>
    <row r="1075">
      <c r="A1075" s="47" t="n"/>
      <c r="B1075" s="48" t="n"/>
      <c r="C1075" s="48" t="n"/>
      <c r="D1075" s="48" t="n"/>
      <c r="E1075" s="48" t="n"/>
      <c r="F1075" s="48" t="n"/>
      <c r="G1075" s="48" t="n"/>
      <c r="H1075" s="48" t="n"/>
      <c r="I1075" s="49" t="n"/>
      <c r="J1075" s="50" t="n"/>
      <c r="K1075" s="48" t="n"/>
      <c r="L1075" s="51">
        <f>IF(A1075="","",DATE(YEAR(A1075),MONTH(A1075),1))</f>
        <v/>
      </c>
      <c r="M1075" s="52">
        <f>IF(OR(A1075="",NOT(ISNUMBER(I1075))),"",IF(G1075=Lists!$B$5,I1075/2,IF(G1075=Lists!$B$6,I1075,0)))</f>
        <v/>
      </c>
      <c r="N1075" s="52">
        <f>IF(OR(A1075="",NOT(ISNUMBER(I1075))),"",IF(G1075=Lists!$B$5,I1075/2,IF(G1075=Lists!$B$7,I1075,0)))</f>
        <v/>
      </c>
      <c r="O1075" s="53">
        <f>IF(COUNTA(A1075:K1075)=0,"",IF(OR(A1075="",B1075="",C1075="",D1075="",E1075="",F1075="",G1075="",NOT(ISNUMBER(I1075))),"Incomplete",IF(COUNTIF(Lists!$H$4:$AA$4,C1075)=0,"Check category",IF(COUNTIF(INDEX(Lists!$H$6:$AA$45,0,MATCH(C1075,Lists!$H$4:$AA$4,0)),D1075)=0,"Check sub-category","OK"))))</f>
        <v/>
      </c>
      <c r="P1075">
        <f>IF(ISNUMBER(I1075),I1075+ROW()/10000000,"")</f>
        <v/>
      </c>
      <c r="Q1075">
        <f>IF(AND(ISNUMBER(P1075),ISNUMBER(A1075)),IF(AND(A1075&gt;=Dashboard!$Q$3,A1075&lt;=Dashboard!$Q$4,OR(J1075&lt;&gt;"Yes",Dashboard!$Q$15="Yes")),P1075,""),"")</f>
        <v/>
      </c>
    </row>
    <row r="1076">
      <c r="A1076" s="47" t="n"/>
      <c r="B1076" s="48" t="n"/>
      <c r="C1076" s="48" t="n"/>
      <c r="D1076" s="48" t="n"/>
      <c r="E1076" s="48" t="n"/>
      <c r="F1076" s="48" t="n"/>
      <c r="G1076" s="48" t="n"/>
      <c r="H1076" s="48" t="n"/>
      <c r="I1076" s="49" t="n"/>
      <c r="J1076" s="50" t="n"/>
      <c r="K1076" s="48" t="n"/>
      <c r="L1076" s="51">
        <f>IF(A1076="","",DATE(YEAR(A1076),MONTH(A1076),1))</f>
        <v/>
      </c>
      <c r="M1076" s="52">
        <f>IF(OR(A1076="",NOT(ISNUMBER(I1076))),"",IF(G1076=Lists!$B$5,I1076/2,IF(G1076=Lists!$B$6,I1076,0)))</f>
        <v/>
      </c>
      <c r="N1076" s="52">
        <f>IF(OR(A1076="",NOT(ISNUMBER(I1076))),"",IF(G1076=Lists!$B$5,I1076/2,IF(G1076=Lists!$B$7,I1076,0)))</f>
        <v/>
      </c>
      <c r="O1076" s="53">
        <f>IF(COUNTA(A1076:K1076)=0,"",IF(OR(A1076="",B1076="",C1076="",D1076="",E1076="",F1076="",G1076="",NOT(ISNUMBER(I1076))),"Incomplete",IF(COUNTIF(Lists!$H$4:$AA$4,C1076)=0,"Check category",IF(COUNTIF(INDEX(Lists!$H$6:$AA$45,0,MATCH(C1076,Lists!$H$4:$AA$4,0)),D1076)=0,"Check sub-category","OK"))))</f>
        <v/>
      </c>
      <c r="P1076">
        <f>IF(ISNUMBER(I1076),I1076+ROW()/10000000,"")</f>
        <v/>
      </c>
      <c r="Q1076">
        <f>IF(AND(ISNUMBER(P1076),ISNUMBER(A1076)),IF(AND(A1076&gt;=Dashboard!$Q$3,A1076&lt;=Dashboard!$Q$4,OR(J1076&lt;&gt;"Yes",Dashboard!$Q$15="Yes")),P1076,""),"")</f>
        <v/>
      </c>
    </row>
    <row r="1077">
      <c r="A1077" s="47" t="n"/>
      <c r="B1077" s="48" t="n"/>
      <c r="C1077" s="48" t="n"/>
      <c r="D1077" s="48" t="n"/>
      <c r="E1077" s="48" t="n"/>
      <c r="F1077" s="48" t="n"/>
      <c r="G1077" s="48" t="n"/>
      <c r="H1077" s="48" t="n"/>
      <c r="I1077" s="49" t="n"/>
      <c r="J1077" s="50" t="n"/>
      <c r="K1077" s="48" t="n"/>
      <c r="L1077" s="51">
        <f>IF(A1077="","",DATE(YEAR(A1077),MONTH(A1077),1))</f>
        <v/>
      </c>
      <c r="M1077" s="52">
        <f>IF(OR(A1077="",NOT(ISNUMBER(I1077))),"",IF(G1077=Lists!$B$5,I1077/2,IF(G1077=Lists!$B$6,I1077,0)))</f>
        <v/>
      </c>
      <c r="N1077" s="52">
        <f>IF(OR(A1077="",NOT(ISNUMBER(I1077))),"",IF(G1077=Lists!$B$5,I1077/2,IF(G1077=Lists!$B$7,I1077,0)))</f>
        <v/>
      </c>
      <c r="O1077" s="53">
        <f>IF(COUNTA(A1077:K1077)=0,"",IF(OR(A1077="",B1077="",C1077="",D1077="",E1077="",F1077="",G1077="",NOT(ISNUMBER(I1077))),"Incomplete",IF(COUNTIF(Lists!$H$4:$AA$4,C1077)=0,"Check category",IF(COUNTIF(INDEX(Lists!$H$6:$AA$45,0,MATCH(C1077,Lists!$H$4:$AA$4,0)),D1077)=0,"Check sub-category","OK"))))</f>
        <v/>
      </c>
      <c r="P1077">
        <f>IF(ISNUMBER(I1077),I1077+ROW()/10000000,"")</f>
        <v/>
      </c>
      <c r="Q1077">
        <f>IF(AND(ISNUMBER(P1077),ISNUMBER(A1077)),IF(AND(A1077&gt;=Dashboard!$Q$3,A1077&lt;=Dashboard!$Q$4,OR(J1077&lt;&gt;"Yes",Dashboard!$Q$15="Yes")),P1077,""),"")</f>
        <v/>
      </c>
    </row>
    <row r="1078">
      <c r="A1078" s="47" t="n"/>
      <c r="B1078" s="48" t="n"/>
      <c r="C1078" s="48" t="n"/>
      <c r="D1078" s="48" t="n"/>
      <c r="E1078" s="48" t="n"/>
      <c r="F1078" s="48" t="n"/>
      <c r="G1078" s="48" t="n"/>
      <c r="H1078" s="48" t="n"/>
      <c r="I1078" s="49" t="n"/>
      <c r="J1078" s="50" t="n"/>
      <c r="K1078" s="48" t="n"/>
      <c r="L1078" s="51">
        <f>IF(A1078="","",DATE(YEAR(A1078),MONTH(A1078),1))</f>
        <v/>
      </c>
      <c r="M1078" s="52">
        <f>IF(OR(A1078="",NOT(ISNUMBER(I1078))),"",IF(G1078=Lists!$B$5,I1078/2,IF(G1078=Lists!$B$6,I1078,0)))</f>
        <v/>
      </c>
      <c r="N1078" s="52">
        <f>IF(OR(A1078="",NOT(ISNUMBER(I1078))),"",IF(G1078=Lists!$B$5,I1078/2,IF(G1078=Lists!$B$7,I1078,0)))</f>
        <v/>
      </c>
      <c r="O1078" s="53">
        <f>IF(COUNTA(A1078:K1078)=0,"",IF(OR(A1078="",B1078="",C1078="",D1078="",E1078="",F1078="",G1078="",NOT(ISNUMBER(I1078))),"Incomplete",IF(COUNTIF(Lists!$H$4:$AA$4,C1078)=0,"Check category",IF(COUNTIF(INDEX(Lists!$H$6:$AA$45,0,MATCH(C1078,Lists!$H$4:$AA$4,0)),D1078)=0,"Check sub-category","OK"))))</f>
        <v/>
      </c>
      <c r="P1078">
        <f>IF(ISNUMBER(I1078),I1078+ROW()/10000000,"")</f>
        <v/>
      </c>
      <c r="Q1078">
        <f>IF(AND(ISNUMBER(P1078),ISNUMBER(A1078)),IF(AND(A1078&gt;=Dashboard!$Q$3,A1078&lt;=Dashboard!$Q$4,OR(J1078&lt;&gt;"Yes",Dashboard!$Q$15="Yes")),P1078,""),"")</f>
        <v/>
      </c>
    </row>
    <row r="1079">
      <c r="A1079" s="47" t="n"/>
      <c r="B1079" s="48" t="n"/>
      <c r="C1079" s="48" t="n"/>
      <c r="D1079" s="48" t="n"/>
      <c r="E1079" s="48" t="n"/>
      <c r="F1079" s="48" t="n"/>
      <c r="G1079" s="48" t="n"/>
      <c r="H1079" s="48" t="n"/>
      <c r="I1079" s="49" t="n"/>
      <c r="J1079" s="50" t="n"/>
      <c r="K1079" s="48" t="n"/>
      <c r="L1079" s="51">
        <f>IF(A1079="","",DATE(YEAR(A1079),MONTH(A1079),1))</f>
        <v/>
      </c>
      <c r="M1079" s="52">
        <f>IF(OR(A1079="",NOT(ISNUMBER(I1079))),"",IF(G1079=Lists!$B$5,I1079/2,IF(G1079=Lists!$B$6,I1079,0)))</f>
        <v/>
      </c>
      <c r="N1079" s="52">
        <f>IF(OR(A1079="",NOT(ISNUMBER(I1079))),"",IF(G1079=Lists!$B$5,I1079/2,IF(G1079=Lists!$B$7,I1079,0)))</f>
        <v/>
      </c>
      <c r="O1079" s="53">
        <f>IF(COUNTA(A1079:K1079)=0,"",IF(OR(A1079="",B1079="",C1079="",D1079="",E1079="",F1079="",G1079="",NOT(ISNUMBER(I1079))),"Incomplete",IF(COUNTIF(Lists!$H$4:$AA$4,C1079)=0,"Check category",IF(COUNTIF(INDEX(Lists!$H$6:$AA$45,0,MATCH(C1079,Lists!$H$4:$AA$4,0)),D1079)=0,"Check sub-category","OK"))))</f>
        <v/>
      </c>
      <c r="P1079">
        <f>IF(ISNUMBER(I1079),I1079+ROW()/10000000,"")</f>
        <v/>
      </c>
      <c r="Q1079">
        <f>IF(AND(ISNUMBER(P1079),ISNUMBER(A1079)),IF(AND(A1079&gt;=Dashboard!$Q$3,A1079&lt;=Dashboard!$Q$4,OR(J1079&lt;&gt;"Yes",Dashboard!$Q$15="Yes")),P1079,""),"")</f>
        <v/>
      </c>
    </row>
    <row r="1080">
      <c r="A1080" s="47" t="n"/>
      <c r="B1080" s="48" t="n"/>
      <c r="C1080" s="48" t="n"/>
      <c r="D1080" s="48" t="n"/>
      <c r="E1080" s="48" t="n"/>
      <c r="F1080" s="48" t="n"/>
      <c r="G1080" s="48" t="n"/>
      <c r="H1080" s="48" t="n"/>
      <c r="I1080" s="49" t="n"/>
      <c r="J1080" s="50" t="n"/>
      <c r="K1080" s="48" t="n"/>
      <c r="L1080" s="51">
        <f>IF(A1080="","",DATE(YEAR(A1080),MONTH(A1080),1))</f>
        <v/>
      </c>
      <c r="M1080" s="52">
        <f>IF(OR(A1080="",NOT(ISNUMBER(I1080))),"",IF(G1080=Lists!$B$5,I1080/2,IF(G1080=Lists!$B$6,I1080,0)))</f>
        <v/>
      </c>
      <c r="N1080" s="52">
        <f>IF(OR(A1080="",NOT(ISNUMBER(I1080))),"",IF(G1080=Lists!$B$5,I1080/2,IF(G1080=Lists!$B$7,I1080,0)))</f>
        <v/>
      </c>
      <c r="O1080" s="53">
        <f>IF(COUNTA(A1080:K1080)=0,"",IF(OR(A1080="",B1080="",C1080="",D1080="",E1080="",F1080="",G1080="",NOT(ISNUMBER(I1080))),"Incomplete",IF(COUNTIF(Lists!$H$4:$AA$4,C1080)=0,"Check category",IF(COUNTIF(INDEX(Lists!$H$6:$AA$45,0,MATCH(C1080,Lists!$H$4:$AA$4,0)),D1080)=0,"Check sub-category","OK"))))</f>
        <v/>
      </c>
      <c r="P1080">
        <f>IF(ISNUMBER(I1080),I1080+ROW()/10000000,"")</f>
        <v/>
      </c>
      <c r="Q1080">
        <f>IF(AND(ISNUMBER(P1080),ISNUMBER(A1080)),IF(AND(A1080&gt;=Dashboard!$Q$3,A1080&lt;=Dashboard!$Q$4,OR(J1080&lt;&gt;"Yes",Dashboard!$Q$15="Yes")),P1080,""),"")</f>
        <v/>
      </c>
    </row>
    <row r="1081">
      <c r="A1081" s="47" t="n"/>
      <c r="B1081" s="48" t="n"/>
      <c r="C1081" s="48" t="n"/>
      <c r="D1081" s="48" t="n"/>
      <c r="E1081" s="48" t="n"/>
      <c r="F1081" s="48" t="n"/>
      <c r="G1081" s="48" t="n"/>
      <c r="H1081" s="48" t="n"/>
      <c r="I1081" s="49" t="n"/>
      <c r="J1081" s="50" t="n"/>
      <c r="K1081" s="48" t="n"/>
      <c r="L1081" s="51">
        <f>IF(A1081="","",DATE(YEAR(A1081),MONTH(A1081),1))</f>
        <v/>
      </c>
      <c r="M1081" s="52">
        <f>IF(OR(A1081="",NOT(ISNUMBER(I1081))),"",IF(G1081=Lists!$B$5,I1081/2,IF(G1081=Lists!$B$6,I1081,0)))</f>
        <v/>
      </c>
      <c r="N1081" s="52">
        <f>IF(OR(A1081="",NOT(ISNUMBER(I1081))),"",IF(G1081=Lists!$B$5,I1081/2,IF(G1081=Lists!$B$7,I1081,0)))</f>
        <v/>
      </c>
      <c r="O1081" s="53">
        <f>IF(COUNTA(A1081:K1081)=0,"",IF(OR(A1081="",B1081="",C1081="",D1081="",E1081="",F1081="",G1081="",NOT(ISNUMBER(I1081))),"Incomplete",IF(COUNTIF(Lists!$H$4:$AA$4,C1081)=0,"Check category",IF(COUNTIF(INDEX(Lists!$H$6:$AA$45,0,MATCH(C1081,Lists!$H$4:$AA$4,0)),D1081)=0,"Check sub-category","OK"))))</f>
        <v/>
      </c>
      <c r="P1081">
        <f>IF(ISNUMBER(I1081),I1081+ROW()/10000000,"")</f>
        <v/>
      </c>
      <c r="Q1081">
        <f>IF(AND(ISNUMBER(P1081),ISNUMBER(A1081)),IF(AND(A1081&gt;=Dashboard!$Q$3,A1081&lt;=Dashboard!$Q$4,OR(J1081&lt;&gt;"Yes",Dashboard!$Q$15="Yes")),P1081,""),"")</f>
        <v/>
      </c>
    </row>
    <row r="1082">
      <c r="A1082" s="47" t="n"/>
      <c r="B1082" s="48" t="n"/>
      <c r="C1082" s="48" t="n"/>
      <c r="D1082" s="48" t="n"/>
      <c r="E1082" s="48" t="n"/>
      <c r="F1082" s="48" t="n"/>
      <c r="G1082" s="48" t="n"/>
      <c r="H1082" s="48" t="n"/>
      <c r="I1082" s="49" t="n"/>
      <c r="J1082" s="50" t="n"/>
      <c r="K1082" s="48" t="n"/>
      <c r="L1082" s="51">
        <f>IF(A1082="","",DATE(YEAR(A1082),MONTH(A1082),1))</f>
        <v/>
      </c>
      <c r="M1082" s="52">
        <f>IF(OR(A1082="",NOT(ISNUMBER(I1082))),"",IF(G1082=Lists!$B$5,I1082/2,IF(G1082=Lists!$B$6,I1082,0)))</f>
        <v/>
      </c>
      <c r="N1082" s="52">
        <f>IF(OR(A1082="",NOT(ISNUMBER(I1082))),"",IF(G1082=Lists!$B$5,I1082/2,IF(G1082=Lists!$B$7,I1082,0)))</f>
        <v/>
      </c>
      <c r="O1082" s="53">
        <f>IF(COUNTA(A1082:K1082)=0,"",IF(OR(A1082="",B1082="",C1082="",D1082="",E1082="",F1082="",G1082="",NOT(ISNUMBER(I1082))),"Incomplete",IF(COUNTIF(Lists!$H$4:$AA$4,C1082)=0,"Check category",IF(COUNTIF(INDEX(Lists!$H$6:$AA$45,0,MATCH(C1082,Lists!$H$4:$AA$4,0)),D1082)=0,"Check sub-category","OK"))))</f>
        <v/>
      </c>
      <c r="P1082">
        <f>IF(ISNUMBER(I1082),I1082+ROW()/10000000,"")</f>
        <v/>
      </c>
      <c r="Q1082">
        <f>IF(AND(ISNUMBER(P1082),ISNUMBER(A1082)),IF(AND(A1082&gt;=Dashboard!$Q$3,A1082&lt;=Dashboard!$Q$4,OR(J1082&lt;&gt;"Yes",Dashboard!$Q$15="Yes")),P1082,""),"")</f>
        <v/>
      </c>
    </row>
    <row r="1083">
      <c r="A1083" s="47" t="n"/>
      <c r="B1083" s="48" t="n"/>
      <c r="C1083" s="48" t="n"/>
      <c r="D1083" s="48" t="n"/>
      <c r="E1083" s="48" t="n"/>
      <c r="F1083" s="48" t="n"/>
      <c r="G1083" s="48" t="n"/>
      <c r="H1083" s="48" t="n"/>
      <c r="I1083" s="49" t="n"/>
      <c r="J1083" s="50" t="n"/>
      <c r="K1083" s="48" t="n"/>
      <c r="L1083" s="51">
        <f>IF(A1083="","",DATE(YEAR(A1083),MONTH(A1083),1))</f>
        <v/>
      </c>
      <c r="M1083" s="52">
        <f>IF(OR(A1083="",NOT(ISNUMBER(I1083))),"",IF(G1083=Lists!$B$5,I1083/2,IF(G1083=Lists!$B$6,I1083,0)))</f>
        <v/>
      </c>
      <c r="N1083" s="52">
        <f>IF(OR(A1083="",NOT(ISNUMBER(I1083))),"",IF(G1083=Lists!$B$5,I1083/2,IF(G1083=Lists!$B$7,I1083,0)))</f>
        <v/>
      </c>
      <c r="O1083" s="53">
        <f>IF(COUNTA(A1083:K1083)=0,"",IF(OR(A1083="",B1083="",C1083="",D1083="",E1083="",F1083="",G1083="",NOT(ISNUMBER(I1083))),"Incomplete",IF(COUNTIF(Lists!$H$4:$AA$4,C1083)=0,"Check category",IF(COUNTIF(INDEX(Lists!$H$6:$AA$45,0,MATCH(C1083,Lists!$H$4:$AA$4,0)),D1083)=0,"Check sub-category","OK"))))</f>
        <v/>
      </c>
      <c r="P1083">
        <f>IF(ISNUMBER(I1083),I1083+ROW()/10000000,"")</f>
        <v/>
      </c>
      <c r="Q1083">
        <f>IF(AND(ISNUMBER(P1083),ISNUMBER(A1083)),IF(AND(A1083&gt;=Dashboard!$Q$3,A1083&lt;=Dashboard!$Q$4,OR(J1083&lt;&gt;"Yes",Dashboard!$Q$15="Yes")),P1083,""),"")</f>
        <v/>
      </c>
    </row>
    <row r="1084">
      <c r="A1084" s="47" t="n"/>
      <c r="B1084" s="48" t="n"/>
      <c r="C1084" s="48" t="n"/>
      <c r="D1084" s="48" t="n"/>
      <c r="E1084" s="48" t="n"/>
      <c r="F1084" s="48" t="n"/>
      <c r="G1084" s="48" t="n"/>
      <c r="H1084" s="48" t="n"/>
      <c r="I1084" s="49" t="n"/>
      <c r="J1084" s="50" t="n"/>
      <c r="K1084" s="48" t="n"/>
      <c r="L1084" s="51">
        <f>IF(A1084="","",DATE(YEAR(A1084),MONTH(A1084),1))</f>
        <v/>
      </c>
      <c r="M1084" s="52">
        <f>IF(OR(A1084="",NOT(ISNUMBER(I1084))),"",IF(G1084=Lists!$B$5,I1084/2,IF(G1084=Lists!$B$6,I1084,0)))</f>
        <v/>
      </c>
      <c r="N1084" s="52">
        <f>IF(OR(A1084="",NOT(ISNUMBER(I1084))),"",IF(G1084=Lists!$B$5,I1084/2,IF(G1084=Lists!$B$7,I1084,0)))</f>
        <v/>
      </c>
      <c r="O1084" s="53">
        <f>IF(COUNTA(A1084:K1084)=0,"",IF(OR(A1084="",B1084="",C1084="",D1084="",E1084="",F1084="",G1084="",NOT(ISNUMBER(I1084))),"Incomplete",IF(COUNTIF(Lists!$H$4:$AA$4,C1084)=0,"Check category",IF(COUNTIF(INDEX(Lists!$H$6:$AA$45,0,MATCH(C1084,Lists!$H$4:$AA$4,0)),D1084)=0,"Check sub-category","OK"))))</f>
        <v/>
      </c>
      <c r="P1084">
        <f>IF(ISNUMBER(I1084),I1084+ROW()/10000000,"")</f>
        <v/>
      </c>
      <c r="Q1084">
        <f>IF(AND(ISNUMBER(P1084),ISNUMBER(A1084)),IF(AND(A1084&gt;=Dashboard!$Q$3,A1084&lt;=Dashboard!$Q$4,OR(J1084&lt;&gt;"Yes",Dashboard!$Q$15="Yes")),P1084,""),"")</f>
        <v/>
      </c>
    </row>
    <row r="1085">
      <c r="A1085" s="47" t="n"/>
      <c r="B1085" s="48" t="n"/>
      <c r="C1085" s="48" t="n"/>
      <c r="D1085" s="48" t="n"/>
      <c r="E1085" s="48" t="n"/>
      <c r="F1085" s="48" t="n"/>
      <c r="G1085" s="48" t="n"/>
      <c r="H1085" s="48" t="n"/>
      <c r="I1085" s="49" t="n"/>
      <c r="J1085" s="50" t="n"/>
      <c r="K1085" s="48" t="n"/>
      <c r="L1085" s="51">
        <f>IF(A1085="","",DATE(YEAR(A1085),MONTH(A1085),1))</f>
        <v/>
      </c>
      <c r="M1085" s="52">
        <f>IF(OR(A1085="",NOT(ISNUMBER(I1085))),"",IF(G1085=Lists!$B$5,I1085/2,IF(G1085=Lists!$B$6,I1085,0)))</f>
        <v/>
      </c>
      <c r="N1085" s="52">
        <f>IF(OR(A1085="",NOT(ISNUMBER(I1085))),"",IF(G1085=Lists!$B$5,I1085/2,IF(G1085=Lists!$B$7,I1085,0)))</f>
        <v/>
      </c>
      <c r="O1085" s="53">
        <f>IF(COUNTA(A1085:K1085)=0,"",IF(OR(A1085="",B1085="",C1085="",D1085="",E1085="",F1085="",G1085="",NOT(ISNUMBER(I1085))),"Incomplete",IF(COUNTIF(Lists!$H$4:$AA$4,C1085)=0,"Check category",IF(COUNTIF(INDEX(Lists!$H$6:$AA$45,0,MATCH(C1085,Lists!$H$4:$AA$4,0)),D1085)=0,"Check sub-category","OK"))))</f>
        <v/>
      </c>
      <c r="P1085">
        <f>IF(ISNUMBER(I1085),I1085+ROW()/10000000,"")</f>
        <v/>
      </c>
      <c r="Q1085">
        <f>IF(AND(ISNUMBER(P1085),ISNUMBER(A1085)),IF(AND(A1085&gt;=Dashboard!$Q$3,A1085&lt;=Dashboard!$Q$4,OR(J1085&lt;&gt;"Yes",Dashboard!$Q$15="Yes")),P1085,""),"")</f>
        <v/>
      </c>
    </row>
    <row r="1086">
      <c r="A1086" s="47" t="n"/>
      <c r="B1086" s="48" t="n"/>
      <c r="C1086" s="48" t="n"/>
      <c r="D1086" s="48" t="n"/>
      <c r="E1086" s="48" t="n"/>
      <c r="F1086" s="48" t="n"/>
      <c r="G1086" s="48" t="n"/>
      <c r="H1086" s="48" t="n"/>
      <c r="I1086" s="49" t="n"/>
      <c r="J1086" s="50" t="n"/>
      <c r="K1086" s="48" t="n"/>
      <c r="L1086" s="51">
        <f>IF(A1086="","",DATE(YEAR(A1086),MONTH(A1086),1))</f>
        <v/>
      </c>
      <c r="M1086" s="52">
        <f>IF(OR(A1086="",NOT(ISNUMBER(I1086))),"",IF(G1086=Lists!$B$5,I1086/2,IF(G1086=Lists!$B$6,I1086,0)))</f>
        <v/>
      </c>
      <c r="N1086" s="52">
        <f>IF(OR(A1086="",NOT(ISNUMBER(I1086))),"",IF(G1086=Lists!$B$5,I1086/2,IF(G1086=Lists!$B$7,I1086,0)))</f>
        <v/>
      </c>
      <c r="O1086" s="53">
        <f>IF(COUNTA(A1086:K1086)=0,"",IF(OR(A1086="",B1086="",C1086="",D1086="",E1086="",F1086="",G1086="",NOT(ISNUMBER(I1086))),"Incomplete",IF(COUNTIF(Lists!$H$4:$AA$4,C1086)=0,"Check category",IF(COUNTIF(INDEX(Lists!$H$6:$AA$45,0,MATCH(C1086,Lists!$H$4:$AA$4,0)),D1086)=0,"Check sub-category","OK"))))</f>
        <v/>
      </c>
      <c r="P1086">
        <f>IF(ISNUMBER(I1086),I1086+ROW()/10000000,"")</f>
        <v/>
      </c>
      <c r="Q1086">
        <f>IF(AND(ISNUMBER(P1086),ISNUMBER(A1086)),IF(AND(A1086&gt;=Dashboard!$Q$3,A1086&lt;=Dashboard!$Q$4,OR(J1086&lt;&gt;"Yes",Dashboard!$Q$15="Yes")),P1086,""),"")</f>
        <v/>
      </c>
    </row>
    <row r="1087">
      <c r="A1087" s="47" t="n"/>
      <c r="B1087" s="48" t="n"/>
      <c r="C1087" s="48" t="n"/>
      <c r="D1087" s="48" t="n"/>
      <c r="E1087" s="48" t="n"/>
      <c r="F1087" s="48" t="n"/>
      <c r="G1087" s="48" t="n"/>
      <c r="H1087" s="48" t="n"/>
      <c r="I1087" s="49" t="n"/>
      <c r="J1087" s="50" t="n"/>
      <c r="K1087" s="48" t="n"/>
      <c r="L1087" s="51">
        <f>IF(A1087="","",DATE(YEAR(A1087),MONTH(A1087),1))</f>
        <v/>
      </c>
      <c r="M1087" s="52">
        <f>IF(OR(A1087="",NOT(ISNUMBER(I1087))),"",IF(G1087=Lists!$B$5,I1087/2,IF(G1087=Lists!$B$6,I1087,0)))</f>
        <v/>
      </c>
      <c r="N1087" s="52">
        <f>IF(OR(A1087="",NOT(ISNUMBER(I1087))),"",IF(G1087=Lists!$B$5,I1087/2,IF(G1087=Lists!$B$7,I1087,0)))</f>
        <v/>
      </c>
      <c r="O1087" s="53">
        <f>IF(COUNTA(A1087:K1087)=0,"",IF(OR(A1087="",B1087="",C1087="",D1087="",E1087="",F1087="",G1087="",NOT(ISNUMBER(I1087))),"Incomplete",IF(COUNTIF(Lists!$H$4:$AA$4,C1087)=0,"Check category",IF(COUNTIF(INDEX(Lists!$H$6:$AA$45,0,MATCH(C1087,Lists!$H$4:$AA$4,0)),D1087)=0,"Check sub-category","OK"))))</f>
        <v/>
      </c>
      <c r="P1087">
        <f>IF(ISNUMBER(I1087),I1087+ROW()/10000000,"")</f>
        <v/>
      </c>
      <c r="Q1087">
        <f>IF(AND(ISNUMBER(P1087),ISNUMBER(A1087)),IF(AND(A1087&gt;=Dashboard!$Q$3,A1087&lt;=Dashboard!$Q$4,OR(J1087&lt;&gt;"Yes",Dashboard!$Q$15="Yes")),P1087,""),"")</f>
        <v/>
      </c>
    </row>
    <row r="1088">
      <c r="A1088" s="47" t="n"/>
      <c r="B1088" s="48" t="n"/>
      <c r="C1088" s="48" t="n"/>
      <c r="D1088" s="48" t="n"/>
      <c r="E1088" s="48" t="n"/>
      <c r="F1088" s="48" t="n"/>
      <c r="G1088" s="48" t="n"/>
      <c r="H1088" s="48" t="n"/>
      <c r="I1088" s="49" t="n"/>
      <c r="J1088" s="50" t="n"/>
      <c r="K1088" s="48" t="n"/>
      <c r="L1088" s="51">
        <f>IF(A1088="","",DATE(YEAR(A1088),MONTH(A1088),1))</f>
        <v/>
      </c>
      <c r="M1088" s="52">
        <f>IF(OR(A1088="",NOT(ISNUMBER(I1088))),"",IF(G1088=Lists!$B$5,I1088/2,IF(G1088=Lists!$B$6,I1088,0)))</f>
        <v/>
      </c>
      <c r="N1088" s="52">
        <f>IF(OR(A1088="",NOT(ISNUMBER(I1088))),"",IF(G1088=Lists!$B$5,I1088/2,IF(G1088=Lists!$B$7,I1088,0)))</f>
        <v/>
      </c>
      <c r="O1088" s="53">
        <f>IF(COUNTA(A1088:K1088)=0,"",IF(OR(A1088="",B1088="",C1088="",D1088="",E1088="",F1088="",G1088="",NOT(ISNUMBER(I1088))),"Incomplete",IF(COUNTIF(Lists!$H$4:$AA$4,C1088)=0,"Check category",IF(COUNTIF(INDEX(Lists!$H$6:$AA$45,0,MATCH(C1088,Lists!$H$4:$AA$4,0)),D1088)=0,"Check sub-category","OK"))))</f>
        <v/>
      </c>
      <c r="P1088">
        <f>IF(ISNUMBER(I1088),I1088+ROW()/10000000,"")</f>
        <v/>
      </c>
      <c r="Q1088">
        <f>IF(AND(ISNUMBER(P1088),ISNUMBER(A1088)),IF(AND(A1088&gt;=Dashboard!$Q$3,A1088&lt;=Dashboard!$Q$4,OR(J1088&lt;&gt;"Yes",Dashboard!$Q$15="Yes")),P1088,""),"")</f>
        <v/>
      </c>
    </row>
    <row r="1089">
      <c r="A1089" s="47" t="n"/>
      <c r="B1089" s="48" t="n"/>
      <c r="C1089" s="48" t="n"/>
      <c r="D1089" s="48" t="n"/>
      <c r="E1089" s="48" t="n"/>
      <c r="F1089" s="48" t="n"/>
      <c r="G1089" s="48" t="n"/>
      <c r="H1089" s="48" t="n"/>
      <c r="I1089" s="49" t="n"/>
      <c r="J1089" s="50" t="n"/>
      <c r="K1089" s="48" t="n"/>
      <c r="L1089" s="51">
        <f>IF(A1089="","",DATE(YEAR(A1089),MONTH(A1089),1))</f>
        <v/>
      </c>
      <c r="M1089" s="52">
        <f>IF(OR(A1089="",NOT(ISNUMBER(I1089))),"",IF(G1089=Lists!$B$5,I1089/2,IF(G1089=Lists!$B$6,I1089,0)))</f>
        <v/>
      </c>
      <c r="N1089" s="52">
        <f>IF(OR(A1089="",NOT(ISNUMBER(I1089))),"",IF(G1089=Lists!$B$5,I1089/2,IF(G1089=Lists!$B$7,I1089,0)))</f>
        <v/>
      </c>
      <c r="O1089" s="53">
        <f>IF(COUNTA(A1089:K1089)=0,"",IF(OR(A1089="",B1089="",C1089="",D1089="",E1089="",F1089="",G1089="",NOT(ISNUMBER(I1089))),"Incomplete",IF(COUNTIF(Lists!$H$4:$AA$4,C1089)=0,"Check category",IF(COUNTIF(INDEX(Lists!$H$6:$AA$45,0,MATCH(C1089,Lists!$H$4:$AA$4,0)),D1089)=0,"Check sub-category","OK"))))</f>
        <v/>
      </c>
      <c r="P1089">
        <f>IF(ISNUMBER(I1089),I1089+ROW()/10000000,"")</f>
        <v/>
      </c>
      <c r="Q1089">
        <f>IF(AND(ISNUMBER(P1089),ISNUMBER(A1089)),IF(AND(A1089&gt;=Dashboard!$Q$3,A1089&lt;=Dashboard!$Q$4,OR(J1089&lt;&gt;"Yes",Dashboard!$Q$15="Yes")),P1089,""),"")</f>
        <v/>
      </c>
    </row>
    <row r="1090">
      <c r="A1090" s="47" t="n"/>
      <c r="B1090" s="48" t="n"/>
      <c r="C1090" s="48" t="n"/>
      <c r="D1090" s="48" t="n"/>
      <c r="E1090" s="48" t="n"/>
      <c r="F1090" s="48" t="n"/>
      <c r="G1090" s="48" t="n"/>
      <c r="H1090" s="48" t="n"/>
      <c r="I1090" s="49" t="n"/>
      <c r="J1090" s="50" t="n"/>
      <c r="K1090" s="48" t="n"/>
      <c r="L1090" s="51">
        <f>IF(A1090="","",DATE(YEAR(A1090),MONTH(A1090),1))</f>
        <v/>
      </c>
      <c r="M1090" s="52">
        <f>IF(OR(A1090="",NOT(ISNUMBER(I1090))),"",IF(G1090=Lists!$B$5,I1090/2,IF(G1090=Lists!$B$6,I1090,0)))</f>
        <v/>
      </c>
      <c r="N1090" s="52">
        <f>IF(OR(A1090="",NOT(ISNUMBER(I1090))),"",IF(G1090=Lists!$B$5,I1090/2,IF(G1090=Lists!$B$7,I1090,0)))</f>
        <v/>
      </c>
      <c r="O1090" s="53">
        <f>IF(COUNTA(A1090:K1090)=0,"",IF(OR(A1090="",B1090="",C1090="",D1090="",E1090="",F1090="",G1090="",NOT(ISNUMBER(I1090))),"Incomplete",IF(COUNTIF(Lists!$H$4:$AA$4,C1090)=0,"Check category",IF(COUNTIF(INDEX(Lists!$H$6:$AA$45,0,MATCH(C1090,Lists!$H$4:$AA$4,0)),D1090)=0,"Check sub-category","OK"))))</f>
        <v/>
      </c>
      <c r="P1090">
        <f>IF(ISNUMBER(I1090),I1090+ROW()/10000000,"")</f>
        <v/>
      </c>
      <c r="Q1090">
        <f>IF(AND(ISNUMBER(P1090),ISNUMBER(A1090)),IF(AND(A1090&gt;=Dashboard!$Q$3,A1090&lt;=Dashboard!$Q$4,OR(J1090&lt;&gt;"Yes",Dashboard!$Q$15="Yes")),P1090,""),"")</f>
        <v/>
      </c>
    </row>
    <row r="1091">
      <c r="A1091" s="47" t="n"/>
      <c r="B1091" s="48" t="n"/>
      <c r="C1091" s="48" t="n"/>
      <c r="D1091" s="48" t="n"/>
      <c r="E1091" s="48" t="n"/>
      <c r="F1091" s="48" t="n"/>
      <c r="G1091" s="48" t="n"/>
      <c r="H1091" s="48" t="n"/>
      <c r="I1091" s="49" t="n"/>
      <c r="J1091" s="50" t="n"/>
      <c r="K1091" s="48" t="n"/>
      <c r="L1091" s="51">
        <f>IF(A1091="","",DATE(YEAR(A1091),MONTH(A1091),1))</f>
        <v/>
      </c>
      <c r="M1091" s="52">
        <f>IF(OR(A1091="",NOT(ISNUMBER(I1091))),"",IF(G1091=Lists!$B$5,I1091/2,IF(G1091=Lists!$B$6,I1091,0)))</f>
        <v/>
      </c>
      <c r="N1091" s="52">
        <f>IF(OR(A1091="",NOT(ISNUMBER(I1091))),"",IF(G1091=Lists!$B$5,I1091/2,IF(G1091=Lists!$B$7,I1091,0)))</f>
        <v/>
      </c>
      <c r="O1091" s="53">
        <f>IF(COUNTA(A1091:K1091)=0,"",IF(OR(A1091="",B1091="",C1091="",D1091="",E1091="",F1091="",G1091="",NOT(ISNUMBER(I1091))),"Incomplete",IF(COUNTIF(Lists!$H$4:$AA$4,C1091)=0,"Check category",IF(COUNTIF(INDEX(Lists!$H$6:$AA$45,0,MATCH(C1091,Lists!$H$4:$AA$4,0)),D1091)=0,"Check sub-category","OK"))))</f>
        <v/>
      </c>
      <c r="P1091">
        <f>IF(ISNUMBER(I1091),I1091+ROW()/10000000,"")</f>
        <v/>
      </c>
      <c r="Q1091">
        <f>IF(AND(ISNUMBER(P1091),ISNUMBER(A1091)),IF(AND(A1091&gt;=Dashboard!$Q$3,A1091&lt;=Dashboard!$Q$4,OR(J1091&lt;&gt;"Yes",Dashboard!$Q$15="Yes")),P1091,""),"")</f>
        <v/>
      </c>
    </row>
    <row r="1092">
      <c r="A1092" s="47" t="n"/>
      <c r="B1092" s="48" t="n"/>
      <c r="C1092" s="48" t="n"/>
      <c r="D1092" s="48" t="n"/>
      <c r="E1092" s="48" t="n"/>
      <c r="F1092" s="48" t="n"/>
      <c r="G1092" s="48" t="n"/>
      <c r="H1092" s="48" t="n"/>
      <c r="I1092" s="49" t="n"/>
      <c r="J1092" s="50" t="n"/>
      <c r="K1092" s="48" t="n"/>
      <c r="L1092" s="51">
        <f>IF(A1092="","",DATE(YEAR(A1092),MONTH(A1092),1))</f>
        <v/>
      </c>
      <c r="M1092" s="52">
        <f>IF(OR(A1092="",NOT(ISNUMBER(I1092))),"",IF(G1092=Lists!$B$5,I1092/2,IF(G1092=Lists!$B$6,I1092,0)))</f>
        <v/>
      </c>
      <c r="N1092" s="52">
        <f>IF(OR(A1092="",NOT(ISNUMBER(I1092))),"",IF(G1092=Lists!$B$5,I1092/2,IF(G1092=Lists!$B$7,I1092,0)))</f>
        <v/>
      </c>
      <c r="O1092" s="53">
        <f>IF(COUNTA(A1092:K1092)=0,"",IF(OR(A1092="",B1092="",C1092="",D1092="",E1092="",F1092="",G1092="",NOT(ISNUMBER(I1092))),"Incomplete",IF(COUNTIF(Lists!$H$4:$AA$4,C1092)=0,"Check category",IF(COUNTIF(INDEX(Lists!$H$6:$AA$45,0,MATCH(C1092,Lists!$H$4:$AA$4,0)),D1092)=0,"Check sub-category","OK"))))</f>
        <v/>
      </c>
      <c r="P1092">
        <f>IF(ISNUMBER(I1092),I1092+ROW()/10000000,"")</f>
        <v/>
      </c>
      <c r="Q1092">
        <f>IF(AND(ISNUMBER(P1092),ISNUMBER(A1092)),IF(AND(A1092&gt;=Dashboard!$Q$3,A1092&lt;=Dashboard!$Q$4,OR(J1092&lt;&gt;"Yes",Dashboard!$Q$15="Yes")),P1092,""),"")</f>
        <v/>
      </c>
    </row>
    <row r="1093">
      <c r="A1093" s="47" t="n"/>
      <c r="B1093" s="48" t="n"/>
      <c r="C1093" s="48" t="n"/>
      <c r="D1093" s="48" t="n"/>
      <c r="E1093" s="48" t="n"/>
      <c r="F1093" s="48" t="n"/>
      <c r="G1093" s="48" t="n"/>
      <c r="H1093" s="48" t="n"/>
      <c r="I1093" s="49" t="n"/>
      <c r="J1093" s="50" t="n"/>
      <c r="K1093" s="48" t="n"/>
      <c r="L1093" s="51">
        <f>IF(A1093="","",DATE(YEAR(A1093),MONTH(A1093),1))</f>
        <v/>
      </c>
      <c r="M1093" s="52">
        <f>IF(OR(A1093="",NOT(ISNUMBER(I1093))),"",IF(G1093=Lists!$B$5,I1093/2,IF(G1093=Lists!$B$6,I1093,0)))</f>
        <v/>
      </c>
      <c r="N1093" s="52">
        <f>IF(OR(A1093="",NOT(ISNUMBER(I1093))),"",IF(G1093=Lists!$B$5,I1093/2,IF(G1093=Lists!$B$7,I1093,0)))</f>
        <v/>
      </c>
      <c r="O1093" s="53">
        <f>IF(COUNTA(A1093:K1093)=0,"",IF(OR(A1093="",B1093="",C1093="",D1093="",E1093="",F1093="",G1093="",NOT(ISNUMBER(I1093))),"Incomplete",IF(COUNTIF(Lists!$H$4:$AA$4,C1093)=0,"Check category",IF(COUNTIF(INDEX(Lists!$H$6:$AA$45,0,MATCH(C1093,Lists!$H$4:$AA$4,0)),D1093)=0,"Check sub-category","OK"))))</f>
        <v/>
      </c>
      <c r="P1093">
        <f>IF(ISNUMBER(I1093),I1093+ROW()/10000000,"")</f>
        <v/>
      </c>
      <c r="Q1093">
        <f>IF(AND(ISNUMBER(P1093),ISNUMBER(A1093)),IF(AND(A1093&gt;=Dashboard!$Q$3,A1093&lt;=Dashboard!$Q$4,OR(J1093&lt;&gt;"Yes",Dashboard!$Q$15="Yes")),P1093,""),"")</f>
        <v/>
      </c>
    </row>
    <row r="1094">
      <c r="A1094" s="47" t="n"/>
      <c r="B1094" s="48" t="n"/>
      <c r="C1094" s="48" t="n"/>
      <c r="D1094" s="48" t="n"/>
      <c r="E1094" s="48" t="n"/>
      <c r="F1094" s="48" t="n"/>
      <c r="G1094" s="48" t="n"/>
      <c r="H1094" s="48" t="n"/>
      <c r="I1094" s="49" t="n"/>
      <c r="J1094" s="50" t="n"/>
      <c r="K1094" s="48" t="n"/>
      <c r="L1094" s="51">
        <f>IF(A1094="","",DATE(YEAR(A1094),MONTH(A1094),1))</f>
        <v/>
      </c>
      <c r="M1094" s="52">
        <f>IF(OR(A1094="",NOT(ISNUMBER(I1094))),"",IF(G1094=Lists!$B$5,I1094/2,IF(G1094=Lists!$B$6,I1094,0)))</f>
        <v/>
      </c>
      <c r="N1094" s="52">
        <f>IF(OR(A1094="",NOT(ISNUMBER(I1094))),"",IF(G1094=Lists!$B$5,I1094/2,IF(G1094=Lists!$B$7,I1094,0)))</f>
        <v/>
      </c>
      <c r="O1094" s="53">
        <f>IF(COUNTA(A1094:K1094)=0,"",IF(OR(A1094="",B1094="",C1094="",D1094="",E1094="",F1094="",G1094="",NOT(ISNUMBER(I1094))),"Incomplete",IF(COUNTIF(Lists!$H$4:$AA$4,C1094)=0,"Check category",IF(COUNTIF(INDEX(Lists!$H$6:$AA$45,0,MATCH(C1094,Lists!$H$4:$AA$4,0)),D1094)=0,"Check sub-category","OK"))))</f>
        <v/>
      </c>
      <c r="P1094">
        <f>IF(ISNUMBER(I1094),I1094+ROW()/10000000,"")</f>
        <v/>
      </c>
      <c r="Q1094">
        <f>IF(AND(ISNUMBER(P1094),ISNUMBER(A1094)),IF(AND(A1094&gt;=Dashboard!$Q$3,A1094&lt;=Dashboard!$Q$4,OR(J1094&lt;&gt;"Yes",Dashboard!$Q$15="Yes")),P1094,""),"")</f>
        <v/>
      </c>
    </row>
    <row r="1095">
      <c r="A1095" s="47" t="n"/>
      <c r="B1095" s="48" t="n"/>
      <c r="C1095" s="48" t="n"/>
      <c r="D1095" s="48" t="n"/>
      <c r="E1095" s="48" t="n"/>
      <c r="F1095" s="48" t="n"/>
      <c r="G1095" s="48" t="n"/>
      <c r="H1095" s="48" t="n"/>
      <c r="I1095" s="49" t="n"/>
      <c r="J1095" s="50" t="n"/>
      <c r="K1095" s="48" t="n"/>
      <c r="L1095" s="51">
        <f>IF(A1095="","",DATE(YEAR(A1095),MONTH(A1095),1))</f>
        <v/>
      </c>
      <c r="M1095" s="52">
        <f>IF(OR(A1095="",NOT(ISNUMBER(I1095))),"",IF(G1095=Lists!$B$5,I1095/2,IF(G1095=Lists!$B$6,I1095,0)))</f>
        <v/>
      </c>
      <c r="N1095" s="52">
        <f>IF(OR(A1095="",NOT(ISNUMBER(I1095))),"",IF(G1095=Lists!$B$5,I1095/2,IF(G1095=Lists!$B$7,I1095,0)))</f>
        <v/>
      </c>
      <c r="O1095" s="53">
        <f>IF(COUNTA(A1095:K1095)=0,"",IF(OR(A1095="",B1095="",C1095="",D1095="",E1095="",F1095="",G1095="",NOT(ISNUMBER(I1095))),"Incomplete",IF(COUNTIF(Lists!$H$4:$AA$4,C1095)=0,"Check category",IF(COUNTIF(INDEX(Lists!$H$6:$AA$45,0,MATCH(C1095,Lists!$H$4:$AA$4,0)),D1095)=0,"Check sub-category","OK"))))</f>
        <v/>
      </c>
      <c r="P1095">
        <f>IF(ISNUMBER(I1095),I1095+ROW()/10000000,"")</f>
        <v/>
      </c>
      <c r="Q1095">
        <f>IF(AND(ISNUMBER(P1095),ISNUMBER(A1095)),IF(AND(A1095&gt;=Dashboard!$Q$3,A1095&lt;=Dashboard!$Q$4,OR(J1095&lt;&gt;"Yes",Dashboard!$Q$15="Yes")),P1095,""),"")</f>
        <v/>
      </c>
    </row>
    <row r="1096">
      <c r="A1096" s="47" t="n"/>
      <c r="B1096" s="48" t="n"/>
      <c r="C1096" s="48" t="n"/>
      <c r="D1096" s="48" t="n"/>
      <c r="E1096" s="48" t="n"/>
      <c r="F1096" s="48" t="n"/>
      <c r="G1096" s="48" t="n"/>
      <c r="H1096" s="48" t="n"/>
      <c r="I1096" s="49" t="n"/>
      <c r="J1096" s="50" t="n"/>
      <c r="K1096" s="48" t="n"/>
      <c r="L1096" s="51">
        <f>IF(A1096="","",DATE(YEAR(A1096),MONTH(A1096),1))</f>
        <v/>
      </c>
      <c r="M1096" s="52">
        <f>IF(OR(A1096="",NOT(ISNUMBER(I1096))),"",IF(G1096=Lists!$B$5,I1096/2,IF(G1096=Lists!$B$6,I1096,0)))</f>
        <v/>
      </c>
      <c r="N1096" s="52">
        <f>IF(OR(A1096="",NOT(ISNUMBER(I1096))),"",IF(G1096=Lists!$B$5,I1096/2,IF(G1096=Lists!$B$7,I1096,0)))</f>
        <v/>
      </c>
      <c r="O1096" s="53">
        <f>IF(COUNTA(A1096:K1096)=0,"",IF(OR(A1096="",B1096="",C1096="",D1096="",E1096="",F1096="",G1096="",NOT(ISNUMBER(I1096))),"Incomplete",IF(COUNTIF(Lists!$H$4:$AA$4,C1096)=0,"Check category",IF(COUNTIF(INDEX(Lists!$H$6:$AA$45,0,MATCH(C1096,Lists!$H$4:$AA$4,0)),D1096)=0,"Check sub-category","OK"))))</f>
        <v/>
      </c>
      <c r="P1096">
        <f>IF(ISNUMBER(I1096),I1096+ROW()/10000000,"")</f>
        <v/>
      </c>
      <c r="Q1096">
        <f>IF(AND(ISNUMBER(P1096),ISNUMBER(A1096)),IF(AND(A1096&gt;=Dashboard!$Q$3,A1096&lt;=Dashboard!$Q$4,OR(J1096&lt;&gt;"Yes",Dashboard!$Q$15="Yes")),P1096,""),"")</f>
        <v/>
      </c>
    </row>
    <row r="1097">
      <c r="A1097" s="47" t="n"/>
      <c r="B1097" s="48" t="n"/>
      <c r="C1097" s="48" t="n"/>
      <c r="D1097" s="48" t="n"/>
      <c r="E1097" s="48" t="n"/>
      <c r="F1097" s="48" t="n"/>
      <c r="G1097" s="48" t="n"/>
      <c r="H1097" s="48" t="n"/>
      <c r="I1097" s="49" t="n"/>
      <c r="J1097" s="50" t="n"/>
      <c r="K1097" s="48" t="n"/>
      <c r="L1097" s="51">
        <f>IF(A1097="","",DATE(YEAR(A1097),MONTH(A1097),1))</f>
        <v/>
      </c>
      <c r="M1097" s="52">
        <f>IF(OR(A1097="",NOT(ISNUMBER(I1097))),"",IF(G1097=Lists!$B$5,I1097/2,IF(G1097=Lists!$B$6,I1097,0)))</f>
        <v/>
      </c>
      <c r="N1097" s="52">
        <f>IF(OR(A1097="",NOT(ISNUMBER(I1097))),"",IF(G1097=Lists!$B$5,I1097/2,IF(G1097=Lists!$B$7,I1097,0)))</f>
        <v/>
      </c>
      <c r="O1097" s="53">
        <f>IF(COUNTA(A1097:K1097)=0,"",IF(OR(A1097="",B1097="",C1097="",D1097="",E1097="",F1097="",G1097="",NOT(ISNUMBER(I1097))),"Incomplete",IF(COUNTIF(Lists!$H$4:$AA$4,C1097)=0,"Check category",IF(COUNTIF(INDEX(Lists!$H$6:$AA$45,0,MATCH(C1097,Lists!$H$4:$AA$4,0)),D1097)=0,"Check sub-category","OK"))))</f>
        <v/>
      </c>
      <c r="P1097">
        <f>IF(ISNUMBER(I1097),I1097+ROW()/10000000,"")</f>
        <v/>
      </c>
      <c r="Q1097">
        <f>IF(AND(ISNUMBER(P1097),ISNUMBER(A1097)),IF(AND(A1097&gt;=Dashboard!$Q$3,A1097&lt;=Dashboard!$Q$4,OR(J1097&lt;&gt;"Yes",Dashboard!$Q$15="Yes")),P1097,""),"")</f>
        <v/>
      </c>
    </row>
    <row r="1098">
      <c r="A1098" s="47" t="n"/>
      <c r="B1098" s="48" t="n"/>
      <c r="C1098" s="48" t="n"/>
      <c r="D1098" s="48" t="n"/>
      <c r="E1098" s="48" t="n"/>
      <c r="F1098" s="48" t="n"/>
      <c r="G1098" s="48" t="n"/>
      <c r="H1098" s="48" t="n"/>
      <c r="I1098" s="49" t="n"/>
      <c r="J1098" s="50" t="n"/>
      <c r="K1098" s="48" t="n"/>
      <c r="L1098" s="51">
        <f>IF(A1098="","",DATE(YEAR(A1098),MONTH(A1098),1))</f>
        <v/>
      </c>
      <c r="M1098" s="52">
        <f>IF(OR(A1098="",NOT(ISNUMBER(I1098))),"",IF(G1098=Lists!$B$5,I1098/2,IF(G1098=Lists!$B$6,I1098,0)))</f>
        <v/>
      </c>
      <c r="N1098" s="52">
        <f>IF(OR(A1098="",NOT(ISNUMBER(I1098))),"",IF(G1098=Lists!$B$5,I1098/2,IF(G1098=Lists!$B$7,I1098,0)))</f>
        <v/>
      </c>
      <c r="O1098" s="53">
        <f>IF(COUNTA(A1098:K1098)=0,"",IF(OR(A1098="",B1098="",C1098="",D1098="",E1098="",F1098="",G1098="",NOT(ISNUMBER(I1098))),"Incomplete",IF(COUNTIF(Lists!$H$4:$AA$4,C1098)=0,"Check category",IF(COUNTIF(INDEX(Lists!$H$6:$AA$45,0,MATCH(C1098,Lists!$H$4:$AA$4,0)),D1098)=0,"Check sub-category","OK"))))</f>
        <v/>
      </c>
      <c r="P1098">
        <f>IF(ISNUMBER(I1098),I1098+ROW()/10000000,"")</f>
        <v/>
      </c>
      <c r="Q1098">
        <f>IF(AND(ISNUMBER(P1098),ISNUMBER(A1098)),IF(AND(A1098&gt;=Dashboard!$Q$3,A1098&lt;=Dashboard!$Q$4,OR(J1098&lt;&gt;"Yes",Dashboard!$Q$15="Yes")),P1098,""),"")</f>
        <v/>
      </c>
    </row>
    <row r="1099">
      <c r="A1099" s="47" t="n"/>
      <c r="B1099" s="48" t="n"/>
      <c r="C1099" s="48" t="n"/>
      <c r="D1099" s="48" t="n"/>
      <c r="E1099" s="48" t="n"/>
      <c r="F1099" s="48" t="n"/>
      <c r="G1099" s="48" t="n"/>
      <c r="H1099" s="48" t="n"/>
      <c r="I1099" s="49" t="n"/>
      <c r="J1099" s="50" t="n"/>
      <c r="K1099" s="48" t="n"/>
      <c r="L1099" s="51">
        <f>IF(A1099="","",DATE(YEAR(A1099),MONTH(A1099),1))</f>
        <v/>
      </c>
      <c r="M1099" s="52">
        <f>IF(OR(A1099="",NOT(ISNUMBER(I1099))),"",IF(G1099=Lists!$B$5,I1099/2,IF(G1099=Lists!$B$6,I1099,0)))</f>
        <v/>
      </c>
      <c r="N1099" s="52">
        <f>IF(OR(A1099="",NOT(ISNUMBER(I1099))),"",IF(G1099=Lists!$B$5,I1099/2,IF(G1099=Lists!$B$7,I1099,0)))</f>
        <v/>
      </c>
      <c r="O1099" s="53">
        <f>IF(COUNTA(A1099:K1099)=0,"",IF(OR(A1099="",B1099="",C1099="",D1099="",E1099="",F1099="",G1099="",NOT(ISNUMBER(I1099))),"Incomplete",IF(COUNTIF(Lists!$H$4:$AA$4,C1099)=0,"Check category",IF(COUNTIF(INDEX(Lists!$H$6:$AA$45,0,MATCH(C1099,Lists!$H$4:$AA$4,0)),D1099)=0,"Check sub-category","OK"))))</f>
        <v/>
      </c>
      <c r="P1099">
        <f>IF(ISNUMBER(I1099),I1099+ROW()/10000000,"")</f>
        <v/>
      </c>
      <c r="Q1099">
        <f>IF(AND(ISNUMBER(P1099),ISNUMBER(A1099)),IF(AND(A1099&gt;=Dashboard!$Q$3,A1099&lt;=Dashboard!$Q$4,OR(J1099&lt;&gt;"Yes",Dashboard!$Q$15="Yes")),P1099,""),"")</f>
        <v/>
      </c>
    </row>
    <row r="1100">
      <c r="A1100" s="47" t="n"/>
      <c r="B1100" s="48" t="n"/>
      <c r="C1100" s="48" t="n"/>
      <c r="D1100" s="48" t="n"/>
      <c r="E1100" s="48" t="n"/>
      <c r="F1100" s="48" t="n"/>
      <c r="G1100" s="48" t="n"/>
      <c r="H1100" s="48" t="n"/>
      <c r="I1100" s="49" t="n"/>
      <c r="J1100" s="50" t="n"/>
      <c r="K1100" s="48" t="n"/>
      <c r="L1100" s="51">
        <f>IF(A1100="","",DATE(YEAR(A1100),MONTH(A1100),1))</f>
        <v/>
      </c>
      <c r="M1100" s="52">
        <f>IF(OR(A1100="",NOT(ISNUMBER(I1100))),"",IF(G1100=Lists!$B$5,I1100/2,IF(G1100=Lists!$B$6,I1100,0)))</f>
        <v/>
      </c>
      <c r="N1100" s="52">
        <f>IF(OR(A1100="",NOT(ISNUMBER(I1100))),"",IF(G1100=Lists!$B$5,I1100/2,IF(G1100=Lists!$B$7,I1100,0)))</f>
        <v/>
      </c>
      <c r="O1100" s="53">
        <f>IF(COUNTA(A1100:K1100)=0,"",IF(OR(A1100="",B1100="",C1100="",D1100="",E1100="",F1100="",G1100="",NOT(ISNUMBER(I1100))),"Incomplete",IF(COUNTIF(Lists!$H$4:$AA$4,C1100)=0,"Check category",IF(COUNTIF(INDEX(Lists!$H$6:$AA$45,0,MATCH(C1100,Lists!$H$4:$AA$4,0)),D1100)=0,"Check sub-category","OK"))))</f>
        <v/>
      </c>
      <c r="P1100">
        <f>IF(ISNUMBER(I1100),I1100+ROW()/10000000,"")</f>
        <v/>
      </c>
      <c r="Q1100">
        <f>IF(AND(ISNUMBER(P1100),ISNUMBER(A1100)),IF(AND(A1100&gt;=Dashboard!$Q$3,A1100&lt;=Dashboard!$Q$4,OR(J1100&lt;&gt;"Yes",Dashboard!$Q$15="Yes")),P1100,""),"")</f>
        <v/>
      </c>
    </row>
    <row r="1101">
      <c r="A1101" s="47" t="n"/>
      <c r="B1101" s="48" t="n"/>
      <c r="C1101" s="48" t="n"/>
      <c r="D1101" s="48" t="n"/>
      <c r="E1101" s="48" t="n"/>
      <c r="F1101" s="48" t="n"/>
      <c r="G1101" s="48" t="n"/>
      <c r="H1101" s="48" t="n"/>
      <c r="I1101" s="49" t="n"/>
      <c r="J1101" s="50" t="n"/>
      <c r="K1101" s="48" t="n"/>
      <c r="L1101" s="51">
        <f>IF(A1101="","",DATE(YEAR(A1101),MONTH(A1101),1))</f>
        <v/>
      </c>
      <c r="M1101" s="52">
        <f>IF(OR(A1101="",NOT(ISNUMBER(I1101))),"",IF(G1101=Lists!$B$5,I1101/2,IF(G1101=Lists!$B$6,I1101,0)))</f>
        <v/>
      </c>
      <c r="N1101" s="52">
        <f>IF(OR(A1101="",NOT(ISNUMBER(I1101))),"",IF(G1101=Lists!$B$5,I1101/2,IF(G1101=Lists!$B$7,I1101,0)))</f>
        <v/>
      </c>
      <c r="O1101" s="53">
        <f>IF(COUNTA(A1101:K1101)=0,"",IF(OR(A1101="",B1101="",C1101="",D1101="",E1101="",F1101="",G1101="",NOT(ISNUMBER(I1101))),"Incomplete",IF(COUNTIF(Lists!$H$4:$AA$4,C1101)=0,"Check category",IF(COUNTIF(INDEX(Lists!$H$6:$AA$45,0,MATCH(C1101,Lists!$H$4:$AA$4,0)),D1101)=0,"Check sub-category","OK"))))</f>
        <v/>
      </c>
      <c r="P1101">
        <f>IF(ISNUMBER(I1101),I1101+ROW()/10000000,"")</f>
        <v/>
      </c>
      <c r="Q1101">
        <f>IF(AND(ISNUMBER(P1101),ISNUMBER(A1101)),IF(AND(A1101&gt;=Dashboard!$Q$3,A1101&lt;=Dashboard!$Q$4,OR(J1101&lt;&gt;"Yes",Dashboard!$Q$15="Yes")),P1101,""),"")</f>
        <v/>
      </c>
    </row>
    <row r="1102">
      <c r="A1102" s="47" t="n"/>
      <c r="B1102" s="48" t="n"/>
      <c r="C1102" s="48" t="n"/>
      <c r="D1102" s="48" t="n"/>
      <c r="E1102" s="48" t="n"/>
      <c r="F1102" s="48" t="n"/>
      <c r="G1102" s="48" t="n"/>
      <c r="H1102" s="48" t="n"/>
      <c r="I1102" s="49" t="n"/>
      <c r="J1102" s="50" t="n"/>
      <c r="K1102" s="48" t="n"/>
      <c r="L1102" s="51">
        <f>IF(A1102="","",DATE(YEAR(A1102),MONTH(A1102),1))</f>
        <v/>
      </c>
      <c r="M1102" s="52">
        <f>IF(OR(A1102="",NOT(ISNUMBER(I1102))),"",IF(G1102=Lists!$B$5,I1102/2,IF(G1102=Lists!$B$6,I1102,0)))</f>
        <v/>
      </c>
      <c r="N1102" s="52">
        <f>IF(OR(A1102="",NOT(ISNUMBER(I1102))),"",IF(G1102=Lists!$B$5,I1102/2,IF(G1102=Lists!$B$7,I1102,0)))</f>
        <v/>
      </c>
      <c r="O1102" s="53">
        <f>IF(COUNTA(A1102:K1102)=0,"",IF(OR(A1102="",B1102="",C1102="",D1102="",E1102="",F1102="",G1102="",NOT(ISNUMBER(I1102))),"Incomplete",IF(COUNTIF(Lists!$H$4:$AA$4,C1102)=0,"Check category",IF(COUNTIF(INDEX(Lists!$H$6:$AA$45,0,MATCH(C1102,Lists!$H$4:$AA$4,0)),D1102)=0,"Check sub-category","OK"))))</f>
        <v/>
      </c>
      <c r="P1102">
        <f>IF(ISNUMBER(I1102),I1102+ROW()/10000000,"")</f>
        <v/>
      </c>
      <c r="Q1102">
        <f>IF(AND(ISNUMBER(P1102),ISNUMBER(A1102)),IF(AND(A1102&gt;=Dashboard!$Q$3,A1102&lt;=Dashboard!$Q$4,OR(J1102&lt;&gt;"Yes",Dashboard!$Q$15="Yes")),P1102,""),"")</f>
        <v/>
      </c>
    </row>
    <row r="1103">
      <c r="A1103" s="47" t="n"/>
      <c r="B1103" s="48" t="n"/>
      <c r="C1103" s="48" t="n"/>
      <c r="D1103" s="48" t="n"/>
      <c r="E1103" s="48" t="n"/>
      <c r="F1103" s="48" t="n"/>
      <c r="G1103" s="48" t="n"/>
      <c r="H1103" s="48" t="n"/>
      <c r="I1103" s="49" t="n"/>
      <c r="J1103" s="50" t="n"/>
      <c r="K1103" s="48" t="n"/>
      <c r="L1103" s="51">
        <f>IF(A1103="","",DATE(YEAR(A1103),MONTH(A1103),1))</f>
        <v/>
      </c>
      <c r="M1103" s="52">
        <f>IF(OR(A1103="",NOT(ISNUMBER(I1103))),"",IF(G1103=Lists!$B$5,I1103/2,IF(G1103=Lists!$B$6,I1103,0)))</f>
        <v/>
      </c>
      <c r="N1103" s="52">
        <f>IF(OR(A1103="",NOT(ISNUMBER(I1103))),"",IF(G1103=Lists!$B$5,I1103/2,IF(G1103=Lists!$B$7,I1103,0)))</f>
        <v/>
      </c>
      <c r="O1103" s="53">
        <f>IF(COUNTA(A1103:K1103)=0,"",IF(OR(A1103="",B1103="",C1103="",D1103="",E1103="",F1103="",G1103="",NOT(ISNUMBER(I1103))),"Incomplete",IF(COUNTIF(Lists!$H$4:$AA$4,C1103)=0,"Check category",IF(COUNTIF(INDEX(Lists!$H$6:$AA$45,0,MATCH(C1103,Lists!$H$4:$AA$4,0)),D1103)=0,"Check sub-category","OK"))))</f>
        <v/>
      </c>
      <c r="P1103">
        <f>IF(ISNUMBER(I1103),I1103+ROW()/10000000,"")</f>
        <v/>
      </c>
      <c r="Q1103">
        <f>IF(AND(ISNUMBER(P1103),ISNUMBER(A1103)),IF(AND(A1103&gt;=Dashboard!$Q$3,A1103&lt;=Dashboard!$Q$4,OR(J1103&lt;&gt;"Yes",Dashboard!$Q$15="Yes")),P1103,""),"")</f>
        <v/>
      </c>
    </row>
    <row r="1104">
      <c r="A1104" s="47" t="n"/>
      <c r="B1104" s="48" t="n"/>
      <c r="C1104" s="48" t="n"/>
      <c r="D1104" s="48" t="n"/>
      <c r="E1104" s="48" t="n"/>
      <c r="F1104" s="48" t="n"/>
      <c r="G1104" s="48" t="n"/>
      <c r="H1104" s="48" t="n"/>
      <c r="I1104" s="49" t="n"/>
      <c r="J1104" s="50" t="n"/>
      <c r="K1104" s="48" t="n"/>
      <c r="L1104" s="51">
        <f>IF(A1104="","",DATE(YEAR(A1104),MONTH(A1104),1))</f>
        <v/>
      </c>
      <c r="M1104" s="52">
        <f>IF(OR(A1104="",NOT(ISNUMBER(I1104))),"",IF(G1104=Lists!$B$5,I1104/2,IF(G1104=Lists!$B$6,I1104,0)))</f>
        <v/>
      </c>
      <c r="N1104" s="52">
        <f>IF(OR(A1104="",NOT(ISNUMBER(I1104))),"",IF(G1104=Lists!$B$5,I1104/2,IF(G1104=Lists!$B$7,I1104,0)))</f>
        <v/>
      </c>
      <c r="O1104" s="53">
        <f>IF(COUNTA(A1104:K1104)=0,"",IF(OR(A1104="",B1104="",C1104="",D1104="",E1104="",F1104="",G1104="",NOT(ISNUMBER(I1104))),"Incomplete",IF(COUNTIF(Lists!$H$4:$AA$4,C1104)=0,"Check category",IF(COUNTIF(INDEX(Lists!$H$6:$AA$45,0,MATCH(C1104,Lists!$H$4:$AA$4,0)),D1104)=0,"Check sub-category","OK"))))</f>
        <v/>
      </c>
      <c r="P1104">
        <f>IF(ISNUMBER(I1104),I1104+ROW()/10000000,"")</f>
        <v/>
      </c>
      <c r="Q1104">
        <f>IF(AND(ISNUMBER(P1104),ISNUMBER(A1104)),IF(AND(A1104&gt;=Dashboard!$Q$3,A1104&lt;=Dashboard!$Q$4,OR(J1104&lt;&gt;"Yes",Dashboard!$Q$15="Yes")),P1104,""),"")</f>
        <v/>
      </c>
    </row>
    <row r="1105">
      <c r="A1105" s="47" t="n"/>
      <c r="B1105" s="48" t="n"/>
      <c r="C1105" s="48" t="n"/>
      <c r="D1105" s="48" t="n"/>
      <c r="E1105" s="48" t="n"/>
      <c r="F1105" s="48" t="n"/>
      <c r="G1105" s="48" t="n"/>
      <c r="H1105" s="48" t="n"/>
      <c r="I1105" s="49" t="n"/>
      <c r="J1105" s="50" t="n"/>
      <c r="K1105" s="48" t="n"/>
      <c r="L1105" s="51">
        <f>IF(A1105="","",DATE(YEAR(A1105),MONTH(A1105),1))</f>
        <v/>
      </c>
      <c r="M1105" s="52">
        <f>IF(OR(A1105="",NOT(ISNUMBER(I1105))),"",IF(G1105=Lists!$B$5,I1105/2,IF(G1105=Lists!$B$6,I1105,0)))</f>
        <v/>
      </c>
      <c r="N1105" s="52">
        <f>IF(OR(A1105="",NOT(ISNUMBER(I1105))),"",IF(G1105=Lists!$B$5,I1105/2,IF(G1105=Lists!$B$7,I1105,0)))</f>
        <v/>
      </c>
      <c r="O1105" s="53">
        <f>IF(COUNTA(A1105:K1105)=0,"",IF(OR(A1105="",B1105="",C1105="",D1105="",E1105="",F1105="",G1105="",NOT(ISNUMBER(I1105))),"Incomplete",IF(COUNTIF(Lists!$H$4:$AA$4,C1105)=0,"Check category",IF(COUNTIF(INDEX(Lists!$H$6:$AA$45,0,MATCH(C1105,Lists!$H$4:$AA$4,0)),D1105)=0,"Check sub-category","OK"))))</f>
        <v/>
      </c>
      <c r="P1105">
        <f>IF(ISNUMBER(I1105),I1105+ROW()/10000000,"")</f>
        <v/>
      </c>
      <c r="Q1105">
        <f>IF(AND(ISNUMBER(P1105),ISNUMBER(A1105)),IF(AND(A1105&gt;=Dashboard!$Q$3,A1105&lt;=Dashboard!$Q$4,OR(J1105&lt;&gt;"Yes",Dashboard!$Q$15="Yes")),P1105,""),"")</f>
        <v/>
      </c>
    </row>
    <row r="1106">
      <c r="A1106" s="47" t="n"/>
      <c r="B1106" s="48" t="n"/>
      <c r="C1106" s="48" t="n"/>
      <c r="D1106" s="48" t="n"/>
      <c r="E1106" s="48" t="n"/>
      <c r="F1106" s="48" t="n"/>
      <c r="G1106" s="48" t="n"/>
      <c r="H1106" s="48" t="n"/>
      <c r="I1106" s="49" t="n"/>
      <c r="J1106" s="50" t="n"/>
      <c r="K1106" s="48" t="n"/>
      <c r="L1106" s="51">
        <f>IF(A1106="","",DATE(YEAR(A1106),MONTH(A1106),1))</f>
        <v/>
      </c>
      <c r="M1106" s="52">
        <f>IF(OR(A1106="",NOT(ISNUMBER(I1106))),"",IF(G1106=Lists!$B$5,I1106/2,IF(G1106=Lists!$B$6,I1106,0)))</f>
        <v/>
      </c>
      <c r="N1106" s="52">
        <f>IF(OR(A1106="",NOT(ISNUMBER(I1106))),"",IF(G1106=Lists!$B$5,I1106/2,IF(G1106=Lists!$B$7,I1106,0)))</f>
        <v/>
      </c>
      <c r="O1106" s="53">
        <f>IF(COUNTA(A1106:K1106)=0,"",IF(OR(A1106="",B1106="",C1106="",D1106="",E1106="",F1106="",G1106="",NOT(ISNUMBER(I1106))),"Incomplete",IF(COUNTIF(Lists!$H$4:$AA$4,C1106)=0,"Check category",IF(COUNTIF(INDEX(Lists!$H$6:$AA$45,0,MATCH(C1106,Lists!$H$4:$AA$4,0)),D1106)=0,"Check sub-category","OK"))))</f>
        <v/>
      </c>
      <c r="P1106">
        <f>IF(ISNUMBER(I1106),I1106+ROW()/10000000,"")</f>
        <v/>
      </c>
      <c r="Q1106">
        <f>IF(AND(ISNUMBER(P1106),ISNUMBER(A1106)),IF(AND(A1106&gt;=Dashboard!$Q$3,A1106&lt;=Dashboard!$Q$4,OR(J1106&lt;&gt;"Yes",Dashboard!$Q$15="Yes")),P1106,""),"")</f>
        <v/>
      </c>
    </row>
    <row r="1107">
      <c r="A1107" s="47" t="n"/>
      <c r="B1107" s="48" t="n"/>
      <c r="C1107" s="48" t="n"/>
      <c r="D1107" s="48" t="n"/>
      <c r="E1107" s="48" t="n"/>
      <c r="F1107" s="48" t="n"/>
      <c r="G1107" s="48" t="n"/>
      <c r="H1107" s="48" t="n"/>
      <c r="I1107" s="49" t="n"/>
      <c r="J1107" s="50" t="n"/>
      <c r="K1107" s="48" t="n"/>
      <c r="L1107" s="51">
        <f>IF(A1107="","",DATE(YEAR(A1107),MONTH(A1107),1))</f>
        <v/>
      </c>
      <c r="M1107" s="52">
        <f>IF(OR(A1107="",NOT(ISNUMBER(I1107))),"",IF(G1107=Lists!$B$5,I1107/2,IF(G1107=Lists!$B$6,I1107,0)))</f>
        <v/>
      </c>
      <c r="N1107" s="52">
        <f>IF(OR(A1107="",NOT(ISNUMBER(I1107))),"",IF(G1107=Lists!$B$5,I1107/2,IF(G1107=Lists!$B$7,I1107,0)))</f>
        <v/>
      </c>
      <c r="O1107" s="53">
        <f>IF(COUNTA(A1107:K1107)=0,"",IF(OR(A1107="",B1107="",C1107="",D1107="",E1107="",F1107="",G1107="",NOT(ISNUMBER(I1107))),"Incomplete",IF(COUNTIF(Lists!$H$4:$AA$4,C1107)=0,"Check category",IF(COUNTIF(INDEX(Lists!$H$6:$AA$45,0,MATCH(C1107,Lists!$H$4:$AA$4,0)),D1107)=0,"Check sub-category","OK"))))</f>
        <v/>
      </c>
      <c r="P1107">
        <f>IF(ISNUMBER(I1107),I1107+ROW()/10000000,"")</f>
        <v/>
      </c>
      <c r="Q1107">
        <f>IF(AND(ISNUMBER(P1107),ISNUMBER(A1107)),IF(AND(A1107&gt;=Dashboard!$Q$3,A1107&lt;=Dashboard!$Q$4,OR(J1107&lt;&gt;"Yes",Dashboard!$Q$15="Yes")),P1107,""),"")</f>
        <v/>
      </c>
    </row>
    <row r="1108">
      <c r="A1108" s="47" t="n"/>
      <c r="B1108" s="48" t="n"/>
      <c r="C1108" s="48" t="n"/>
      <c r="D1108" s="48" t="n"/>
      <c r="E1108" s="48" t="n"/>
      <c r="F1108" s="48" t="n"/>
      <c r="G1108" s="48" t="n"/>
      <c r="H1108" s="48" t="n"/>
      <c r="I1108" s="49" t="n"/>
      <c r="J1108" s="50" t="n"/>
      <c r="K1108" s="48" t="n"/>
      <c r="L1108" s="51">
        <f>IF(A1108="","",DATE(YEAR(A1108),MONTH(A1108),1))</f>
        <v/>
      </c>
      <c r="M1108" s="52">
        <f>IF(OR(A1108="",NOT(ISNUMBER(I1108))),"",IF(G1108=Lists!$B$5,I1108/2,IF(G1108=Lists!$B$6,I1108,0)))</f>
        <v/>
      </c>
      <c r="N1108" s="52">
        <f>IF(OR(A1108="",NOT(ISNUMBER(I1108))),"",IF(G1108=Lists!$B$5,I1108/2,IF(G1108=Lists!$B$7,I1108,0)))</f>
        <v/>
      </c>
      <c r="O1108" s="53">
        <f>IF(COUNTA(A1108:K1108)=0,"",IF(OR(A1108="",B1108="",C1108="",D1108="",E1108="",F1108="",G1108="",NOT(ISNUMBER(I1108))),"Incomplete",IF(COUNTIF(Lists!$H$4:$AA$4,C1108)=0,"Check category",IF(COUNTIF(INDEX(Lists!$H$6:$AA$45,0,MATCH(C1108,Lists!$H$4:$AA$4,0)),D1108)=0,"Check sub-category","OK"))))</f>
        <v/>
      </c>
      <c r="P1108">
        <f>IF(ISNUMBER(I1108),I1108+ROW()/10000000,"")</f>
        <v/>
      </c>
      <c r="Q1108">
        <f>IF(AND(ISNUMBER(P1108),ISNUMBER(A1108)),IF(AND(A1108&gt;=Dashboard!$Q$3,A1108&lt;=Dashboard!$Q$4,OR(J1108&lt;&gt;"Yes",Dashboard!$Q$15="Yes")),P1108,""),"")</f>
        <v/>
      </c>
    </row>
    <row r="1109">
      <c r="A1109" s="47" t="n"/>
      <c r="B1109" s="48" t="n"/>
      <c r="C1109" s="48" t="n"/>
      <c r="D1109" s="48" t="n"/>
      <c r="E1109" s="48" t="n"/>
      <c r="F1109" s="48" t="n"/>
      <c r="G1109" s="48" t="n"/>
      <c r="H1109" s="48" t="n"/>
      <c r="I1109" s="49" t="n"/>
      <c r="J1109" s="50" t="n"/>
      <c r="K1109" s="48" t="n"/>
      <c r="L1109" s="51">
        <f>IF(A1109="","",DATE(YEAR(A1109),MONTH(A1109),1))</f>
        <v/>
      </c>
      <c r="M1109" s="52">
        <f>IF(OR(A1109="",NOT(ISNUMBER(I1109))),"",IF(G1109=Lists!$B$5,I1109/2,IF(G1109=Lists!$B$6,I1109,0)))</f>
        <v/>
      </c>
      <c r="N1109" s="52">
        <f>IF(OR(A1109="",NOT(ISNUMBER(I1109))),"",IF(G1109=Lists!$B$5,I1109/2,IF(G1109=Lists!$B$7,I1109,0)))</f>
        <v/>
      </c>
      <c r="O1109" s="53">
        <f>IF(COUNTA(A1109:K1109)=0,"",IF(OR(A1109="",B1109="",C1109="",D1109="",E1109="",F1109="",G1109="",NOT(ISNUMBER(I1109))),"Incomplete",IF(COUNTIF(Lists!$H$4:$AA$4,C1109)=0,"Check category",IF(COUNTIF(INDEX(Lists!$H$6:$AA$45,0,MATCH(C1109,Lists!$H$4:$AA$4,0)),D1109)=0,"Check sub-category","OK"))))</f>
        <v/>
      </c>
      <c r="P1109">
        <f>IF(ISNUMBER(I1109),I1109+ROW()/10000000,"")</f>
        <v/>
      </c>
      <c r="Q1109">
        <f>IF(AND(ISNUMBER(P1109),ISNUMBER(A1109)),IF(AND(A1109&gt;=Dashboard!$Q$3,A1109&lt;=Dashboard!$Q$4,OR(J1109&lt;&gt;"Yes",Dashboard!$Q$15="Yes")),P1109,""),"")</f>
        <v/>
      </c>
    </row>
    <row r="1110">
      <c r="A1110" s="47" t="n"/>
      <c r="B1110" s="48" t="n"/>
      <c r="C1110" s="48" t="n"/>
      <c r="D1110" s="48" t="n"/>
      <c r="E1110" s="48" t="n"/>
      <c r="F1110" s="48" t="n"/>
      <c r="G1110" s="48" t="n"/>
      <c r="H1110" s="48" t="n"/>
      <c r="I1110" s="49" t="n"/>
      <c r="J1110" s="50" t="n"/>
      <c r="K1110" s="48" t="n"/>
      <c r="L1110" s="51">
        <f>IF(A1110="","",DATE(YEAR(A1110),MONTH(A1110),1))</f>
        <v/>
      </c>
      <c r="M1110" s="52">
        <f>IF(OR(A1110="",NOT(ISNUMBER(I1110))),"",IF(G1110=Lists!$B$5,I1110/2,IF(G1110=Lists!$B$6,I1110,0)))</f>
        <v/>
      </c>
      <c r="N1110" s="52">
        <f>IF(OR(A1110="",NOT(ISNUMBER(I1110))),"",IF(G1110=Lists!$B$5,I1110/2,IF(G1110=Lists!$B$7,I1110,0)))</f>
        <v/>
      </c>
      <c r="O1110" s="53">
        <f>IF(COUNTA(A1110:K1110)=0,"",IF(OR(A1110="",B1110="",C1110="",D1110="",E1110="",F1110="",G1110="",NOT(ISNUMBER(I1110))),"Incomplete",IF(COUNTIF(Lists!$H$4:$AA$4,C1110)=0,"Check category",IF(COUNTIF(INDEX(Lists!$H$6:$AA$45,0,MATCH(C1110,Lists!$H$4:$AA$4,0)),D1110)=0,"Check sub-category","OK"))))</f>
        <v/>
      </c>
      <c r="P1110">
        <f>IF(ISNUMBER(I1110),I1110+ROW()/10000000,"")</f>
        <v/>
      </c>
      <c r="Q1110">
        <f>IF(AND(ISNUMBER(P1110),ISNUMBER(A1110)),IF(AND(A1110&gt;=Dashboard!$Q$3,A1110&lt;=Dashboard!$Q$4,OR(J1110&lt;&gt;"Yes",Dashboard!$Q$15="Yes")),P1110,""),"")</f>
        <v/>
      </c>
    </row>
    <row r="1111">
      <c r="A1111" s="47" t="n"/>
      <c r="B1111" s="48" t="n"/>
      <c r="C1111" s="48" t="n"/>
      <c r="D1111" s="48" t="n"/>
      <c r="E1111" s="48" t="n"/>
      <c r="F1111" s="48" t="n"/>
      <c r="G1111" s="48" t="n"/>
      <c r="H1111" s="48" t="n"/>
      <c r="I1111" s="49" t="n"/>
      <c r="J1111" s="50" t="n"/>
      <c r="K1111" s="48" t="n"/>
      <c r="L1111" s="51">
        <f>IF(A1111="","",DATE(YEAR(A1111),MONTH(A1111),1))</f>
        <v/>
      </c>
      <c r="M1111" s="52">
        <f>IF(OR(A1111="",NOT(ISNUMBER(I1111))),"",IF(G1111=Lists!$B$5,I1111/2,IF(G1111=Lists!$B$6,I1111,0)))</f>
        <v/>
      </c>
      <c r="N1111" s="52">
        <f>IF(OR(A1111="",NOT(ISNUMBER(I1111))),"",IF(G1111=Lists!$B$5,I1111/2,IF(G1111=Lists!$B$7,I1111,0)))</f>
        <v/>
      </c>
      <c r="O1111" s="53">
        <f>IF(COUNTA(A1111:K1111)=0,"",IF(OR(A1111="",B1111="",C1111="",D1111="",E1111="",F1111="",G1111="",NOT(ISNUMBER(I1111))),"Incomplete",IF(COUNTIF(Lists!$H$4:$AA$4,C1111)=0,"Check category",IF(COUNTIF(INDEX(Lists!$H$6:$AA$45,0,MATCH(C1111,Lists!$H$4:$AA$4,0)),D1111)=0,"Check sub-category","OK"))))</f>
        <v/>
      </c>
      <c r="P1111">
        <f>IF(ISNUMBER(I1111),I1111+ROW()/10000000,"")</f>
        <v/>
      </c>
      <c r="Q1111">
        <f>IF(AND(ISNUMBER(P1111),ISNUMBER(A1111)),IF(AND(A1111&gt;=Dashboard!$Q$3,A1111&lt;=Dashboard!$Q$4,OR(J1111&lt;&gt;"Yes",Dashboard!$Q$15="Yes")),P1111,""),"")</f>
        <v/>
      </c>
    </row>
    <row r="1112">
      <c r="A1112" s="47" t="n"/>
      <c r="B1112" s="48" t="n"/>
      <c r="C1112" s="48" t="n"/>
      <c r="D1112" s="48" t="n"/>
      <c r="E1112" s="48" t="n"/>
      <c r="F1112" s="48" t="n"/>
      <c r="G1112" s="48" t="n"/>
      <c r="H1112" s="48" t="n"/>
      <c r="I1112" s="49" t="n"/>
      <c r="J1112" s="50" t="n"/>
      <c r="K1112" s="48" t="n"/>
      <c r="L1112" s="51">
        <f>IF(A1112="","",DATE(YEAR(A1112),MONTH(A1112),1))</f>
        <v/>
      </c>
      <c r="M1112" s="52">
        <f>IF(OR(A1112="",NOT(ISNUMBER(I1112))),"",IF(G1112=Lists!$B$5,I1112/2,IF(G1112=Lists!$B$6,I1112,0)))</f>
        <v/>
      </c>
      <c r="N1112" s="52">
        <f>IF(OR(A1112="",NOT(ISNUMBER(I1112))),"",IF(G1112=Lists!$B$5,I1112/2,IF(G1112=Lists!$B$7,I1112,0)))</f>
        <v/>
      </c>
      <c r="O1112" s="53">
        <f>IF(COUNTA(A1112:K1112)=0,"",IF(OR(A1112="",B1112="",C1112="",D1112="",E1112="",F1112="",G1112="",NOT(ISNUMBER(I1112))),"Incomplete",IF(COUNTIF(Lists!$H$4:$AA$4,C1112)=0,"Check category",IF(COUNTIF(INDEX(Lists!$H$6:$AA$45,0,MATCH(C1112,Lists!$H$4:$AA$4,0)),D1112)=0,"Check sub-category","OK"))))</f>
        <v/>
      </c>
      <c r="P1112">
        <f>IF(ISNUMBER(I1112),I1112+ROW()/10000000,"")</f>
        <v/>
      </c>
      <c r="Q1112">
        <f>IF(AND(ISNUMBER(P1112),ISNUMBER(A1112)),IF(AND(A1112&gt;=Dashboard!$Q$3,A1112&lt;=Dashboard!$Q$4,OR(J1112&lt;&gt;"Yes",Dashboard!$Q$15="Yes")),P1112,""),"")</f>
        <v/>
      </c>
    </row>
    <row r="1113">
      <c r="A1113" s="47" t="n"/>
      <c r="B1113" s="48" t="n"/>
      <c r="C1113" s="48" t="n"/>
      <c r="D1113" s="48" t="n"/>
      <c r="E1113" s="48" t="n"/>
      <c r="F1113" s="48" t="n"/>
      <c r="G1113" s="48" t="n"/>
      <c r="H1113" s="48" t="n"/>
      <c r="I1113" s="49" t="n"/>
      <c r="J1113" s="50" t="n"/>
      <c r="K1113" s="48" t="n"/>
      <c r="L1113" s="51">
        <f>IF(A1113="","",DATE(YEAR(A1113),MONTH(A1113),1))</f>
        <v/>
      </c>
      <c r="M1113" s="52">
        <f>IF(OR(A1113="",NOT(ISNUMBER(I1113))),"",IF(G1113=Lists!$B$5,I1113/2,IF(G1113=Lists!$B$6,I1113,0)))</f>
        <v/>
      </c>
      <c r="N1113" s="52">
        <f>IF(OR(A1113="",NOT(ISNUMBER(I1113))),"",IF(G1113=Lists!$B$5,I1113/2,IF(G1113=Lists!$B$7,I1113,0)))</f>
        <v/>
      </c>
      <c r="O1113" s="53">
        <f>IF(COUNTA(A1113:K1113)=0,"",IF(OR(A1113="",B1113="",C1113="",D1113="",E1113="",F1113="",G1113="",NOT(ISNUMBER(I1113))),"Incomplete",IF(COUNTIF(Lists!$H$4:$AA$4,C1113)=0,"Check category",IF(COUNTIF(INDEX(Lists!$H$6:$AA$45,0,MATCH(C1113,Lists!$H$4:$AA$4,0)),D1113)=0,"Check sub-category","OK"))))</f>
        <v/>
      </c>
      <c r="P1113">
        <f>IF(ISNUMBER(I1113),I1113+ROW()/10000000,"")</f>
        <v/>
      </c>
      <c r="Q1113">
        <f>IF(AND(ISNUMBER(P1113),ISNUMBER(A1113)),IF(AND(A1113&gt;=Dashboard!$Q$3,A1113&lt;=Dashboard!$Q$4,OR(J1113&lt;&gt;"Yes",Dashboard!$Q$15="Yes")),P1113,""),"")</f>
        <v/>
      </c>
    </row>
    <row r="1114">
      <c r="A1114" s="47" t="n"/>
      <c r="B1114" s="48" t="n"/>
      <c r="C1114" s="48" t="n"/>
      <c r="D1114" s="48" t="n"/>
      <c r="E1114" s="48" t="n"/>
      <c r="F1114" s="48" t="n"/>
      <c r="G1114" s="48" t="n"/>
      <c r="H1114" s="48" t="n"/>
      <c r="I1114" s="49" t="n"/>
      <c r="J1114" s="50" t="n"/>
      <c r="K1114" s="48" t="n"/>
      <c r="L1114" s="51">
        <f>IF(A1114="","",DATE(YEAR(A1114),MONTH(A1114),1))</f>
        <v/>
      </c>
      <c r="M1114" s="52">
        <f>IF(OR(A1114="",NOT(ISNUMBER(I1114))),"",IF(G1114=Lists!$B$5,I1114/2,IF(G1114=Lists!$B$6,I1114,0)))</f>
        <v/>
      </c>
      <c r="N1114" s="52">
        <f>IF(OR(A1114="",NOT(ISNUMBER(I1114))),"",IF(G1114=Lists!$B$5,I1114/2,IF(G1114=Lists!$B$7,I1114,0)))</f>
        <v/>
      </c>
      <c r="O1114" s="53">
        <f>IF(COUNTA(A1114:K1114)=0,"",IF(OR(A1114="",B1114="",C1114="",D1114="",E1114="",F1114="",G1114="",NOT(ISNUMBER(I1114))),"Incomplete",IF(COUNTIF(Lists!$H$4:$AA$4,C1114)=0,"Check category",IF(COUNTIF(INDEX(Lists!$H$6:$AA$45,0,MATCH(C1114,Lists!$H$4:$AA$4,0)),D1114)=0,"Check sub-category","OK"))))</f>
        <v/>
      </c>
      <c r="P1114">
        <f>IF(ISNUMBER(I1114),I1114+ROW()/10000000,"")</f>
        <v/>
      </c>
      <c r="Q1114">
        <f>IF(AND(ISNUMBER(P1114),ISNUMBER(A1114)),IF(AND(A1114&gt;=Dashboard!$Q$3,A1114&lt;=Dashboard!$Q$4,OR(J1114&lt;&gt;"Yes",Dashboard!$Q$15="Yes")),P1114,""),"")</f>
        <v/>
      </c>
    </row>
    <row r="1115">
      <c r="A1115" s="47" t="n"/>
      <c r="B1115" s="48" t="n"/>
      <c r="C1115" s="48" t="n"/>
      <c r="D1115" s="48" t="n"/>
      <c r="E1115" s="48" t="n"/>
      <c r="F1115" s="48" t="n"/>
      <c r="G1115" s="48" t="n"/>
      <c r="H1115" s="48" t="n"/>
      <c r="I1115" s="49" t="n"/>
      <c r="J1115" s="50" t="n"/>
      <c r="K1115" s="48" t="n"/>
      <c r="L1115" s="51">
        <f>IF(A1115="","",DATE(YEAR(A1115),MONTH(A1115),1))</f>
        <v/>
      </c>
      <c r="M1115" s="52">
        <f>IF(OR(A1115="",NOT(ISNUMBER(I1115))),"",IF(G1115=Lists!$B$5,I1115/2,IF(G1115=Lists!$B$6,I1115,0)))</f>
        <v/>
      </c>
      <c r="N1115" s="52">
        <f>IF(OR(A1115="",NOT(ISNUMBER(I1115))),"",IF(G1115=Lists!$B$5,I1115/2,IF(G1115=Lists!$B$7,I1115,0)))</f>
        <v/>
      </c>
      <c r="O1115" s="53">
        <f>IF(COUNTA(A1115:K1115)=0,"",IF(OR(A1115="",B1115="",C1115="",D1115="",E1115="",F1115="",G1115="",NOT(ISNUMBER(I1115))),"Incomplete",IF(COUNTIF(Lists!$H$4:$AA$4,C1115)=0,"Check category",IF(COUNTIF(INDEX(Lists!$H$6:$AA$45,0,MATCH(C1115,Lists!$H$4:$AA$4,0)),D1115)=0,"Check sub-category","OK"))))</f>
        <v/>
      </c>
      <c r="P1115">
        <f>IF(ISNUMBER(I1115),I1115+ROW()/10000000,"")</f>
        <v/>
      </c>
      <c r="Q1115">
        <f>IF(AND(ISNUMBER(P1115),ISNUMBER(A1115)),IF(AND(A1115&gt;=Dashboard!$Q$3,A1115&lt;=Dashboard!$Q$4,OR(J1115&lt;&gt;"Yes",Dashboard!$Q$15="Yes")),P1115,""),"")</f>
        <v/>
      </c>
    </row>
    <row r="1116">
      <c r="A1116" s="47" t="n"/>
      <c r="B1116" s="48" t="n"/>
      <c r="C1116" s="48" t="n"/>
      <c r="D1116" s="48" t="n"/>
      <c r="E1116" s="48" t="n"/>
      <c r="F1116" s="48" t="n"/>
      <c r="G1116" s="48" t="n"/>
      <c r="H1116" s="48" t="n"/>
      <c r="I1116" s="49" t="n"/>
      <c r="J1116" s="50" t="n"/>
      <c r="K1116" s="48" t="n"/>
      <c r="L1116" s="51">
        <f>IF(A1116="","",DATE(YEAR(A1116),MONTH(A1116),1))</f>
        <v/>
      </c>
      <c r="M1116" s="52">
        <f>IF(OR(A1116="",NOT(ISNUMBER(I1116))),"",IF(G1116=Lists!$B$5,I1116/2,IF(G1116=Lists!$B$6,I1116,0)))</f>
        <v/>
      </c>
      <c r="N1116" s="52">
        <f>IF(OR(A1116="",NOT(ISNUMBER(I1116))),"",IF(G1116=Lists!$B$5,I1116/2,IF(G1116=Lists!$B$7,I1116,0)))</f>
        <v/>
      </c>
      <c r="O1116" s="53">
        <f>IF(COUNTA(A1116:K1116)=0,"",IF(OR(A1116="",B1116="",C1116="",D1116="",E1116="",F1116="",G1116="",NOT(ISNUMBER(I1116))),"Incomplete",IF(COUNTIF(Lists!$H$4:$AA$4,C1116)=0,"Check category",IF(COUNTIF(INDEX(Lists!$H$6:$AA$45,0,MATCH(C1116,Lists!$H$4:$AA$4,0)),D1116)=0,"Check sub-category","OK"))))</f>
        <v/>
      </c>
      <c r="P1116">
        <f>IF(ISNUMBER(I1116),I1116+ROW()/10000000,"")</f>
        <v/>
      </c>
      <c r="Q1116">
        <f>IF(AND(ISNUMBER(P1116),ISNUMBER(A1116)),IF(AND(A1116&gt;=Dashboard!$Q$3,A1116&lt;=Dashboard!$Q$4,OR(J1116&lt;&gt;"Yes",Dashboard!$Q$15="Yes")),P1116,""),"")</f>
        <v/>
      </c>
    </row>
    <row r="1117">
      <c r="A1117" s="47" t="n"/>
      <c r="B1117" s="48" t="n"/>
      <c r="C1117" s="48" t="n"/>
      <c r="D1117" s="48" t="n"/>
      <c r="E1117" s="48" t="n"/>
      <c r="F1117" s="48" t="n"/>
      <c r="G1117" s="48" t="n"/>
      <c r="H1117" s="48" t="n"/>
      <c r="I1117" s="49" t="n"/>
      <c r="J1117" s="50" t="n"/>
      <c r="K1117" s="48" t="n"/>
      <c r="L1117" s="51">
        <f>IF(A1117="","",DATE(YEAR(A1117),MONTH(A1117),1))</f>
        <v/>
      </c>
      <c r="M1117" s="52">
        <f>IF(OR(A1117="",NOT(ISNUMBER(I1117))),"",IF(G1117=Lists!$B$5,I1117/2,IF(G1117=Lists!$B$6,I1117,0)))</f>
        <v/>
      </c>
      <c r="N1117" s="52">
        <f>IF(OR(A1117="",NOT(ISNUMBER(I1117))),"",IF(G1117=Lists!$B$5,I1117/2,IF(G1117=Lists!$B$7,I1117,0)))</f>
        <v/>
      </c>
      <c r="O1117" s="53">
        <f>IF(COUNTA(A1117:K1117)=0,"",IF(OR(A1117="",B1117="",C1117="",D1117="",E1117="",F1117="",G1117="",NOT(ISNUMBER(I1117))),"Incomplete",IF(COUNTIF(Lists!$H$4:$AA$4,C1117)=0,"Check category",IF(COUNTIF(INDEX(Lists!$H$6:$AA$45,0,MATCH(C1117,Lists!$H$4:$AA$4,0)),D1117)=0,"Check sub-category","OK"))))</f>
        <v/>
      </c>
      <c r="P1117">
        <f>IF(ISNUMBER(I1117),I1117+ROW()/10000000,"")</f>
        <v/>
      </c>
      <c r="Q1117">
        <f>IF(AND(ISNUMBER(P1117),ISNUMBER(A1117)),IF(AND(A1117&gt;=Dashboard!$Q$3,A1117&lt;=Dashboard!$Q$4,OR(J1117&lt;&gt;"Yes",Dashboard!$Q$15="Yes")),P1117,""),"")</f>
        <v/>
      </c>
    </row>
    <row r="1118">
      <c r="A1118" s="47" t="n"/>
      <c r="B1118" s="48" t="n"/>
      <c r="C1118" s="48" t="n"/>
      <c r="D1118" s="48" t="n"/>
      <c r="E1118" s="48" t="n"/>
      <c r="F1118" s="48" t="n"/>
      <c r="G1118" s="48" t="n"/>
      <c r="H1118" s="48" t="n"/>
      <c r="I1118" s="49" t="n"/>
      <c r="J1118" s="50" t="n"/>
      <c r="K1118" s="48" t="n"/>
      <c r="L1118" s="51">
        <f>IF(A1118="","",DATE(YEAR(A1118),MONTH(A1118),1))</f>
        <v/>
      </c>
      <c r="M1118" s="52">
        <f>IF(OR(A1118="",NOT(ISNUMBER(I1118))),"",IF(G1118=Lists!$B$5,I1118/2,IF(G1118=Lists!$B$6,I1118,0)))</f>
        <v/>
      </c>
      <c r="N1118" s="52">
        <f>IF(OR(A1118="",NOT(ISNUMBER(I1118))),"",IF(G1118=Lists!$B$5,I1118/2,IF(G1118=Lists!$B$7,I1118,0)))</f>
        <v/>
      </c>
      <c r="O1118" s="53">
        <f>IF(COUNTA(A1118:K1118)=0,"",IF(OR(A1118="",B1118="",C1118="",D1118="",E1118="",F1118="",G1118="",NOT(ISNUMBER(I1118))),"Incomplete",IF(COUNTIF(Lists!$H$4:$AA$4,C1118)=0,"Check category",IF(COUNTIF(INDEX(Lists!$H$6:$AA$45,0,MATCH(C1118,Lists!$H$4:$AA$4,0)),D1118)=0,"Check sub-category","OK"))))</f>
        <v/>
      </c>
      <c r="P1118">
        <f>IF(ISNUMBER(I1118),I1118+ROW()/10000000,"")</f>
        <v/>
      </c>
      <c r="Q1118">
        <f>IF(AND(ISNUMBER(P1118),ISNUMBER(A1118)),IF(AND(A1118&gt;=Dashboard!$Q$3,A1118&lt;=Dashboard!$Q$4,OR(J1118&lt;&gt;"Yes",Dashboard!$Q$15="Yes")),P1118,""),"")</f>
        <v/>
      </c>
    </row>
    <row r="1119">
      <c r="A1119" s="47" t="n"/>
      <c r="B1119" s="48" t="n"/>
      <c r="C1119" s="48" t="n"/>
      <c r="D1119" s="48" t="n"/>
      <c r="E1119" s="48" t="n"/>
      <c r="F1119" s="48" t="n"/>
      <c r="G1119" s="48" t="n"/>
      <c r="H1119" s="48" t="n"/>
      <c r="I1119" s="49" t="n"/>
      <c r="J1119" s="50" t="n"/>
      <c r="K1119" s="48" t="n"/>
      <c r="L1119" s="51">
        <f>IF(A1119="","",DATE(YEAR(A1119),MONTH(A1119),1))</f>
        <v/>
      </c>
      <c r="M1119" s="52">
        <f>IF(OR(A1119="",NOT(ISNUMBER(I1119))),"",IF(G1119=Lists!$B$5,I1119/2,IF(G1119=Lists!$B$6,I1119,0)))</f>
        <v/>
      </c>
      <c r="N1119" s="52">
        <f>IF(OR(A1119="",NOT(ISNUMBER(I1119))),"",IF(G1119=Lists!$B$5,I1119/2,IF(G1119=Lists!$B$7,I1119,0)))</f>
        <v/>
      </c>
      <c r="O1119" s="53">
        <f>IF(COUNTA(A1119:K1119)=0,"",IF(OR(A1119="",B1119="",C1119="",D1119="",E1119="",F1119="",G1119="",NOT(ISNUMBER(I1119))),"Incomplete",IF(COUNTIF(Lists!$H$4:$AA$4,C1119)=0,"Check category",IF(COUNTIF(INDEX(Lists!$H$6:$AA$45,0,MATCH(C1119,Lists!$H$4:$AA$4,0)),D1119)=0,"Check sub-category","OK"))))</f>
        <v/>
      </c>
      <c r="P1119">
        <f>IF(ISNUMBER(I1119),I1119+ROW()/10000000,"")</f>
        <v/>
      </c>
      <c r="Q1119">
        <f>IF(AND(ISNUMBER(P1119),ISNUMBER(A1119)),IF(AND(A1119&gt;=Dashboard!$Q$3,A1119&lt;=Dashboard!$Q$4,OR(J1119&lt;&gt;"Yes",Dashboard!$Q$15="Yes")),P1119,""),"")</f>
        <v/>
      </c>
    </row>
    <row r="1120">
      <c r="A1120" s="47" t="n"/>
      <c r="B1120" s="48" t="n"/>
      <c r="C1120" s="48" t="n"/>
      <c r="D1120" s="48" t="n"/>
      <c r="E1120" s="48" t="n"/>
      <c r="F1120" s="48" t="n"/>
      <c r="G1120" s="48" t="n"/>
      <c r="H1120" s="48" t="n"/>
      <c r="I1120" s="49" t="n"/>
      <c r="J1120" s="50" t="n"/>
      <c r="K1120" s="48" t="n"/>
      <c r="L1120" s="51">
        <f>IF(A1120="","",DATE(YEAR(A1120),MONTH(A1120),1))</f>
        <v/>
      </c>
      <c r="M1120" s="52">
        <f>IF(OR(A1120="",NOT(ISNUMBER(I1120))),"",IF(G1120=Lists!$B$5,I1120/2,IF(G1120=Lists!$B$6,I1120,0)))</f>
        <v/>
      </c>
      <c r="N1120" s="52">
        <f>IF(OR(A1120="",NOT(ISNUMBER(I1120))),"",IF(G1120=Lists!$B$5,I1120/2,IF(G1120=Lists!$B$7,I1120,0)))</f>
        <v/>
      </c>
      <c r="O1120" s="53">
        <f>IF(COUNTA(A1120:K1120)=0,"",IF(OR(A1120="",B1120="",C1120="",D1120="",E1120="",F1120="",G1120="",NOT(ISNUMBER(I1120))),"Incomplete",IF(COUNTIF(Lists!$H$4:$AA$4,C1120)=0,"Check category",IF(COUNTIF(INDEX(Lists!$H$6:$AA$45,0,MATCH(C1120,Lists!$H$4:$AA$4,0)),D1120)=0,"Check sub-category","OK"))))</f>
        <v/>
      </c>
      <c r="P1120">
        <f>IF(ISNUMBER(I1120),I1120+ROW()/10000000,"")</f>
        <v/>
      </c>
      <c r="Q1120">
        <f>IF(AND(ISNUMBER(P1120),ISNUMBER(A1120)),IF(AND(A1120&gt;=Dashboard!$Q$3,A1120&lt;=Dashboard!$Q$4,OR(J1120&lt;&gt;"Yes",Dashboard!$Q$15="Yes")),P1120,""),"")</f>
        <v/>
      </c>
    </row>
    <row r="1121">
      <c r="A1121" s="47" t="n"/>
      <c r="B1121" s="48" t="n"/>
      <c r="C1121" s="48" t="n"/>
      <c r="D1121" s="48" t="n"/>
      <c r="E1121" s="48" t="n"/>
      <c r="F1121" s="48" t="n"/>
      <c r="G1121" s="48" t="n"/>
      <c r="H1121" s="48" t="n"/>
      <c r="I1121" s="49" t="n"/>
      <c r="J1121" s="50" t="n"/>
      <c r="K1121" s="48" t="n"/>
      <c r="L1121" s="51">
        <f>IF(A1121="","",DATE(YEAR(A1121),MONTH(A1121),1))</f>
        <v/>
      </c>
      <c r="M1121" s="52">
        <f>IF(OR(A1121="",NOT(ISNUMBER(I1121))),"",IF(G1121=Lists!$B$5,I1121/2,IF(G1121=Lists!$B$6,I1121,0)))</f>
        <v/>
      </c>
      <c r="N1121" s="52">
        <f>IF(OR(A1121="",NOT(ISNUMBER(I1121))),"",IF(G1121=Lists!$B$5,I1121/2,IF(G1121=Lists!$B$7,I1121,0)))</f>
        <v/>
      </c>
      <c r="O1121" s="53">
        <f>IF(COUNTA(A1121:K1121)=0,"",IF(OR(A1121="",B1121="",C1121="",D1121="",E1121="",F1121="",G1121="",NOT(ISNUMBER(I1121))),"Incomplete",IF(COUNTIF(Lists!$H$4:$AA$4,C1121)=0,"Check category",IF(COUNTIF(INDEX(Lists!$H$6:$AA$45,0,MATCH(C1121,Lists!$H$4:$AA$4,0)),D1121)=0,"Check sub-category","OK"))))</f>
        <v/>
      </c>
      <c r="P1121">
        <f>IF(ISNUMBER(I1121),I1121+ROW()/10000000,"")</f>
        <v/>
      </c>
      <c r="Q1121">
        <f>IF(AND(ISNUMBER(P1121),ISNUMBER(A1121)),IF(AND(A1121&gt;=Dashboard!$Q$3,A1121&lt;=Dashboard!$Q$4,OR(J1121&lt;&gt;"Yes",Dashboard!$Q$15="Yes")),P1121,""),"")</f>
        <v/>
      </c>
    </row>
    <row r="1122">
      <c r="A1122" s="47" t="n"/>
      <c r="B1122" s="48" t="n"/>
      <c r="C1122" s="48" t="n"/>
      <c r="D1122" s="48" t="n"/>
      <c r="E1122" s="48" t="n"/>
      <c r="F1122" s="48" t="n"/>
      <c r="G1122" s="48" t="n"/>
      <c r="H1122" s="48" t="n"/>
      <c r="I1122" s="49" t="n"/>
      <c r="J1122" s="50" t="n"/>
      <c r="K1122" s="48" t="n"/>
      <c r="L1122" s="51">
        <f>IF(A1122="","",DATE(YEAR(A1122),MONTH(A1122),1))</f>
        <v/>
      </c>
      <c r="M1122" s="52">
        <f>IF(OR(A1122="",NOT(ISNUMBER(I1122))),"",IF(G1122=Lists!$B$5,I1122/2,IF(G1122=Lists!$B$6,I1122,0)))</f>
        <v/>
      </c>
      <c r="N1122" s="52">
        <f>IF(OR(A1122="",NOT(ISNUMBER(I1122))),"",IF(G1122=Lists!$B$5,I1122/2,IF(G1122=Lists!$B$7,I1122,0)))</f>
        <v/>
      </c>
      <c r="O1122" s="53">
        <f>IF(COUNTA(A1122:K1122)=0,"",IF(OR(A1122="",B1122="",C1122="",D1122="",E1122="",F1122="",G1122="",NOT(ISNUMBER(I1122))),"Incomplete",IF(COUNTIF(Lists!$H$4:$AA$4,C1122)=0,"Check category",IF(COUNTIF(INDEX(Lists!$H$6:$AA$45,0,MATCH(C1122,Lists!$H$4:$AA$4,0)),D1122)=0,"Check sub-category","OK"))))</f>
        <v/>
      </c>
      <c r="P1122">
        <f>IF(ISNUMBER(I1122),I1122+ROW()/10000000,"")</f>
        <v/>
      </c>
      <c r="Q1122">
        <f>IF(AND(ISNUMBER(P1122),ISNUMBER(A1122)),IF(AND(A1122&gt;=Dashboard!$Q$3,A1122&lt;=Dashboard!$Q$4,OR(J1122&lt;&gt;"Yes",Dashboard!$Q$15="Yes")),P1122,""),"")</f>
        <v/>
      </c>
    </row>
    <row r="1123">
      <c r="A1123" s="47" t="n"/>
      <c r="B1123" s="48" t="n"/>
      <c r="C1123" s="48" t="n"/>
      <c r="D1123" s="48" t="n"/>
      <c r="E1123" s="48" t="n"/>
      <c r="F1123" s="48" t="n"/>
      <c r="G1123" s="48" t="n"/>
      <c r="H1123" s="48" t="n"/>
      <c r="I1123" s="49" t="n"/>
      <c r="J1123" s="50" t="n"/>
      <c r="K1123" s="48" t="n"/>
      <c r="L1123" s="51">
        <f>IF(A1123="","",DATE(YEAR(A1123),MONTH(A1123),1))</f>
        <v/>
      </c>
      <c r="M1123" s="52">
        <f>IF(OR(A1123="",NOT(ISNUMBER(I1123))),"",IF(G1123=Lists!$B$5,I1123/2,IF(G1123=Lists!$B$6,I1123,0)))</f>
        <v/>
      </c>
      <c r="N1123" s="52">
        <f>IF(OR(A1123="",NOT(ISNUMBER(I1123))),"",IF(G1123=Lists!$B$5,I1123/2,IF(G1123=Lists!$B$7,I1123,0)))</f>
        <v/>
      </c>
      <c r="O1123" s="53">
        <f>IF(COUNTA(A1123:K1123)=0,"",IF(OR(A1123="",B1123="",C1123="",D1123="",E1123="",F1123="",G1123="",NOT(ISNUMBER(I1123))),"Incomplete",IF(COUNTIF(Lists!$H$4:$AA$4,C1123)=0,"Check category",IF(COUNTIF(INDEX(Lists!$H$6:$AA$45,0,MATCH(C1123,Lists!$H$4:$AA$4,0)),D1123)=0,"Check sub-category","OK"))))</f>
        <v/>
      </c>
      <c r="P1123">
        <f>IF(ISNUMBER(I1123),I1123+ROW()/10000000,"")</f>
        <v/>
      </c>
      <c r="Q1123">
        <f>IF(AND(ISNUMBER(P1123),ISNUMBER(A1123)),IF(AND(A1123&gt;=Dashboard!$Q$3,A1123&lt;=Dashboard!$Q$4,OR(J1123&lt;&gt;"Yes",Dashboard!$Q$15="Yes")),P1123,""),"")</f>
        <v/>
      </c>
    </row>
    <row r="1124">
      <c r="A1124" s="47" t="n"/>
      <c r="B1124" s="48" t="n"/>
      <c r="C1124" s="48" t="n"/>
      <c r="D1124" s="48" t="n"/>
      <c r="E1124" s="48" t="n"/>
      <c r="F1124" s="48" t="n"/>
      <c r="G1124" s="48" t="n"/>
      <c r="H1124" s="48" t="n"/>
      <c r="I1124" s="49" t="n"/>
      <c r="J1124" s="50" t="n"/>
      <c r="K1124" s="48" t="n"/>
      <c r="L1124" s="51">
        <f>IF(A1124="","",DATE(YEAR(A1124),MONTH(A1124),1))</f>
        <v/>
      </c>
      <c r="M1124" s="52">
        <f>IF(OR(A1124="",NOT(ISNUMBER(I1124))),"",IF(G1124=Lists!$B$5,I1124/2,IF(G1124=Lists!$B$6,I1124,0)))</f>
        <v/>
      </c>
      <c r="N1124" s="52">
        <f>IF(OR(A1124="",NOT(ISNUMBER(I1124))),"",IF(G1124=Lists!$B$5,I1124/2,IF(G1124=Lists!$B$7,I1124,0)))</f>
        <v/>
      </c>
      <c r="O1124" s="53">
        <f>IF(COUNTA(A1124:K1124)=0,"",IF(OR(A1124="",B1124="",C1124="",D1124="",E1124="",F1124="",G1124="",NOT(ISNUMBER(I1124))),"Incomplete",IF(COUNTIF(Lists!$H$4:$AA$4,C1124)=0,"Check category",IF(COUNTIF(INDEX(Lists!$H$6:$AA$45,0,MATCH(C1124,Lists!$H$4:$AA$4,0)),D1124)=0,"Check sub-category","OK"))))</f>
        <v/>
      </c>
      <c r="P1124">
        <f>IF(ISNUMBER(I1124),I1124+ROW()/10000000,"")</f>
        <v/>
      </c>
      <c r="Q1124">
        <f>IF(AND(ISNUMBER(P1124),ISNUMBER(A1124)),IF(AND(A1124&gt;=Dashboard!$Q$3,A1124&lt;=Dashboard!$Q$4,OR(J1124&lt;&gt;"Yes",Dashboard!$Q$15="Yes")),P1124,""),"")</f>
        <v/>
      </c>
    </row>
    <row r="1125">
      <c r="A1125" s="47" t="n"/>
      <c r="B1125" s="48" t="n"/>
      <c r="C1125" s="48" t="n"/>
      <c r="D1125" s="48" t="n"/>
      <c r="E1125" s="48" t="n"/>
      <c r="F1125" s="48" t="n"/>
      <c r="G1125" s="48" t="n"/>
      <c r="H1125" s="48" t="n"/>
      <c r="I1125" s="49" t="n"/>
      <c r="J1125" s="50" t="n"/>
      <c r="K1125" s="48" t="n"/>
      <c r="L1125" s="51">
        <f>IF(A1125="","",DATE(YEAR(A1125),MONTH(A1125),1))</f>
        <v/>
      </c>
      <c r="M1125" s="52">
        <f>IF(OR(A1125="",NOT(ISNUMBER(I1125))),"",IF(G1125=Lists!$B$5,I1125/2,IF(G1125=Lists!$B$6,I1125,0)))</f>
        <v/>
      </c>
      <c r="N1125" s="52">
        <f>IF(OR(A1125="",NOT(ISNUMBER(I1125))),"",IF(G1125=Lists!$B$5,I1125/2,IF(G1125=Lists!$B$7,I1125,0)))</f>
        <v/>
      </c>
      <c r="O1125" s="53">
        <f>IF(COUNTA(A1125:K1125)=0,"",IF(OR(A1125="",B1125="",C1125="",D1125="",E1125="",F1125="",G1125="",NOT(ISNUMBER(I1125))),"Incomplete",IF(COUNTIF(Lists!$H$4:$AA$4,C1125)=0,"Check category",IF(COUNTIF(INDEX(Lists!$H$6:$AA$45,0,MATCH(C1125,Lists!$H$4:$AA$4,0)),D1125)=0,"Check sub-category","OK"))))</f>
        <v/>
      </c>
      <c r="P1125">
        <f>IF(ISNUMBER(I1125),I1125+ROW()/10000000,"")</f>
        <v/>
      </c>
      <c r="Q1125">
        <f>IF(AND(ISNUMBER(P1125),ISNUMBER(A1125)),IF(AND(A1125&gt;=Dashboard!$Q$3,A1125&lt;=Dashboard!$Q$4,OR(J1125&lt;&gt;"Yes",Dashboard!$Q$15="Yes")),P1125,""),"")</f>
        <v/>
      </c>
    </row>
    <row r="1126">
      <c r="A1126" s="47" t="n"/>
      <c r="B1126" s="48" t="n"/>
      <c r="C1126" s="48" t="n"/>
      <c r="D1126" s="48" t="n"/>
      <c r="E1126" s="48" t="n"/>
      <c r="F1126" s="48" t="n"/>
      <c r="G1126" s="48" t="n"/>
      <c r="H1126" s="48" t="n"/>
      <c r="I1126" s="49" t="n"/>
      <c r="J1126" s="50" t="n"/>
      <c r="K1126" s="48" t="n"/>
      <c r="L1126" s="51">
        <f>IF(A1126="","",DATE(YEAR(A1126),MONTH(A1126),1))</f>
        <v/>
      </c>
      <c r="M1126" s="52">
        <f>IF(OR(A1126="",NOT(ISNUMBER(I1126))),"",IF(G1126=Lists!$B$5,I1126/2,IF(G1126=Lists!$B$6,I1126,0)))</f>
        <v/>
      </c>
      <c r="N1126" s="52">
        <f>IF(OR(A1126="",NOT(ISNUMBER(I1126))),"",IF(G1126=Lists!$B$5,I1126/2,IF(G1126=Lists!$B$7,I1126,0)))</f>
        <v/>
      </c>
      <c r="O1126" s="53">
        <f>IF(COUNTA(A1126:K1126)=0,"",IF(OR(A1126="",B1126="",C1126="",D1126="",E1126="",F1126="",G1126="",NOT(ISNUMBER(I1126))),"Incomplete",IF(COUNTIF(Lists!$H$4:$AA$4,C1126)=0,"Check category",IF(COUNTIF(INDEX(Lists!$H$6:$AA$45,0,MATCH(C1126,Lists!$H$4:$AA$4,0)),D1126)=0,"Check sub-category","OK"))))</f>
        <v/>
      </c>
      <c r="P1126">
        <f>IF(ISNUMBER(I1126),I1126+ROW()/10000000,"")</f>
        <v/>
      </c>
      <c r="Q1126">
        <f>IF(AND(ISNUMBER(P1126),ISNUMBER(A1126)),IF(AND(A1126&gt;=Dashboard!$Q$3,A1126&lt;=Dashboard!$Q$4,OR(J1126&lt;&gt;"Yes",Dashboard!$Q$15="Yes")),P1126,""),"")</f>
        <v/>
      </c>
    </row>
    <row r="1127">
      <c r="A1127" s="47" t="n"/>
      <c r="B1127" s="48" t="n"/>
      <c r="C1127" s="48" t="n"/>
      <c r="D1127" s="48" t="n"/>
      <c r="E1127" s="48" t="n"/>
      <c r="F1127" s="48" t="n"/>
      <c r="G1127" s="48" t="n"/>
      <c r="H1127" s="48" t="n"/>
      <c r="I1127" s="49" t="n"/>
      <c r="J1127" s="50" t="n"/>
      <c r="K1127" s="48" t="n"/>
      <c r="L1127" s="51">
        <f>IF(A1127="","",DATE(YEAR(A1127),MONTH(A1127),1))</f>
        <v/>
      </c>
      <c r="M1127" s="52">
        <f>IF(OR(A1127="",NOT(ISNUMBER(I1127))),"",IF(G1127=Lists!$B$5,I1127/2,IF(G1127=Lists!$B$6,I1127,0)))</f>
        <v/>
      </c>
      <c r="N1127" s="52">
        <f>IF(OR(A1127="",NOT(ISNUMBER(I1127))),"",IF(G1127=Lists!$B$5,I1127/2,IF(G1127=Lists!$B$7,I1127,0)))</f>
        <v/>
      </c>
      <c r="O1127" s="53">
        <f>IF(COUNTA(A1127:K1127)=0,"",IF(OR(A1127="",B1127="",C1127="",D1127="",E1127="",F1127="",G1127="",NOT(ISNUMBER(I1127))),"Incomplete",IF(COUNTIF(Lists!$H$4:$AA$4,C1127)=0,"Check category",IF(COUNTIF(INDEX(Lists!$H$6:$AA$45,0,MATCH(C1127,Lists!$H$4:$AA$4,0)),D1127)=0,"Check sub-category","OK"))))</f>
        <v/>
      </c>
      <c r="P1127">
        <f>IF(ISNUMBER(I1127),I1127+ROW()/10000000,"")</f>
        <v/>
      </c>
      <c r="Q1127">
        <f>IF(AND(ISNUMBER(P1127),ISNUMBER(A1127)),IF(AND(A1127&gt;=Dashboard!$Q$3,A1127&lt;=Dashboard!$Q$4,OR(J1127&lt;&gt;"Yes",Dashboard!$Q$15="Yes")),P1127,""),"")</f>
        <v/>
      </c>
    </row>
    <row r="1128">
      <c r="A1128" s="47" t="n"/>
      <c r="B1128" s="48" t="n"/>
      <c r="C1128" s="48" t="n"/>
      <c r="D1128" s="48" t="n"/>
      <c r="E1128" s="48" t="n"/>
      <c r="F1128" s="48" t="n"/>
      <c r="G1128" s="48" t="n"/>
      <c r="H1128" s="48" t="n"/>
      <c r="I1128" s="49" t="n"/>
      <c r="J1128" s="50" t="n"/>
      <c r="K1128" s="48" t="n"/>
      <c r="L1128" s="51">
        <f>IF(A1128="","",DATE(YEAR(A1128),MONTH(A1128),1))</f>
        <v/>
      </c>
      <c r="M1128" s="52">
        <f>IF(OR(A1128="",NOT(ISNUMBER(I1128))),"",IF(G1128=Lists!$B$5,I1128/2,IF(G1128=Lists!$B$6,I1128,0)))</f>
        <v/>
      </c>
      <c r="N1128" s="52">
        <f>IF(OR(A1128="",NOT(ISNUMBER(I1128))),"",IF(G1128=Lists!$B$5,I1128/2,IF(G1128=Lists!$B$7,I1128,0)))</f>
        <v/>
      </c>
      <c r="O1128" s="53">
        <f>IF(COUNTA(A1128:K1128)=0,"",IF(OR(A1128="",B1128="",C1128="",D1128="",E1128="",F1128="",G1128="",NOT(ISNUMBER(I1128))),"Incomplete",IF(COUNTIF(Lists!$H$4:$AA$4,C1128)=0,"Check category",IF(COUNTIF(INDEX(Lists!$H$6:$AA$45,0,MATCH(C1128,Lists!$H$4:$AA$4,0)),D1128)=0,"Check sub-category","OK"))))</f>
        <v/>
      </c>
      <c r="P1128">
        <f>IF(ISNUMBER(I1128),I1128+ROW()/10000000,"")</f>
        <v/>
      </c>
      <c r="Q1128">
        <f>IF(AND(ISNUMBER(P1128),ISNUMBER(A1128)),IF(AND(A1128&gt;=Dashboard!$Q$3,A1128&lt;=Dashboard!$Q$4,OR(J1128&lt;&gt;"Yes",Dashboard!$Q$15="Yes")),P1128,""),"")</f>
        <v/>
      </c>
    </row>
    <row r="1129">
      <c r="A1129" s="47" t="n"/>
      <c r="B1129" s="48" t="n"/>
      <c r="C1129" s="48" t="n"/>
      <c r="D1129" s="48" t="n"/>
      <c r="E1129" s="48" t="n"/>
      <c r="F1129" s="48" t="n"/>
      <c r="G1129" s="48" t="n"/>
      <c r="H1129" s="48" t="n"/>
      <c r="I1129" s="49" t="n"/>
      <c r="J1129" s="50" t="n"/>
      <c r="K1129" s="48" t="n"/>
      <c r="L1129" s="51">
        <f>IF(A1129="","",DATE(YEAR(A1129),MONTH(A1129),1))</f>
        <v/>
      </c>
      <c r="M1129" s="52">
        <f>IF(OR(A1129="",NOT(ISNUMBER(I1129))),"",IF(G1129=Lists!$B$5,I1129/2,IF(G1129=Lists!$B$6,I1129,0)))</f>
        <v/>
      </c>
      <c r="N1129" s="52">
        <f>IF(OR(A1129="",NOT(ISNUMBER(I1129))),"",IF(G1129=Lists!$B$5,I1129/2,IF(G1129=Lists!$B$7,I1129,0)))</f>
        <v/>
      </c>
      <c r="O1129" s="53">
        <f>IF(COUNTA(A1129:K1129)=0,"",IF(OR(A1129="",B1129="",C1129="",D1129="",E1129="",F1129="",G1129="",NOT(ISNUMBER(I1129))),"Incomplete",IF(COUNTIF(Lists!$H$4:$AA$4,C1129)=0,"Check category",IF(COUNTIF(INDEX(Lists!$H$6:$AA$45,0,MATCH(C1129,Lists!$H$4:$AA$4,0)),D1129)=0,"Check sub-category","OK"))))</f>
        <v/>
      </c>
      <c r="P1129">
        <f>IF(ISNUMBER(I1129),I1129+ROW()/10000000,"")</f>
        <v/>
      </c>
      <c r="Q1129">
        <f>IF(AND(ISNUMBER(P1129),ISNUMBER(A1129)),IF(AND(A1129&gt;=Dashboard!$Q$3,A1129&lt;=Dashboard!$Q$4,OR(J1129&lt;&gt;"Yes",Dashboard!$Q$15="Yes")),P1129,""),"")</f>
        <v/>
      </c>
    </row>
    <row r="1130">
      <c r="A1130" s="47" t="n"/>
      <c r="B1130" s="48" t="n"/>
      <c r="C1130" s="48" t="n"/>
      <c r="D1130" s="48" t="n"/>
      <c r="E1130" s="48" t="n"/>
      <c r="F1130" s="48" t="n"/>
      <c r="G1130" s="48" t="n"/>
      <c r="H1130" s="48" t="n"/>
      <c r="I1130" s="49" t="n"/>
      <c r="J1130" s="50" t="n"/>
      <c r="K1130" s="48" t="n"/>
      <c r="L1130" s="51">
        <f>IF(A1130="","",DATE(YEAR(A1130),MONTH(A1130),1))</f>
        <v/>
      </c>
      <c r="M1130" s="52">
        <f>IF(OR(A1130="",NOT(ISNUMBER(I1130))),"",IF(G1130=Lists!$B$5,I1130/2,IF(G1130=Lists!$B$6,I1130,0)))</f>
        <v/>
      </c>
      <c r="N1130" s="52">
        <f>IF(OR(A1130="",NOT(ISNUMBER(I1130))),"",IF(G1130=Lists!$B$5,I1130/2,IF(G1130=Lists!$B$7,I1130,0)))</f>
        <v/>
      </c>
      <c r="O1130" s="53">
        <f>IF(COUNTA(A1130:K1130)=0,"",IF(OR(A1130="",B1130="",C1130="",D1130="",E1130="",F1130="",G1130="",NOT(ISNUMBER(I1130))),"Incomplete",IF(COUNTIF(Lists!$H$4:$AA$4,C1130)=0,"Check category",IF(COUNTIF(INDEX(Lists!$H$6:$AA$45,0,MATCH(C1130,Lists!$H$4:$AA$4,0)),D1130)=0,"Check sub-category","OK"))))</f>
        <v/>
      </c>
      <c r="P1130">
        <f>IF(ISNUMBER(I1130),I1130+ROW()/10000000,"")</f>
        <v/>
      </c>
      <c r="Q1130">
        <f>IF(AND(ISNUMBER(P1130),ISNUMBER(A1130)),IF(AND(A1130&gt;=Dashboard!$Q$3,A1130&lt;=Dashboard!$Q$4,OR(J1130&lt;&gt;"Yes",Dashboard!$Q$15="Yes")),P1130,""),"")</f>
        <v/>
      </c>
    </row>
    <row r="1131">
      <c r="A1131" s="47" t="n"/>
      <c r="B1131" s="48" t="n"/>
      <c r="C1131" s="48" t="n"/>
      <c r="D1131" s="48" t="n"/>
      <c r="E1131" s="48" t="n"/>
      <c r="F1131" s="48" t="n"/>
      <c r="G1131" s="48" t="n"/>
      <c r="H1131" s="48" t="n"/>
      <c r="I1131" s="49" t="n"/>
      <c r="J1131" s="50" t="n"/>
      <c r="K1131" s="48" t="n"/>
      <c r="L1131" s="51">
        <f>IF(A1131="","",DATE(YEAR(A1131),MONTH(A1131),1))</f>
        <v/>
      </c>
      <c r="M1131" s="52">
        <f>IF(OR(A1131="",NOT(ISNUMBER(I1131))),"",IF(G1131=Lists!$B$5,I1131/2,IF(G1131=Lists!$B$6,I1131,0)))</f>
        <v/>
      </c>
      <c r="N1131" s="52">
        <f>IF(OR(A1131="",NOT(ISNUMBER(I1131))),"",IF(G1131=Lists!$B$5,I1131/2,IF(G1131=Lists!$B$7,I1131,0)))</f>
        <v/>
      </c>
      <c r="O1131" s="53">
        <f>IF(COUNTA(A1131:K1131)=0,"",IF(OR(A1131="",B1131="",C1131="",D1131="",E1131="",F1131="",G1131="",NOT(ISNUMBER(I1131))),"Incomplete",IF(COUNTIF(Lists!$H$4:$AA$4,C1131)=0,"Check category",IF(COUNTIF(INDEX(Lists!$H$6:$AA$45,0,MATCH(C1131,Lists!$H$4:$AA$4,0)),D1131)=0,"Check sub-category","OK"))))</f>
        <v/>
      </c>
      <c r="P1131">
        <f>IF(ISNUMBER(I1131),I1131+ROW()/10000000,"")</f>
        <v/>
      </c>
      <c r="Q1131">
        <f>IF(AND(ISNUMBER(P1131),ISNUMBER(A1131)),IF(AND(A1131&gt;=Dashboard!$Q$3,A1131&lt;=Dashboard!$Q$4,OR(J1131&lt;&gt;"Yes",Dashboard!$Q$15="Yes")),P1131,""),"")</f>
        <v/>
      </c>
    </row>
    <row r="1132">
      <c r="A1132" s="47" t="n"/>
      <c r="B1132" s="48" t="n"/>
      <c r="C1132" s="48" t="n"/>
      <c r="D1132" s="48" t="n"/>
      <c r="E1132" s="48" t="n"/>
      <c r="F1132" s="48" t="n"/>
      <c r="G1132" s="48" t="n"/>
      <c r="H1132" s="48" t="n"/>
      <c r="I1132" s="49" t="n"/>
      <c r="J1132" s="50" t="n"/>
      <c r="K1132" s="48" t="n"/>
      <c r="L1132" s="51">
        <f>IF(A1132="","",DATE(YEAR(A1132),MONTH(A1132),1))</f>
        <v/>
      </c>
      <c r="M1132" s="52">
        <f>IF(OR(A1132="",NOT(ISNUMBER(I1132))),"",IF(G1132=Lists!$B$5,I1132/2,IF(G1132=Lists!$B$6,I1132,0)))</f>
        <v/>
      </c>
      <c r="N1132" s="52">
        <f>IF(OR(A1132="",NOT(ISNUMBER(I1132))),"",IF(G1132=Lists!$B$5,I1132/2,IF(G1132=Lists!$B$7,I1132,0)))</f>
        <v/>
      </c>
      <c r="O1132" s="53">
        <f>IF(COUNTA(A1132:K1132)=0,"",IF(OR(A1132="",B1132="",C1132="",D1132="",E1132="",F1132="",G1132="",NOT(ISNUMBER(I1132))),"Incomplete",IF(COUNTIF(Lists!$H$4:$AA$4,C1132)=0,"Check category",IF(COUNTIF(INDEX(Lists!$H$6:$AA$45,0,MATCH(C1132,Lists!$H$4:$AA$4,0)),D1132)=0,"Check sub-category","OK"))))</f>
        <v/>
      </c>
      <c r="P1132">
        <f>IF(ISNUMBER(I1132),I1132+ROW()/10000000,"")</f>
        <v/>
      </c>
      <c r="Q1132">
        <f>IF(AND(ISNUMBER(P1132),ISNUMBER(A1132)),IF(AND(A1132&gt;=Dashboard!$Q$3,A1132&lt;=Dashboard!$Q$4,OR(J1132&lt;&gt;"Yes",Dashboard!$Q$15="Yes")),P1132,""),"")</f>
        <v/>
      </c>
    </row>
    <row r="1133">
      <c r="A1133" s="47" t="n"/>
      <c r="B1133" s="48" t="n"/>
      <c r="C1133" s="48" t="n"/>
      <c r="D1133" s="48" t="n"/>
      <c r="E1133" s="48" t="n"/>
      <c r="F1133" s="48" t="n"/>
      <c r="G1133" s="48" t="n"/>
      <c r="H1133" s="48" t="n"/>
      <c r="I1133" s="49" t="n"/>
      <c r="J1133" s="50" t="n"/>
      <c r="K1133" s="48" t="n"/>
      <c r="L1133" s="51">
        <f>IF(A1133="","",DATE(YEAR(A1133),MONTH(A1133),1))</f>
        <v/>
      </c>
      <c r="M1133" s="52">
        <f>IF(OR(A1133="",NOT(ISNUMBER(I1133))),"",IF(G1133=Lists!$B$5,I1133/2,IF(G1133=Lists!$B$6,I1133,0)))</f>
        <v/>
      </c>
      <c r="N1133" s="52">
        <f>IF(OR(A1133="",NOT(ISNUMBER(I1133))),"",IF(G1133=Lists!$B$5,I1133/2,IF(G1133=Lists!$B$7,I1133,0)))</f>
        <v/>
      </c>
      <c r="O1133" s="53">
        <f>IF(COUNTA(A1133:K1133)=0,"",IF(OR(A1133="",B1133="",C1133="",D1133="",E1133="",F1133="",G1133="",NOT(ISNUMBER(I1133))),"Incomplete",IF(COUNTIF(Lists!$H$4:$AA$4,C1133)=0,"Check category",IF(COUNTIF(INDEX(Lists!$H$6:$AA$45,0,MATCH(C1133,Lists!$H$4:$AA$4,0)),D1133)=0,"Check sub-category","OK"))))</f>
        <v/>
      </c>
      <c r="P1133">
        <f>IF(ISNUMBER(I1133),I1133+ROW()/10000000,"")</f>
        <v/>
      </c>
      <c r="Q1133">
        <f>IF(AND(ISNUMBER(P1133),ISNUMBER(A1133)),IF(AND(A1133&gt;=Dashboard!$Q$3,A1133&lt;=Dashboard!$Q$4,OR(J1133&lt;&gt;"Yes",Dashboard!$Q$15="Yes")),P1133,""),"")</f>
        <v/>
      </c>
    </row>
    <row r="1134">
      <c r="A1134" s="47" t="n"/>
      <c r="B1134" s="48" t="n"/>
      <c r="C1134" s="48" t="n"/>
      <c r="D1134" s="48" t="n"/>
      <c r="E1134" s="48" t="n"/>
      <c r="F1134" s="48" t="n"/>
      <c r="G1134" s="48" t="n"/>
      <c r="H1134" s="48" t="n"/>
      <c r="I1134" s="49" t="n"/>
      <c r="J1134" s="50" t="n"/>
      <c r="K1134" s="48" t="n"/>
      <c r="L1134" s="51">
        <f>IF(A1134="","",DATE(YEAR(A1134),MONTH(A1134),1))</f>
        <v/>
      </c>
      <c r="M1134" s="52">
        <f>IF(OR(A1134="",NOT(ISNUMBER(I1134))),"",IF(G1134=Lists!$B$5,I1134/2,IF(G1134=Lists!$B$6,I1134,0)))</f>
        <v/>
      </c>
      <c r="N1134" s="52">
        <f>IF(OR(A1134="",NOT(ISNUMBER(I1134))),"",IF(G1134=Lists!$B$5,I1134/2,IF(G1134=Lists!$B$7,I1134,0)))</f>
        <v/>
      </c>
      <c r="O1134" s="53">
        <f>IF(COUNTA(A1134:K1134)=0,"",IF(OR(A1134="",B1134="",C1134="",D1134="",E1134="",F1134="",G1134="",NOT(ISNUMBER(I1134))),"Incomplete",IF(COUNTIF(Lists!$H$4:$AA$4,C1134)=0,"Check category",IF(COUNTIF(INDEX(Lists!$H$6:$AA$45,0,MATCH(C1134,Lists!$H$4:$AA$4,0)),D1134)=0,"Check sub-category","OK"))))</f>
        <v/>
      </c>
      <c r="P1134">
        <f>IF(ISNUMBER(I1134),I1134+ROW()/10000000,"")</f>
        <v/>
      </c>
      <c r="Q1134">
        <f>IF(AND(ISNUMBER(P1134),ISNUMBER(A1134)),IF(AND(A1134&gt;=Dashboard!$Q$3,A1134&lt;=Dashboard!$Q$4,OR(J1134&lt;&gt;"Yes",Dashboard!$Q$15="Yes")),P1134,""),"")</f>
        <v/>
      </c>
    </row>
    <row r="1135">
      <c r="A1135" s="47" t="n"/>
      <c r="B1135" s="48" t="n"/>
      <c r="C1135" s="48" t="n"/>
      <c r="D1135" s="48" t="n"/>
      <c r="E1135" s="48" t="n"/>
      <c r="F1135" s="48" t="n"/>
      <c r="G1135" s="48" t="n"/>
      <c r="H1135" s="48" t="n"/>
      <c r="I1135" s="49" t="n"/>
      <c r="J1135" s="50" t="n"/>
      <c r="K1135" s="48" t="n"/>
      <c r="L1135" s="51">
        <f>IF(A1135="","",DATE(YEAR(A1135),MONTH(A1135),1))</f>
        <v/>
      </c>
      <c r="M1135" s="52">
        <f>IF(OR(A1135="",NOT(ISNUMBER(I1135))),"",IF(G1135=Lists!$B$5,I1135/2,IF(G1135=Lists!$B$6,I1135,0)))</f>
        <v/>
      </c>
      <c r="N1135" s="52">
        <f>IF(OR(A1135="",NOT(ISNUMBER(I1135))),"",IF(G1135=Lists!$B$5,I1135/2,IF(G1135=Lists!$B$7,I1135,0)))</f>
        <v/>
      </c>
      <c r="O1135" s="53">
        <f>IF(COUNTA(A1135:K1135)=0,"",IF(OR(A1135="",B1135="",C1135="",D1135="",E1135="",F1135="",G1135="",NOT(ISNUMBER(I1135))),"Incomplete",IF(COUNTIF(Lists!$H$4:$AA$4,C1135)=0,"Check category",IF(COUNTIF(INDEX(Lists!$H$6:$AA$45,0,MATCH(C1135,Lists!$H$4:$AA$4,0)),D1135)=0,"Check sub-category","OK"))))</f>
        <v/>
      </c>
      <c r="P1135">
        <f>IF(ISNUMBER(I1135),I1135+ROW()/10000000,"")</f>
        <v/>
      </c>
      <c r="Q1135">
        <f>IF(AND(ISNUMBER(P1135),ISNUMBER(A1135)),IF(AND(A1135&gt;=Dashboard!$Q$3,A1135&lt;=Dashboard!$Q$4,OR(J1135&lt;&gt;"Yes",Dashboard!$Q$15="Yes")),P1135,""),"")</f>
        <v/>
      </c>
    </row>
    <row r="1136">
      <c r="A1136" s="47" t="n"/>
      <c r="B1136" s="48" t="n"/>
      <c r="C1136" s="48" t="n"/>
      <c r="D1136" s="48" t="n"/>
      <c r="E1136" s="48" t="n"/>
      <c r="F1136" s="48" t="n"/>
      <c r="G1136" s="48" t="n"/>
      <c r="H1136" s="48" t="n"/>
      <c r="I1136" s="49" t="n"/>
      <c r="J1136" s="50" t="n"/>
      <c r="K1136" s="48" t="n"/>
      <c r="L1136" s="51">
        <f>IF(A1136="","",DATE(YEAR(A1136),MONTH(A1136),1))</f>
        <v/>
      </c>
      <c r="M1136" s="52">
        <f>IF(OR(A1136="",NOT(ISNUMBER(I1136))),"",IF(G1136=Lists!$B$5,I1136/2,IF(G1136=Lists!$B$6,I1136,0)))</f>
        <v/>
      </c>
      <c r="N1136" s="52">
        <f>IF(OR(A1136="",NOT(ISNUMBER(I1136))),"",IF(G1136=Lists!$B$5,I1136/2,IF(G1136=Lists!$B$7,I1136,0)))</f>
        <v/>
      </c>
      <c r="O1136" s="53">
        <f>IF(COUNTA(A1136:K1136)=0,"",IF(OR(A1136="",B1136="",C1136="",D1136="",E1136="",F1136="",G1136="",NOT(ISNUMBER(I1136))),"Incomplete",IF(COUNTIF(Lists!$H$4:$AA$4,C1136)=0,"Check category",IF(COUNTIF(INDEX(Lists!$H$6:$AA$45,0,MATCH(C1136,Lists!$H$4:$AA$4,0)),D1136)=0,"Check sub-category","OK"))))</f>
        <v/>
      </c>
      <c r="P1136">
        <f>IF(ISNUMBER(I1136),I1136+ROW()/10000000,"")</f>
        <v/>
      </c>
      <c r="Q1136">
        <f>IF(AND(ISNUMBER(P1136),ISNUMBER(A1136)),IF(AND(A1136&gt;=Dashboard!$Q$3,A1136&lt;=Dashboard!$Q$4,OR(J1136&lt;&gt;"Yes",Dashboard!$Q$15="Yes")),P1136,""),"")</f>
        <v/>
      </c>
    </row>
    <row r="1137">
      <c r="A1137" s="47" t="n"/>
      <c r="B1137" s="48" t="n"/>
      <c r="C1137" s="48" t="n"/>
      <c r="D1137" s="48" t="n"/>
      <c r="E1137" s="48" t="n"/>
      <c r="F1137" s="48" t="n"/>
      <c r="G1137" s="48" t="n"/>
      <c r="H1137" s="48" t="n"/>
      <c r="I1137" s="49" t="n"/>
      <c r="J1137" s="50" t="n"/>
      <c r="K1137" s="48" t="n"/>
      <c r="L1137" s="51">
        <f>IF(A1137="","",DATE(YEAR(A1137),MONTH(A1137),1))</f>
        <v/>
      </c>
      <c r="M1137" s="52">
        <f>IF(OR(A1137="",NOT(ISNUMBER(I1137))),"",IF(G1137=Lists!$B$5,I1137/2,IF(G1137=Lists!$B$6,I1137,0)))</f>
        <v/>
      </c>
      <c r="N1137" s="52">
        <f>IF(OR(A1137="",NOT(ISNUMBER(I1137))),"",IF(G1137=Lists!$B$5,I1137/2,IF(G1137=Lists!$B$7,I1137,0)))</f>
        <v/>
      </c>
      <c r="O1137" s="53">
        <f>IF(COUNTA(A1137:K1137)=0,"",IF(OR(A1137="",B1137="",C1137="",D1137="",E1137="",F1137="",G1137="",NOT(ISNUMBER(I1137))),"Incomplete",IF(COUNTIF(Lists!$H$4:$AA$4,C1137)=0,"Check category",IF(COUNTIF(INDEX(Lists!$H$6:$AA$45,0,MATCH(C1137,Lists!$H$4:$AA$4,0)),D1137)=0,"Check sub-category","OK"))))</f>
        <v/>
      </c>
      <c r="P1137">
        <f>IF(ISNUMBER(I1137),I1137+ROW()/10000000,"")</f>
        <v/>
      </c>
      <c r="Q1137">
        <f>IF(AND(ISNUMBER(P1137),ISNUMBER(A1137)),IF(AND(A1137&gt;=Dashboard!$Q$3,A1137&lt;=Dashboard!$Q$4,OR(J1137&lt;&gt;"Yes",Dashboard!$Q$15="Yes")),P1137,""),"")</f>
        <v/>
      </c>
    </row>
    <row r="1138">
      <c r="A1138" s="47" t="n"/>
      <c r="B1138" s="48" t="n"/>
      <c r="C1138" s="48" t="n"/>
      <c r="D1138" s="48" t="n"/>
      <c r="E1138" s="48" t="n"/>
      <c r="F1138" s="48" t="n"/>
      <c r="G1138" s="48" t="n"/>
      <c r="H1138" s="48" t="n"/>
      <c r="I1138" s="49" t="n"/>
      <c r="J1138" s="50" t="n"/>
      <c r="K1138" s="48" t="n"/>
      <c r="L1138" s="51">
        <f>IF(A1138="","",DATE(YEAR(A1138),MONTH(A1138),1))</f>
        <v/>
      </c>
      <c r="M1138" s="52">
        <f>IF(OR(A1138="",NOT(ISNUMBER(I1138))),"",IF(G1138=Lists!$B$5,I1138/2,IF(G1138=Lists!$B$6,I1138,0)))</f>
        <v/>
      </c>
      <c r="N1138" s="52">
        <f>IF(OR(A1138="",NOT(ISNUMBER(I1138))),"",IF(G1138=Lists!$B$5,I1138/2,IF(G1138=Lists!$B$7,I1138,0)))</f>
        <v/>
      </c>
      <c r="O1138" s="53">
        <f>IF(COUNTA(A1138:K1138)=0,"",IF(OR(A1138="",B1138="",C1138="",D1138="",E1138="",F1138="",G1138="",NOT(ISNUMBER(I1138))),"Incomplete",IF(COUNTIF(Lists!$H$4:$AA$4,C1138)=0,"Check category",IF(COUNTIF(INDEX(Lists!$H$6:$AA$45,0,MATCH(C1138,Lists!$H$4:$AA$4,0)),D1138)=0,"Check sub-category","OK"))))</f>
        <v/>
      </c>
      <c r="P1138">
        <f>IF(ISNUMBER(I1138),I1138+ROW()/10000000,"")</f>
        <v/>
      </c>
      <c r="Q1138">
        <f>IF(AND(ISNUMBER(P1138),ISNUMBER(A1138)),IF(AND(A1138&gt;=Dashboard!$Q$3,A1138&lt;=Dashboard!$Q$4,OR(J1138&lt;&gt;"Yes",Dashboard!$Q$15="Yes")),P1138,""),"")</f>
        <v/>
      </c>
    </row>
    <row r="1139">
      <c r="A1139" s="47" t="n"/>
      <c r="B1139" s="48" t="n"/>
      <c r="C1139" s="48" t="n"/>
      <c r="D1139" s="48" t="n"/>
      <c r="E1139" s="48" t="n"/>
      <c r="F1139" s="48" t="n"/>
      <c r="G1139" s="48" t="n"/>
      <c r="H1139" s="48" t="n"/>
      <c r="I1139" s="49" t="n"/>
      <c r="J1139" s="50" t="n"/>
      <c r="K1139" s="48" t="n"/>
      <c r="L1139" s="51">
        <f>IF(A1139="","",DATE(YEAR(A1139),MONTH(A1139),1))</f>
        <v/>
      </c>
      <c r="M1139" s="52">
        <f>IF(OR(A1139="",NOT(ISNUMBER(I1139))),"",IF(G1139=Lists!$B$5,I1139/2,IF(G1139=Lists!$B$6,I1139,0)))</f>
        <v/>
      </c>
      <c r="N1139" s="52">
        <f>IF(OR(A1139="",NOT(ISNUMBER(I1139))),"",IF(G1139=Lists!$B$5,I1139/2,IF(G1139=Lists!$B$7,I1139,0)))</f>
        <v/>
      </c>
      <c r="O1139" s="53">
        <f>IF(COUNTA(A1139:K1139)=0,"",IF(OR(A1139="",B1139="",C1139="",D1139="",E1139="",F1139="",G1139="",NOT(ISNUMBER(I1139))),"Incomplete",IF(COUNTIF(Lists!$H$4:$AA$4,C1139)=0,"Check category",IF(COUNTIF(INDEX(Lists!$H$6:$AA$45,0,MATCH(C1139,Lists!$H$4:$AA$4,0)),D1139)=0,"Check sub-category","OK"))))</f>
        <v/>
      </c>
      <c r="P1139">
        <f>IF(ISNUMBER(I1139),I1139+ROW()/10000000,"")</f>
        <v/>
      </c>
      <c r="Q1139">
        <f>IF(AND(ISNUMBER(P1139),ISNUMBER(A1139)),IF(AND(A1139&gt;=Dashboard!$Q$3,A1139&lt;=Dashboard!$Q$4,OR(J1139&lt;&gt;"Yes",Dashboard!$Q$15="Yes")),P1139,""),"")</f>
        <v/>
      </c>
    </row>
    <row r="1140">
      <c r="A1140" s="47" t="n"/>
      <c r="B1140" s="48" t="n"/>
      <c r="C1140" s="48" t="n"/>
      <c r="D1140" s="48" t="n"/>
      <c r="E1140" s="48" t="n"/>
      <c r="F1140" s="48" t="n"/>
      <c r="G1140" s="48" t="n"/>
      <c r="H1140" s="48" t="n"/>
      <c r="I1140" s="49" t="n"/>
      <c r="J1140" s="50" t="n"/>
      <c r="K1140" s="48" t="n"/>
      <c r="L1140" s="51">
        <f>IF(A1140="","",DATE(YEAR(A1140),MONTH(A1140),1))</f>
        <v/>
      </c>
      <c r="M1140" s="52">
        <f>IF(OR(A1140="",NOT(ISNUMBER(I1140))),"",IF(G1140=Lists!$B$5,I1140/2,IF(G1140=Lists!$B$6,I1140,0)))</f>
        <v/>
      </c>
      <c r="N1140" s="52">
        <f>IF(OR(A1140="",NOT(ISNUMBER(I1140))),"",IF(G1140=Lists!$B$5,I1140/2,IF(G1140=Lists!$B$7,I1140,0)))</f>
        <v/>
      </c>
      <c r="O1140" s="53">
        <f>IF(COUNTA(A1140:K1140)=0,"",IF(OR(A1140="",B1140="",C1140="",D1140="",E1140="",F1140="",G1140="",NOT(ISNUMBER(I1140))),"Incomplete",IF(COUNTIF(Lists!$H$4:$AA$4,C1140)=0,"Check category",IF(COUNTIF(INDEX(Lists!$H$6:$AA$45,0,MATCH(C1140,Lists!$H$4:$AA$4,0)),D1140)=0,"Check sub-category","OK"))))</f>
        <v/>
      </c>
      <c r="P1140">
        <f>IF(ISNUMBER(I1140),I1140+ROW()/10000000,"")</f>
        <v/>
      </c>
      <c r="Q1140">
        <f>IF(AND(ISNUMBER(P1140),ISNUMBER(A1140)),IF(AND(A1140&gt;=Dashboard!$Q$3,A1140&lt;=Dashboard!$Q$4,OR(J1140&lt;&gt;"Yes",Dashboard!$Q$15="Yes")),P1140,""),"")</f>
        <v/>
      </c>
    </row>
    <row r="1141">
      <c r="A1141" s="47" t="n"/>
      <c r="B1141" s="48" t="n"/>
      <c r="C1141" s="48" t="n"/>
      <c r="D1141" s="48" t="n"/>
      <c r="E1141" s="48" t="n"/>
      <c r="F1141" s="48" t="n"/>
      <c r="G1141" s="48" t="n"/>
      <c r="H1141" s="48" t="n"/>
      <c r="I1141" s="49" t="n"/>
      <c r="J1141" s="50" t="n"/>
      <c r="K1141" s="48" t="n"/>
      <c r="L1141" s="51">
        <f>IF(A1141="","",DATE(YEAR(A1141),MONTH(A1141),1))</f>
        <v/>
      </c>
      <c r="M1141" s="52">
        <f>IF(OR(A1141="",NOT(ISNUMBER(I1141))),"",IF(G1141=Lists!$B$5,I1141/2,IF(G1141=Lists!$B$6,I1141,0)))</f>
        <v/>
      </c>
      <c r="N1141" s="52">
        <f>IF(OR(A1141="",NOT(ISNUMBER(I1141))),"",IF(G1141=Lists!$B$5,I1141/2,IF(G1141=Lists!$B$7,I1141,0)))</f>
        <v/>
      </c>
      <c r="O1141" s="53">
        <f>IF(COUNTA(A1141:K1141)=0,"",IF(OR(A1141="",B1141="",C1141="",D1141="",E1141="",F1141="",G1141="",NOT(ISNUMBER(I1141))),"Incomplete",IF(COUNTIF(Lists!$H$4:$AA$4,C1141)=0,"Check category",IF(COUNTIF(INDEX(Lists!$H$6:$AA$45,0,MATCH(C1141,Lists!$H$4:$AA$4,0)),D1141)=0,"Check sub-category","OK"))))</f>
        <v/>
      </c>
      <c r="P1141">
        <f>IF(ISNUMBER(I1141),I1141+ROW()/10000000,"")</f>
        <v/>
      </c>
      <c r="Q1141">
        <f>IF(AND(ISNUMBER(P1141),ISNUMBER(A1141)),IF(AND(A1141&gt;=Dashboard!$Q$3,A1141&lt;=Dashboard!$Q$4,OR(J1141&lt;&gt;"Yes",Dashboard!$Q$15="Yes")),P1141,""),"")</f>
        <v/>
      </c>
    </row>
    <row r="1142">
      <c r="A1142" s="47" t="n"/>
      <c r="B1142" s="48" t="n"/>
      <c r="C1142" s="48" t="n"/>
      <c r="D1142" s="48" t="n"/>
      <c r="E1142" s="48" t="n"/>
      <c r="F1142" s="48" t="n"/>
      <c r="G1142" s="48" t="n"/>
      <c r="H1142" s="48" t="n"/>
      <c r="I1142" s="49" t="n"/>
      <c r="J1142" s="50" t="n"/>
      <c r="K1142" s="48" t="n"/>
      <c r="L1142" s="51">
        <f>IF(A1142="","",DATE(YEAR(A1142),MONTH(A1142),1))</f>
        <v/>
      </c>
      <c r="M1142" s="52">
        <f>IF(OR(A1142="",NOT(ISNUMBER(I1142))),"",IF(G1142=Lists!$B$5,I1142/2,IF(G1142=Lists!$B$6,I1142,0)))</f>
        <v/>
      </c>
      <c r="N1142" s="52">
        <f>IF(OR(A1142="",NOT(ISNUMBER(I1142))),"",IF(G1142=Lists!$B$5,I1142/2,IF(G1142=Lists!$B$7,I1142,0)))</f>
        <v/>
      </c>
      <c r="O1142" s="53">
        <f>IF(COUNTA(A1142:K1142)=0,"",IF(OR(A1142="",B1142="",C1142="",D1142="",E1142="",F1142="",G1142="",NOT(ISNUMBER(I1142))),"Incomplete",IF(COUNTIF(Lists!$H$4:$AA$4,C1142)=0,"Check category",IF(COUNTIF(INDEX(Lists!$H$6:$AA$45,0,MATCH(C1142,Lists!$H$4:$AA$4,0)),D1142)=0,"Check sub-category","OK"))))</f>
        <v/>
      </c>
      <c r="P1142">
        <f>IF(ISNUMBER(I1142),I1142+ROW()/10000000,"")</f>
        <v/>
      </c>
      <c r="Q1142">
        <f>IF(AND(ISNUMBER(P1142),ISNUMBER(A1142)),IF(AND(A1142&gt;=Dashboard!$Q$3,A1142&lt;=Dashboard!$Q$4,OR(J1142&lt;&gt;"Yes",Dashboard!$Q$15="Yes")),P1142,""),"")</f>
        <v/>
      </c>
    </row>
    <row r="1143">
      <c r="A1143" s="47" t="n"/>
      <c r="B1143" s="48" t="n"/>
      <c r="C1143" s="48" t="n"/>
      <c r="D1143" s="48" t="n"/>
      <c r="E1143" s="48" t="n"/>
      <c r="F1143" s="48" t="n"/>
      <c r="G1143" s="48" t="n"/>
      <c r="H1143" s="48" t="n"/>
      <c r="I1143" s="49" t="n"/>
      <c r="J1143" s="50" t="n"/>
      <c r="K1143" s="48" t="n"/>
      <c r="L1143" s="51">
        <f>IF(A1143="","",DATE(YEAR(A1143),MONTH(A1143),1))</f>
        <v/>
      </c>
      <c r="M1143" s="52">
        <f>IF(OR(A1143="",NOT(ISNUMBER(I1143))),"",IF(G1143=Lists!$B$5,I1143/2,IF(G1143=Lists!$B$6,I1143,0)))</f>
        <v/>
      </c>
      <c r="N1143" s="52">
        <f>IF(OR(A1143="",NOT(ISNUMBER(I1143))),"",IF(G1143=Lists!$B$5,I1143/2,IF(G1143=Lists!$B$7,I1143,0)))</f>
        <v/>
      </c>
      <c r="O1143" s="53">
        <f>IF(COUNTA(A1143:K1143)=0,"",IF(OR(A1143="",B1143="",C1143="",D1143="",E1143="",F1143="",G1143="",NOT(ISNUMBER(I1143))),"Incomplete",IF(COUNTIF(Lists!$H$4:$AA$4,C1143)=0,"Check category",IF(COUNTIF(INDEX(Lists!$H$6:$AA$45,0,MATCH(C1143,Lists!$H$4:$AA$4,0)),D1143)=0,"Check sub-category","OK"))))</f>
        <v/>
      </c>
      <c r="P1143">
        <f>IF(ISNUMBER(I1143),I1143+ROW()/10000000,"")</f>
        <v/>
      </c>
      <c r="Q1143">
        <f>IF(AND(ISNUMBER(P1143),ISNUMBER(A1143)),IF(AND(A1143&gt;=Dashboard!$Q$3,A1143&lt;=Dashboard!$Q$4,OR(J1143&lt;&gt;"Yes",Dashboard!$Q$15="Yes")),P1143,""),"")</f>
        <v/>
      </c>
    </row>
    <row r="1144">
      <c r="A1144" s="47" t="n"/>
      <c r="B1144" s="48" t="n"/>
      <c r="C1144" s="48" t="n"/>
      <c r="D1144" s="48" t="n"/>
      <c r="E1144" s="48" t="n"/>
      <c r="F1144" s="48" t="n"/>
      <c r="G1144" s="48" t="n"/>
      <c r="H1144" s="48" t="n"/>
      <c r="I1144" s="49" t="n"/>
      <c r="J1144" s="50" t="n"/>
      <c r="K1144" s="48" t="n"/>
      <c r="L1144" s="51">
        <f>IF(A1144="","",DATE(YEAR(A1144),MONTH(A1144),1))</f>
        <v/>
      </c>
      <c r="M1144" s="52">
        <f>IF(OR(A1144="",NOT(ISNUMBER(I1144))),"",IF(G1144=Lists!$B$5,I1144/2,IF(G1144=Lists!$B$6,I1144,0)))</f>
        <v/>
      </c>
      <c r="N1144" s="52">
        <f>IF(OR(A1144="",NOT(ISNUMBER(I1144))),"",IF(G1144=Lists!$B$5,I1144/2,IF(G1144=Lists!$B$7,I1144,0)))</f>
        <v/>
      </c>
      <c r="O1144" s="53">
        <f>IF(COUNTA(A1144:K1144)=0,"",IF(OR(A1144="",B1144="",C1144="",D1144="",E1144="",F1144="",G1144="",NOT(ISNUMBER(I1144))),"Incomplete",IF(COUNTIF(Lists!$H$4:$AA$4,C1144)=0,"Check category",IF(COUNTIF(INDEX(Lists!$H$6:$AA$45,0,MATCH(C1144,Lists!$H$4:$AA$4,0)),D1144)=0,"Check sub-category","OK"))))</f>
        <v/>
      </c>
      <c r="P1144">
        <f>IF(ISNUMBER(I1144),I1144+ROW()/10000000,"")</f>
        <v/>
      </c>
      <c r="Q1144">
        <f>IF(AND(ISNUMBER(P1144),ISNUMBER(A1144)),IF(AND(A1144&gt;=Dashboard!$Q$3,A1144&lt;=Dashboard!$Q$4,OR(J1144&lt;&gt;"Yes",Dashboard!$Q$15="Yes")),P1144,""),"")</f>
        <v/>
      </c>
    </row>
    <row r="1145">
      <c r="A1145" s="47" t="n"/>
      <c r="B1145" s="48" t="n"/>
      <c r="C1145" s="48" t="n"/>
      <c r="D1145" s="48" t="n"/>
      <c r="E1145" s="48" t="n"/>
      <c r="F1145" s="48" t="n"/>
      <c r="G1145" s="48" t="n"/>
      <c r="H1145" s="48" t="n"/>
      <c r="I1145" s="49" t="n"/>
      <c r="J1145" s="50" t="n"/>
      <c r="K1145" s="48" t="n"/>
      <c r="L1145" s="51">
        <f>IF(A1145="","",DATE(YEAR(A1145),MONTH(A1145),1))</f>
        <v/>
      </c>
      <c r="M1145" s="52">
        <f>IF(OR(A1145="",NOT(ISNUMBER(I1145))),"",IF(G1145=Lists!$B$5,I1145/2,IF(G1145=Lists!$B$6,I1145,0)))</f>
        <v/>
      </c>
      <c r="N1145" s="52">
        <f>IF(OR(A1145="",NOT(ISNUMBER(I1145))),"",IF(G1145=Lists!$B$5,I1145/2,IF(G1145=Lists!$B$7,I1145,0)))</f>
        <v/>
      </c>
      <c r="O1145" s="53">
        <f>IF(COUNTA(A1145:K1145)=0,"",IF(OR(A1145="",B1145="",C1145="",D1145="",E1145="",F1145="",G1145="",NOT(ISNUMBER(I1145))),"Incomplete",IF(COUNTIF(Lists!$H$4:$AA$4,C1145)=0,"Check category",IF(COUNTIF(INDEX(Lists!$H$6:$AA$45,0,MATCH(C1145,Lists!$H$4:$AA$4,0)),D1145)=0,"Check sub-category","OK"))))</f>
        <v/>
      </c>
      <c r="P1145">
        <f>IF(ISNUMBER(I1145),I1145+ROW()/10000000,"")</f>
        <v/>
      </c>
      <c r="Q1145">
        <f>IF(AND(ISNUMBER(P1145),ISNUMBER(A1145)),IF(AND(A1145&gt;=Dashboard!$Q$3,A1145&lt;=Dashboard!$Q$4,OR(J1145&lt;&gt;"Yes",Dashboard!$Q$15="Yes")),P1145,""),"")</f>
        <v/>
      </c>
    </row>
    <row r="1146">
      <c r="A1146" s="47" t="n"/>
      <c r="B1146" s="48" t="n"/>
      <c r="C1146" s="48" t="n"/>
      <c r="D1146" s="48" t="n"/>
      <c r="E1146" s="48" t="n"/>
      <c r="F1146" s="48" t="n"/>
      <c r="G1146" s="48" t="n"/>
      <c r="H1146" s="48" t="n"/>
      <c r="I1146" s="49" t="n"/>
      <c r="J1146" s="50" t="n"/>
      <c r="K1146" s="48" t="n"/>
      <c r="L1146" s="51">
        <f>IF(A1146="","",DATE(YEAR(A1146),MONTH(A1146),1))</f>
        <v/>
      </c>
      <c r="M1146" s="52">
        <f>IF(OR(A1146="",NOT(ISNUMBER(I1146))),"",IF(G1146=Lists!$B$5,I1146/2,IF(G1146=Lists!$B$6,I1146,0)))</f>
        <v/>
      </c>
      <c r="N1146" s="52">
        <f>IF(OR(A1146="",NOT(ISNUMBER(I1146))),"",IF(G1146=Lists!$B$5,I1146/2,IF(G1146=Lists!$B$7,I1146,0)))</f>
        <v/>
      </c>
      <c r="O1146" s="53">
        <f>IF(COUNTA(A1146:K1146)=0,"",IF(OR(A1146="",B1146="",C1146="",D1146="",E1146="",F1146="",G1146="",NOT(ISNUMBER(I1146))),"Incomplete",IF(COUNTIF(Lists!$H$4:$AA$4,C1146)=0,"Check category",IF(COUNTIF(INDEX(Lists!$H$6:$AA$45,0,MATCH(C1146,Lists!$H$4:$AA$4,0)),D1146)=0,"Check sub-category","OK"))))</f>
        <v/>
      </c>
      <c r="P1146">
        <f>IF(ISNUMBER(I1146),I1146+ROW()/10000000,"")</f>
        <v/>
      </c>
      <c r="Q1146">
        <f>IF(AND(ISNUMBER(P1146),ISNUMBER(A1146)),IF(AND(A1146&gt;=Dashboard!$Q$3,A1146&lt;=Dashboard!$Q$4,OR(J1146&lt;&gt;"Yes",Dashboard!$Q$15="Yes")),P1146,""),"")</f>
        <v/>
      </c>
    </row>
    <row r="1147">
      <c r="A1147" s="47" t="n"/>
      <c r="B1147" s="48" t="n"/>
      <c r="C1147" s="48" t="n"/>
      <c r="D1147" s="48" t="n"/>
      <c r="E1147" s="48" t="n"/>
      <c r="F1147" s="48" t="n"/>
      <c r="G1147" s="48" t="n"/>
      <c r="H1147" s="48" t="n"/>
      <c r="I1147" s="49" t="n"/>
      <c r="J1147" s="50" t="n"/>
      <c r="K1147" s="48" t="n"/>
      <c r="L1147" s="51">
        <f>IF(A1147="","",DATE(YEAR(A1147),MONTH(A1147),1))</f>
        <v/>
      </c>
      <c r="M1147" s="52">
        <f>IF(OR(A1147="",NOT(ISNUMBER(I1147))),"",IF(G1147=Lists!$B$5,I1147/2,IF(G1147=Lists!$B$6,I1147,0)))</f>
        <v/>
      </c>
      <c r="N1147" s="52">
        <f>IF(OR(A1147="",NOT(ISNUMBER(I1147))),"",IF(G1147=Lists!$B$5,I1147/2,IF(G1147=Lists!$B$7,I1147,0)))</f>
        <v/>
      </c>
      <c r="O1147" s="53">
        <f>IF(COUNTA(A1147:K1147)=0,"",IF(OR(A1147="",B1147="",C1147="",D1147="",E1147="",F1147="",G1147="",NOT(ISNUMBER(I1147))),"Incomplete",IF(COUNTIF(Lists!$H$4:$AA$4,C1147)=0,"Check category",IF(COUNTIF(INDEX(Lists!$H$6:$AA$45,0,MATCH(C1147,Lists!$H$4:$AA$4,0)),D1147)=0,"Check sub-category","OK"))))</f>
        <v/>
      </c>
      <c r="P1147">
        <f>IF(ISNUMBER(I1147),I1147+ROW()/10000000,"")</f>
        <v/>
      </c>
      <c r="Q1147">
        <f>IF(AND(ISNUMBER(P1147),ISNUMBER(A1147)),IF(AND(A1147&gt;=Dashboard!$Q$3,A1147&lt;=Dashboard!$Q$4,OR(J1147&lt;&gt;"Yes",Dashboard!$Q$15="Yes")),P1147,""),"")</f>
        <v/>
      </c>
    </row>
    <row r="1148">
      <c r="A1148" s="47" t="n"/>
      <c r="B1148" s="48" t="n"/>
      <c r="C1148" s="48" t="n"/>
      <c r="D1148" s="48" t="n"/>
      <c r="E1148" s="48" t="n"/>
      <c r="F1148" s="48" t="n"/>
      <c r="G1148" s="48" t="n"/>
      <c r="H1148" s="48" t="n"/>
      <c r="I1148" s="49" t="n"/>
      <c r="J1148" s="50" t="n"/>
      <c r="K1148" s="48" t="n"/>
      <c r="L1148" s="51">
        <f>IF(A1148="","",DATE(YEAR(A1148),MONTH(A1148),1))</f>
        <v/>
      </c>
      <c r="M1148" s="52">
        <f>IF(OR(A1148="",NOT(ISNUMBER(I1148))),"",IF(G1148=Lists!$B$5,I1148/2,IF(G1148=Lists!$B$6,I1148,0)))</f>
        <v/>
      </c>
      <c r="N1148" s="52">
        <f>IF(OR(A1148="",NOT(ISNUMBER(I1148))),"",IF(G1148=Lists!$B$5,I1148/2,IF(G1148=Lists!$B$7,I1148,0)))</f>
        <v/>
      </c>
      <c r="O1148" s="53">
        <f>IF(COUNTA(A1148:K1148)=0,"",IF(OR(A1148="",B1148="",C1148="",D1148="",E1148="",F1148="",G1148="",NOT(ISNUMBER(I1148))),"Incomplete",IF(COUNTIF(Lists!$H$4:$AA$4,C1148)=0,"Check category",IF(COUNTIF(INDEX(Lists!$H$6:$AA$45,0,MATCH(C1148,Lists!$H$4:$AA$4,0)),D1148)=0,"Check sub-category","OK"))))</f>
        <v/>
      </c>
      <c r="P1148">
        <f>IF(ISNUMBER(I1148),I1148+ROW()/10000000,"")</f>
        <v/>
      </c>
      <c r="Q1148">
        <f>IF(AND(ISNUMBER(P1148),ISNUMBER(A1148)),IF(AND(A1148&gt;=Dashboard!$Q$3,A1148&lt;=Dashboard!$Q$4,OR(J1148&lt;&gt;"Yes",Dashboard!$Q$15="Yes")),P1148,""),"")</f>
        <v/>
      </c>
    </row>
    <row r="1149">
      <c r="A1149" s="47" t="n"/>
      <c r="B1149" s="48" t="n"/>
      <c r="C1149" s="48" t="n"/>
      <c r="D1149" s="48" t="n"/>
      <c r="E1149" s="48" t="n"/>
      <c r="F1149" s="48" t="n"/>
      <c r="G1149" s="48" t="n"/>
      <c r="H1149" s="48" t="n"/>
      <c r="I1149" s="49" t="n"/>
      <c r="J1149" s="50" t="n"/>
      <c r="K1149" s="48" t="n"/>
      <c r="L1149" s="51">
        <f>IF(A1149="","",DATE(YEAR(A1149),MONTH(A1149),1))</f>
        <v/>
      </c>
      <c r="M1149" s="52">
        <f>IF(OR(A1149="",NOT(ISNUMBER(I1149))),"",IF(G1149=Lists!$B$5,I1149/2,IF(G1149=Lists!$B$6,I1149,0)))</f>
        <v/>
      </c>
      <c r="N1149" s="52">
        <f>IF(OR(A1149="",NOT(ISNUMBER(I1149))),"",IF(G1149=Lists!$B$5,I1149/2,IF(G1149=Lists!$B$7,I1149,0)))</f>
        <v/>
      </c>
      <c r="O1149" s="53">
        <f>IF(COUNTA(A1149:K1149)=0,"",IF(OR(A1149="",B1149="",C1149="",D1149="",E1149="",F1149="",G1149="",NOT(ISNUMBER(I1149))),"Incomplete",IF(COUNTIF(Lists!$H$4:$AA$4,C1149)=0,"Check category",IF(COUNTIF(INDEX(Lists!$H$6:$AA$45,0,MATCH(C1149,Lists!$H$4:$AA$4,0)),D1149)=0,"Check sub-category","OK"))))</f>
        <v/>
      </c>
      <c r="P1149">
        <f>IF(ISNUMBER(I1149),I1149+ROW()/10000000,"")</f>
        <v/>
      </c>
      <c r="Q1149">
        <f>IF(AND(ISNUMBER(P1149),ISNUMBER(A1149)),IF(AND(A1149&gt;=Dashboard!$Q$3,A1149&lt;=Dashboard!$Q$4,OR(J1149&lt;&gt;"Yes",Dashboard!$Q$15="Yes")),P1149,""),"")</f>
        <v/>
      </c>
    </row>
    <row r="1150">
      <c r="A1150" s="47" t="n"/>
      <c r="B1150" s="48" t="n"/>
      <c r="C1150" s="48" t="n"/>
      <c r="D1150" s="48" t="n"/>
      <c r="E1150" s="48" t="n"/>
      <c r="F1150" s="48" t="n"/>
      <c r="G1150" s="48" t="n"/>
      <c r="H1150" s="48" t="n"/>
      <c r="I1150" s="49" t="n"/>
      <c r="J1150" s="50" t="n"/>
      <c r="K1150" s="48" t="n"/>
      <c r="L1150" s="51">
        <f>IF(A1150="","",DATE(YEAR(A1150),MONTH(A1150),1))</f>
        <v/>
      </c>
      <c r="M1150" s="52">
        <f>IF(OR(A1150="",NOT(ISNUMBER(I1150))),"",IF(G1150=Lists!$B$5,I1150/2,IF(G1150=Lists!$B$6,I1150,0)))</f>
        <v/>
      </c>
      <c r="N1150" s="52">
        <f>IF(OR(A1150="",NOT(ISNUMBER(I1150))),"",IF(G1150=Lists!$B$5,I1150/2,IF(G1150=Lists!$B$7,I1150,0)))</f>
        <v/>
      </c>
      <c r="O1150" s="53">
        <f>IF(COUNTA(A1150:K1150)=0,"",IF(OR(A1150="",B1150="",C1150="",D1150="",E1150="",F1150="",G1150="",NOT(ISNUMBER(I1150))),"Incomplete",IF(COUNTIF(Lists!$H$4:$AA$4,C1150)=0,"Check category",IF(COUNTIF(INDEX(Lists!$H$6:$AA$45,0,MATCH(C1150,Lists!$H$4:$AA$4,0)),D1150)=0,"Check sub-category","OK"))))</f>
        <v/>
      </c>
      <c r="P1150">
        <f>IF(ISNUMBER(I1150),I1150+ROW()/10000000,"")</f>
        <v/>
      </c>
      <c r="Q1150">
        <f>IF(AND(ISNUMBER(P1150),ISNUMBER(A1150)),IF(AND(A1150&gt;=Dashboard!$Q$3,A1150&lt;=Dashboard!$Q$4,OR(J1150&lt;&gt;"Yes",Dashboard!$Q$15="Yes")),P1150,""),"")</f>
        <v/>
      </c>
    </row>
    <row r="1151">
      <c r="A1151" s="47" t="n"/>
      <c r="B1151" s="48" t="n"/>
      <c r="C1151" s="48" t="n"/>
      <c r="D1151" s="48" t="n"/>
      <c r="E1151" s="48" t="n"/>
      <c r="F1151" s="48" t="n"/>
      <c r="G1151" s="48" t="n"/>
      <c r="H1151" s="48" t="n"/>
      <c r="I1151" s="49" t="n"/>
      <c r="J1151" s="50" t="n"/>
      <c r="K1151" s="48" t="n"/>
      <c r="L1151" s="51">
        <f>IF(A1151="","",DATE(YEAR(A1151),MONTH(A1151),1))</f>
        <v/>
      </c>
      <c r="M1151" s="52">
        <f>IF(OR(A1151="",NOT(ISNUMBER(I1151))),"",IF(G1151=Lists!$B$5,I1151/2,IF(G1151=Lists!$B$6,I1151,0)))</f>
        <v/>
      </c>
      <c r="N1151" s="52">
        <f>IF(OR(A1151="",NOT(ISNUMBER(I1151))),"",IF(G1151=Lists!$B$5,I1151/2,IF(G1151=Lists!$B$7,I1151,0)))</f>
        <v/>
      </c>
      <c r="O1151" s="53">
        <f>IF(COUNTA(A1151:K1151)=0,"",IF(OR(A1151="",B1151="",C1151="",D1151="",E1151="",F1151="",G1151="",NOT(ISNUMBER(I1151))),"Incomplete",IF(COUNTIF(Lists!$H$4:$AA$4,C1151)=0,"Check category",IF(COUNTIF(INDEX(Lists!$H$6:$AA$45,0,MATCH(C1151,Lists!$H$4:$AA$4,0)),D1151)=0,"Check sub-category","OK"))))</f>
        <v/>
      </c>
      <c r="P1151">
        <f>IF(ISNUMBER(I1151),I1151+ROW()/10000000,"")</f>
        <v/>
      </c>
      <c r="Q1151">
        <f>IF(AND(ISNUMBER(P1151),ISNUMBER(A1151)),IF(AND(A1151&gt;=Dashboard!$Q$3,A1151&lt;=Dashboard!$Q$4,OR(J1151&lt;&gt;"Yes",Dashboard!$Q$15="Yes")),P1151,""),"")</f>
        <v/>
      </c>
    </row>
    <row r="1152">
      <c r="A1152" s="47" t="n"/>
      <c r="B1152" s="48" t="n"/>
      <c r="C1152" s="48" t="n"/>
      <c r="D1152" s="48" t="n"/>
      <c r="E1152" s="48" t="n"/>
      <c r="F1152" s="48" t="n"/>
      <c r="G1152" s="48" t="n"/>
      <c r="H1152" s="48" t="n"/>
      <c r="I1152" s="49" t="n"/>
      <c r="J1152" s="50" t="n"/>
      <c r="K1152" s="48" t="n"/>
      <c r="L1152" s="51">
        <f>IF(A1152="","",DATE(YEAR(A1152),MONTH(A1152),1))</f>
        <v/>
      </c>
      <c r="M1152" s="52">
        <f>IF(OR(A1152="",NOT(ISNUMBER(I1152))),"",IF(G1152=Lists!$B$5,I1152/2,IF(G1152=Lists!$B$6,I1152,0)))</f>
        <v/>
      </c>
      <c r="N1152" s="52">
        <f>IF(OR(A1152="",NOT(ISNUMBER(I1152))),"",IF(G1152=Lists!$B$5,I1152/2,IF(G1152=Lists!$B$7,I1152,0)))</f>
        <v/>
      </c>
      <c r="O1152" s="53">
        <f>IF(COUNTA(A1152:K1152)=0,"",IF(OR(A1152="",B1152="",C1152="",D1152="",E1152="",F1152="",G1152="",NOT(ISNUMBER(I1152))),"Incomplete",IF(COUNTIF(Lists!$H$4:$AA$4,C1152)=0,"Check category",IF(COUNTIF(INDEX(Lists!$H$6:$AA$45,0,MATCH(C1152,Lists!$H$4:$AA$4,0)),D1152)=0,"Check sub-category","OK"))))</f>
        <v/>
      </c>
      <c r="P1152">
        <f>IF(ISNUMBER(I1152),I1152+ROW()/10000000,"")</f>
        <v/>
      </c>
      <c r="Q1152">
        <f>IF(AND(ISNUMBER(P1152),ISNUMBER(A1152)),IF(AND(A1152&gt;=Dashboard!$Q$3,A1152&lt;=Dashboard!$Q$4,OR(J1152&lt;&gt;"Yes",Dashboard!$Q$15="Yes")),P1152,""),"")</f>
        <v/>
      </c>
    </row>
    <row r="1153">
      <c r="A1153" s="47" t="n"/>
      <c r="B1153" s="48" t="n"/>
      <c r="C1153" s="48" t="n"/>
      <c r="D1153" s="48" t="n"/>
      <c r="E1153" s="48" t="n"/>
      <c r="F1153" s="48" t="n"/>
      <c r="G1153" s="48" t="n"/>
      <c r="H1153" s="48" t="n"/>
      <c r="I1153" s="49" t="n"/>
      <c r="J1153" s="50" t="n"/>
      <c r="K1153" s="48" t="n"/>
      <c r="L1153" s="51">
        <f>IF(A1153="","",DATE(YEAR(A1153),MONTH(A1153),1))</f>
        <v/>
      </c>
      <c r="M1153" s="52">
        <f>IF(OR(A1153="",NOT(ISNUMBER(I1153))),"",IF(G1153=Lists!$B$5,I1153/2,IF(G1153=Lists!$B$6,I1153,0)))</f>
        <v/>
      </c>
      <c r="N1153" s="52">
        <f>IF(OR(A1153="",NOT(ISNUMBER(I1153))),"",IF(G1153=Lists!$B$5,I1153/2,IF(G1153=Lists!$B$7,I1153,0)))</f>
        <v/>
      </c>
      <c r="O1153" s="53">
        <f>IF(COUNTA(A1153:K1153)=0,"",IF(OR(A1153="",B1153="",C1153="",D1153="",E1153="",F1153="",G1153="",NOT(ISNUMBER(I1153))),"Incomplete",IF(COUNTIF(Lists!$H$4:$AA$4,C1153)=0,"Check category",IF(COUNTIF(INDEX(Lists!$H$6:$AA$45,0,MATCH(C1153,Lists!$H$4:$AA$4,0)),D1153)=0,"Check sub-category","OK"))))</f>
        <v/>
      </c>
      <c r="P1153">
        <f>IF(ISNUMBER(I1153),I1153+ROW()/10000000,"")</f>
        <v/>
      </c>
      <c r="Q1153">
        <f>IF(AND(ISNUMBER(P1153),ISNUMBER(A1153)),IF(AND(A1153&gt;=Dashboard!$Q$3,A1153&lt;=Dashboard!$Q$4,OR(J1153&lt;&gt;"Yes",Dashboard!$Q$15="Yes")),P1153,""),"")</f>
        <v/>
      </c>
    </row>
    <row r="1154">
      <c r="A1154" s="47" t="n"/>
      <c r="B1154" s="48" t="n"/>
      <c r="C1154" s="48" t="n"/>
      <c r="D1154" s="48" t="n"/>
      <c r="E1154" s="48" t="n"/>
      <c r="F1154" s="48" t="n"/>
      <c r="G1154" s="48" t="n"/>
      <c r="H1154" s="48" t="n"/>
      <c r="I1154" s="49" t="n"/>
      <c r="J1154" s="50" t="n"/>
      <c r="K1154" s="48" t="n"/>
      <c r="L1154" s="51">
        <f>IF(A1154="","",DATE(YEAR(A1154),MONTH(A1154),1))</f>
        <v/>
      </c>
      <c r="M1154" s="52">
        <f>IF(OR(A1154="",NOT(ISNUMBER(I1154))),"",IF(G1154=Lists!$B$5,I1154/2,IF(G1154=Lists!$B$6,I1154,0)))</f>
        <v/>
      </c>
      <c r="N1154" s="52">
        <f>IF(OR(A1154="",NOT(ISNUMBER(I1154))),"",IF(G1154=Lists!$B$5,I1154/2,IF(G1154=Lists!$B$7,I1154,0)))</f>
        <v/>
      </c>
      <c r="O1154" s="53">
        <f>IF(COUNTA(A1154:K1154)=0,"",IF(OR(A1154="",B1154="",C1154="",D1154="",E1154="",F1154="",G1154="",NOT(ISNUMBER(I1154))),"Incomplete",IF(COUNTIF(Lists!$H$4:$AA$4,C1154)=0,"Check category",IF(COUNTIF(INDEX(Lists!$H$6:$AA$45,0,MATCH(C1154,Lists!$H$4:$AA$4,0)),D1154)=0,"Check sub-category","OK"))))</f>
        <v/>
      </c>
      <c r="P1154">
        <f>IF(ISNUMBER(I1154),I1154+ROW()/10000000,"")</f>
        <v/>
      </c>
      <c r="Q1154">
        <f>IF(AND(ISNUMBER(P1154),ISNUMBER(A1154)),IF(AND(A1154&gt;=Dashboard!$Q$3,A1154&lt;=Dashboard!$Q$4,OR(J1154&lt;&gt;"Yes",Dashboard!$Q$15="Yes")),P1154,""),"")</f>
        <v/>
      </c>
    </row>
    <row r="1155">
      <c r="A1155" s="47" t="n"/>
      <c r="B1155" s="48" t="n"/>
      <c r="C1155" s="48" t="n"/>
      <c r="D1155" s="48" t="n"/>
      <c r="E1155" s="48" t="n"/>
      <c r="F1155" s="48" t="n"/>
      <c r="G1155" s="48" t="n"/>
      <c r="H1155" s="48" t="n"/>
      <c r="I1155" s="49" t="n"/>
      <c r="J1155" s="50" t="n"/>
      <c r="K1155" s="48" t="n"/>
      <c r="L1155" s="51">
        <f>IF(A1155="","",DATE(YEAR(A1155),MONTH(A1155),1))</f>
        <v/>
      </c>
      <c r="M1155" s="52">
        <f>IF(OR(A1155="",NOT(ISNUMBER(I1155))),"",IF(G1155=Lists!$B$5,I1155/2,IF(G1155=Lists!$B$6,I1155,0)))</f>
        <v/>
      </c>
      <c r="N1155" s="52">
        <f>IF(OR(A1155="",NOT(ISNUMBER(I1155))),"",IF(G1155=Lists!$B$5,I1155/2,IF(G1155=Lists!$B$7,I1155,0)))</f>
        <v/>
      </c>
      <c r="O1155" s="53">
        <f>IF(COUNTA(A1155:K1155)=0,"",IF(OR(A1155="",B1155="",C1155="",D1155="",E1155="",F1155="",G1155="",NOT(ISNUMBER(I1155))),"Incomplete",IF(COUNTIF(Lists!$H$4:$AA$4,C1155)=0,"Check category",IF(COUNTIF(INDEX(Lists!$H$6:$AA$45,0,MATCH(C1155,Lists!$H$4:$AA$4,0)),D1155)=0,"Check sub-category","OK"))))</f>
        <v/>
      </c>
      <c r="P1155">
        <f>IF(ISNUMBER(I1155),I1155+ROW()/10000000,"")</f>
        <v/>
      </c>
      <c r="Q1155">
        <f>IF(AND(ISNUMBER(P1155),ISNUMBER(A1155)),IF(AND(A1155&gt;=Dashboard!$Q$3,A1155&lt;=Dashboard!$Q$4,OR(J1155&lt;&gt;"Yes",Dashboard!$Q$15="Yes")),P1155,""),"")</f>
        <v/>
      </c>
    </row>
    <row r="1156">
      <c r="A1156" s="47" t="n"/>
      <c r="B1156" s="48" t="n"/>
      <c r="C1156" s="48" t="n"/>
      <c r="D1156" s="48" t="n"/>
      <c r="E1156" s="48" t="n"/>
      <c r="F1156" s="48" t="n"/>
      <c r="G1156" s="48" t="n"/>
      <c r="H1156" s="48" t="n"/>
      <c r="I1156" s="49" t="n"/>
      <c r="J1156" s="50" t="n"/>
      <c r="K1156" s="48" t="n"/>
      <c r="L1156" s="51">
        <f>IF(A1156="","",DATE(YEAR(A1156),MONTH(A1156),1))</f>
        <v/>
      </c>
      <c r="M1156" s="52">
        <f>IF(OR(A1156="",NOT(ISNUMBER(I1156))),"",IF(G1156=Lists!$B$5,I1156/2,IF(G1156=Lists!$B$6,I1156,0)))</f>
        <v/>
      </c>
      <c r="N1156" s="52">
        <f>IF(OR(A1156="",NOT(ISNUMBER(I1156))),"",IF(G1156=Lists!$B$5,I1156/2,IF(G1156=Lists!$B$7,I1156,0)))</f>
        <v/>
      </c>
      <c r="O1156" s="53">
        <f>IF(COUNTA(A1156:K1156)=0,"",IF(OR(A1156="",B1156="",C1156="",D1156="",E1156="",F1156="",G1156="",NOT(ISNUMBER(I1156))),"Incomplete",IF(COUNTIF(Lists!$H$4:$AA$4,C1156)=0,"Check category",IF(COUNTIF(INDEX(Lists!$H$6:$AA$45,0,MATCH(C1156,Lists!$H$4:$AA$4,0)),D1156)=0,"Check sub-category","OK"))))</f>
        <v/>
      </c>
      <c r="P1156">
        <f>IF(ISNUMBER(I1156),I1156+ROW()/10000000,"")</f>
        <v/>
      </c>
      <c r="Q1156">
        <f>IF(AND(ISNUMBER(P1156),ISNUMBER(A1156)),IF(AND(A1156&gt;=Dashboard!$Q$3,A1156&lt;=Dashboard!$Q$4,OR(J1156&lt;&gt;"Yes",Dashboard!$Q$15="Yes")),P1156,""),"")</f>
        <v/>
      </c>
    </row>
    <row r="1157">
      <c r="A1157" s="47" t="n"/>
      <c r="B1157" s="48" t="n"/>
      <c r="C1157" s="48" t="n"/>
      <c r="D1157" s="48" t="n"/>
      <c r="E1157" s="48" t="n"/>
      <c r="F1157" s="48" t="n"/>
      <c r="G1157" s="48" t="n"/>
      <c r="H1157" s="48" t="n"/>
      <c r="I1157" s="49" t="n"/>
      <c r="J1157" s="50" t="n"/>
      <c r="K1157" s="48" t="n"/>
      <c r="L1157" s="51">
        <f>IF(A1157="","",DATE(YEAR(A1157),MONTH(A1157),1))</f>
        <v/>
      </c>
      <c r="M1157" s="52">
        <f>IF(OR(A1157="",NOT(ISNUMBER(I1157))),"",IF(G1157=Lists!$B$5,I1157/2,IF(G1157=Lists!$B$6,I1157,0)))</f>
        <v/>
      </c>
      <c r="N1157" s="52">
        <f>IF(OR(A1157="",NOT(ISNUMBER(I1157))),"",IF(G1157=Lists!$B$5,I1157/2,IF(G1157=Lists!$B$7,I1157,0)))</f>
        <v/>
      </c>
      <c r="O1157" s="53">
        <f>IF(COUNTA(A1157:K1157)=0,"",IF(OR(A1157="",B1157="",C1157="",D1157="",E1157="",F1157="",G1157="",NOT(ISNUMBER(I1157))),"Incomplete",IF(COUNTIF(Lists!$H$4:$AA$4,C1157)=0,"Check category",IF(COUNTIF(INDEX(Lists!$H$6:$AA$45,0,MATCH(C1157,Lists!$H$4:$AA$4,0)),D1157)=0,"Check sub-category","OK"))))</f>
        <v/>
      </c>
      <c r="P1157">
        <f>IF(ISNUMBER(I1157),I1157+ROW()/10000000,"")</f>
        <v/>
      </c>
      <c r="Q1157">
        <f>IF(AND(ISNUMBER(P1157),ISNUMBER(A1157)),IF(AND(A1157&gt;=Dashboard!$Q$3,A1157&lt;=Dashboard!$Q$4,OR(J1157&lt;&gt;"Yes",Dashboard!$Q$15="Yes")),P1157,""),"")</f>
        <v/>
      </c>
    </row>
    <row r="1158">
      <c r="A1158" s="47" t="n"/>
      <c r="B1158" s="48" t="n"/>
      <c r="C1158" s="48" t="n"/>
      <c r="D1158" s="48" t="n"/>
      <c r="E1158" s="48" t="n"/>
      <c r="F1158" s="48" t="n"/>
      <c r="G1158" s="48" t="n"/>
      <c r="H1158" s="48" t="n"/>
      <c r="I1158" s="49" t="n"/>
      <c r="J1158" s="50" t="n"/>
      <c r="K1158" s="48" t="n"/>
      <c r="L1158" s="51">
        <f>IF(A1158="","",DATE(YEAR(A1158),MONTH(A1158),1))</f>
        <v/>
      </c>
      <c r="M1158" s="52">
        <f>IF(OR(A1158="",NOT(ISNUMBER(I1158))),"",IF(G1158=Lists!$B$5,I1158/2,IF(G1158=Lists!$B$6,I1158,0)))</f>
        <v/>
      </c>
      <c r="N1158" s="52">
        <f>IF(OR(A1158="",NOT(ISNUMBER(I1158))),"",IF(G1158=Lists!$B$5,I1158/2,IF(G1158=Lists!$B$7,I1158,0)))</f>
        <v/>
      </c>
      <c r="O1158" s="53">
        <f>IF(COUNTA(A1158:K1158)=0,"",IF(OR(A1158="",B1158="",C1158="",D1158="",E1158="",F1158="",G1158="",NOT(ISNUMBER(I1158))),"Incomplete",IF(COUNTIF(Lists!$H$4:$AA$4,C1158)=0,"Check category",IF(COUNTIF(INDEX(Lists!$H$6:$AA$45,0,MATCH(C1158,Lists!$H$4:$AA$4,0)),D1158)=0,"Check sub-category","OK"))))</f>
        <v/>
      </c>
      <c r="P1158">
        <f>IF(ISNUMBER(I1158),I1158+ROW()/10000000,"")</f>
        <v/>
      </c>
      <c r="Q1158">
        <f>IF(AND(ISNUMBER(P1158),ISNUMBER(A1158)),IF(AND(A1158&gt;=Dashboard!$Q$3,A1158&lt;=Dashboard!$Q$4,OR(J1158&lt;&gt;"Yes",Dashboard!$Q$15="Yes")),P1158,""),"")</f>
        <v/>
      </c>
    </row>
    <row r="1159">
      <c r="A1159" s="47" t="n"/>
      <c r="B1159" s="48" t="n"/>
      <c r="C1159" s="48" t="n"/>
      <c r="D1159" s="48" t="n"/>
      <c r="E1159" s="48" t="n"/>
      <c r="F1159" s="48" t="n"/>
      <c r="G1159" s="48" t="n"/>
      <c r="H1159" s="48" t="n"/>
      <c r="I1159" s="49" t="n"/>
      <c r="J1159" s="50" t="n"/>
      <c r="K1159" s="48" t="n"/>
      <c r="L1159" s="51">
        <f>IF(A1159="","",DATE(YEAR(A1159),MONTH(A1159),1))</f>
        <v/>
      </c>
      <c r="M1159" s="52">
        <f>IF(OR(A1159="",NOT(ISNUMBER(I1159))),"",IF(G1159=Lists!$B$5,I1159/2,IF(G1159=Lists!$B$6,I1159,0)))</f>
        <v/>
      </c>
      <c r="N1159" s="52">
        <f>IF(OR(A1159="",NOT(ISNUMBER(I1159))),"",IF(G1159=Lists!$B$5,I1159/2,IF(G1159=Lists!$B$7,I1159,0)))</f>
        <v/>
      </c>
      <c r="O1159" s="53">
        <f>IF(COUNTA(A1159:K1159)=0,"",IF(OR(A1159="",B1159="",C1159="",D1159="",E1159="",F1159="",G1159="",NOT(ISNUMBER(I1159))),"Incomplete",IF(COUNTIF(Lists!$H$4:$AA$4,C1159)=0,"Check category",IF(COUNTIF(INDEX(Lists!$H$6:$AA$45,0,MATCH(C1159,Lists!$H$4:$AA$4,0)),D1159)=0,"Check sub-category","OK"))))</f>
        <v/>
      </c>
      <c r="P1159">
        <f>IF(ISNUMBER(I1159),I1159+ROW()/10000000,"")</f>
        <v/>
      </c>
      <c r="Q1159">
        <f>IF(AND(ISNUMBER(P1159),ISNUMBER(A1159)),IF(AND(A1159&gt;=Dashboard!$Q$3,A1159&lt;=Dashboard!$Q$4,OR(J1159&lt;&gt;"Yes",Dashboard!$Q$15="Yes")),P1159,""),"")</f>
        <v/>
      </c>
    </row>
    <row r="1160">
      <c r="A1160" s="47" t="n"/>
      <c r="B1160" s="48" t="n"/>
      <c r="C1160" s="48" t="n"/>
      <c r="D1160" s="48" t="n"/>
      <c r="E1160" s="48" t="n"/>
      <c r="F1160" s="48" t="n"/>
      <c r="G1160" s="48" t="n"/>
      <c r="H1160" s="48" t="n"/>
      <c r="I1160" s="49" t="n"/>
      <c r="J1160" s="50" t="n"/>
      <c r="K1160" s="48" t="n"/>
      <c r="L1160" s="51">
        <f>IF(A1160="","",DATE(YEAR(A1160),MONTH(A1160),1))</f>
        <v/>
      </c>
      <c r="M1160" s="52">
        <f>IF(OR(A1160="",NOT(ISNUMBER(I1160))),"",IF(G1160=Lists!$B$5,I1160/2,IF(G1160=Lists!$B$6,I1160,0)))</f>
        <v/>
      </c>
      <c r="N1160" s="52">
        <f>IF(OR(A1160="",NOT(ISNUMBER(I1160))),"",IF(G1160=Lists!$B$5,I1160/2,IF(G1160=Lists!$B$7,I1160,0)))</f>
        <v/>
      </c>
      <c r="O1160" s="53">
        <f>IF(COUNTA(A1160:K1160)=0,"",IF(OR(A1160="",B1160="",C1160="",D1160="",E1160="",F1160="",G1160="",NOT(ISNUMBER(I1160))),"Incomplete",IF(COUNTIF(Lists!$H$4:$AA$4,C1160)=0,"Check category",IF(COUNTIF(INDEX(Lists!$H$6:$AA$45,0,MATCH(C1160,Lists!$H$4:$AA$4,0)),D1160)=0,"Check sub-category","OK"))))</f>
        <v/>
      </c>
      <c r="P1160">
        <f>IF(ISNUMBER(I1160),I1160+ROW()/10000000,"")</f>
        <v/>
      </c>
      <c r="Q1160">
        <f>IF(AND(ISNUMBER(P1160),ISNUMBER(A1160)),IF(AND(A1160&gt;=Dashboard!$Q$3,A1160&lt;=Dashboard!$Q$4,OR(J1160&lt;&gt;"Yes",Dashboard!$Q$15="Yes")),P1160,""),"")</f>
        <v/>
      </c>
    </row>
    <row r="1161">
      <c r="A1161" s="47" t="n"/>
      <c r="B1161" s="48" t="n"/>
      <c r="C1161" s="48" t="n"/>
      <c r="D1161" s="48" t="n"/>
      <c r="E1161" s="48" t="n"/>
      <c r="F1161" s="48" t="n"/>
      <c r="G1161" s="48" t="n"/>
      <c r="H1161" s="48" t="n"/>
      <c r="I1161" s="49" t="n"/>
      <c r="J1161" s="50" t="n"/>
      <c r="K1161" s="48" t="n"/>
      <c r="L1161" s="51">
        <f>IF(A1161="","",DATE(YEAR(A1161),MONTH(A1161),1))</f>
        <v/>
      </c>
      <c r="M1161" s="52">
        <f>IF(OR(A1161="",NOT(ISNUMBER(I1161))),"",IF(G1161=Lists!$B$5,I1161/2,IF(G1161=Lists!$B$6,I1161,0)))</f>
        <v/>
      </c>
      <c r="N1161" s="52">
        <f>IF(OR(A1161="",NOT(ISNUMBER(I1161))),"",IF(G1161=Lists!$B$5,I1161/2,IF(G1161=Lists!$B$7,I1161,0)))</f>
        <v/>
      </c>
      <c r="O1161" s="53">
        <f>IF(COUNTA(A1161:K1161)=0,"",IF(OR(A1161="",B1161="",C1161="",D1161="",E1161="",F1161="",G1161="",NOT(ISNUMBER(I1161))),"Incomplete",IF(COUNTIF(Lists!$H$4:$AA$4,C1161)=0,"Check category",IF(COUNTIF(INDEX(Lists!$H$6:$AA$45,0,MATCH(C1161,Lists!$H$4:$AA$4,0)),D1161)=0,"Check sub-category","OK"))))</f>
        <v/>
      </c>
      <c r="P1161">
        <f>IF(ISNUMBER(I1161),I1161+ROW()/10000000,"")</f>
        <v/>
      </c>
      <c r="Q1161">
        <f>IF(AND(ISNUMBER(P1161),ISNUMBER(A1161)),IF(AND(A1161&gt;=Dashboard!$Q$3,A1161&lt;=Dashboard!$Q$4,OR(J1161&lt;&gt;"Yes",Dashboard!$Q$15="Yes")),P1161,""),"")</f>
        <v/>
      </c>
    </row>
    <row r="1162">
      <c r="A1162" s="47" t="n"/>
      <c r="B1162" s="48" t="n"/>
      <c r="C1162" s="48" t="n"/>
      <c r="D1162" s="48" t="n"/>
      <c r="E1162" s="48" t="n"/>
      <c r="F1162" s="48" t="n"/>
      <c r="G1162" s="48" t="n"/>
      <c r="H1162" s="48" t="n"/>
      <c r="I1162" s="49" t="n"/>
      <c r="J1162" s="50" t="n"/>
      <c r="K1162" s="48" t="n"/>
      <c r="L1162" s="51">
        <f>IF(A1162="","",DATE(YEAR(A1162),MONTH(A1162),1))</f>
        <v/>
      </c>
      <c r="M1162" s="52">
        <f>IF(OR(A1162="",NOT(ISNUMBER(I1162))),"",IF(G1162=Lists!$B$5,I1162/2,IF(G1162=Lists!$B$6,I1162,0)))</f>
        <v/>
      </c>
      <c r="N1162" s="52">
        <f>IF(OR(A1162="",NOT(ISNUMBER(I1162))),"",IF(G1162=Lists!$B$5,I1162/2,IF(G1162=Lists!$B$7,I1162,0)))</f>
        <v/>
      </c>
      <c r="O1162" s="53">
        <f>IF(COUNTA(A1162:K1162)=0,"",IF(OR(A1162="",B1162="",C1162="",D1162="",E1162="",F1162="",G1162="",NOT(ISNUMBER(I1162))),"Incomplete",IF(COUNTIF(Lists!$H$4:$AA$4,C1162)=0,"Check category",IF(COUNTIF(INDEX(Lists!$H$6:$AA$45,0,MATCH(C1162,Lists!$H$4:$AA$4,0)),D1162)=0,"Check sub-category","OK"))))</f>
        <v/>
      </c>
      <c r="P1162">
        <f>IF(ISNUMBER(I1162),I1162+ROW()/10000000,"")</f>
        <v/>
      </c>
      <c r="Q1162">
        <f>IF(AND(ISNUMBER(P1162),ISNUMBER(A1162)),IF(AND(A1162&gt;=Dashboard!$Q$3,A1162&lt;=Dashboard!$Q$4,OR(J1162&lt;&gt;"Yes",Dashboard!$Q$15="Yes")),P1162,""),"")</f>
        <v/>
      </c>
    </row>
    <row r="1163">
      <c r="A1163" s="47" t="n"/>
      <c r="B1163" s="48" t="n"/>
      <c r="C1163" s="48" t="n"/>
      <c r="D1163" s="48" t="n"/>
      <c r="E1163" s="48" t="n"/>
      <c r="F1163" s="48" t="n"/>
      <c r="G1163" s="48" t="n"/>
      <c r="H1163" s="48" t="n"/>
      <c r="I1163" s="49" t="n"/>
      <c r="J1163" s="50" t="n"/>
      <c r="K1163" s="48" t="n"/>
      <c r="L1163" s="51">
        <f>IF(A1163="","",DATE(YEAR(A1163),MONTH(A1163),1))</f>
        <v/>
      </c>
      <c r="M1163" s="52">
        <f>IF(OR(A1163="",NOT(ISNUMBER(I1163))),"",IF(G1163=Lists!$B$5,I1163/2,IF(G1163=Lists!$B$6,I1163,0)))</f>
        <v/>
      </c>
      <c r="N1163" s="52">
        <f>IF(OR(A1163="",NOT(ISNUMBER(I1163))),"",IF(G1163=Lists!$B$5,I1163/2,IF(G1163=Lists!$B$7,I1163,0)))</f>
        <v/>
      </c>
      <c r="O1163" s="53">
        <f>IF(COUNTA(A1163:K1163)=0,"",IF(OR(A1163="",B1163="",C1163="",D1163="",E1163="",F1163="",G1163="",NOT(ISNUMBER(I1163))),"Incomplete",IF(COUNTIF(Lists!$H$4:$AA$4,C1163)=0,"Check category",IF(COUNTIF(INDEX(Lists!$H$6:$AA$45,0,MATCH(C1163,Lists!$H$4:$AA$4,0)),D1163)=0,"Check sub-category","OK"))))</f>
        <v/>
      </c>
      <c r="P1163">
        <f>IF(ISNUMBER(I1163),I1163+ROW()/10000000,"")</f>
        <v/>
      </c>
      <c r="Q1163">
        <f>IF(AND(ISNUMBER(P1163),ISNUMBER(A1163)),IF(AND(A1163&gt;=Dashboard!$Q$3,A1163&lt;=Dashboard!$Q$4,OR(J1163&lt;&gt;"Yes",Dashboard!$Q$15="Yes")),P1163,""),"")</f>
        <v/>
      </c>
    </row>
    <row r="1164">
      <c r="A1164" s="47" t="n"/>
      <c r="B1164" s="48" t="n"/>
      <c r="C1164" s="48" t="n"/>
      <c r="D1164" s="48" t="n"/>
      <c r="E1164" s="48" t="n"/>
      <c r="F1164" s="48" t="n"/>
      <c r="G1164" s="48" t="n"/>
      <c r="H1164" s="48" t="n"/>
      <c r="I1164" s="49" t="n"/>
      <c r="J1164" s="50" t="n"/>
      <c r="K1164" s="48" t="n"/>
      <c r="L1164" s="51">
        <f>IF(A1164="","",DATE(YEAR(A1164),MONTH(A1164),1))</f>
        <v/>
      </c>
      <c r="M1164" s="52">
        <f>IF(OR(A1164="",NOT(ISNUMBER(I1164))),"",IF(G1164=Lists!$B$5,I1164/2,IF(G1164=Lists!$B$6,I1164,0)))</f>
        <v/>
      </c>
      <c r="N1164" s="52">
        <f>IF(OR(A1164="",NOT(ISNUMBER(I1164))),"",IF(G1164=Lists!$B$5,I1164/2,IF(G1164=Lists!$B$7,I1164,0)))</f>
        <v/>
      </c>
      <c r="O1164" s="53">
        <f>IF(COUNTA(A1164:K1164)=0,"",IF(OR(A1164="",B1164="",C1164="",D1164="",E1164="",F1164="",G1164="",NOT(ISNUMBER(I1164))),"Incomplete",IF(COUNTIF(Lists!$H$4:$AA$4,C1164)=0,"Check category",IF(COUNTIF(INDEX(Lists!$H$6:$AA$45,0,MATCH(C1164,Lists!$H$4:$AA$4,0)),D1164)=0,"Check sub-category","OK"))))</f>
        <v/>
      </c>
      <c r="P1164">
        <f>IF(ISNUMBER(I1164),I1164+ROW()/10000000,"")</f>
        <v/>
      </c>
      <c r="Q1164">
        <f>IF(AND(ISNUMBER(P1164),ISNUMBER(A1164)),IF(AND(A1164&gt;=Dashboard!$Q$3,A1164&lt;=Dashboard!$Q$4,OR(J1164&lt;&gt;"Yes",Dashboard!$Q$15="Yes")),P1164,""),"")</f>
        <v/>
      </c>
    </row>
    <row r="1165">
      <c r="A1165" s="47" t="n"/>
      <c r="B1165" s="48" t="n"/>
      <c r="C1165" s="48" t="n"/>
      <c r="D1165" s="48" t="n"/>
      <c r="E1165" s="48" t="n"/>
      <c r="F1165" s="48" t="n"/>
      <c r="G1165" s="48" t="n"/>
      <c r="H1165" s="48" t="n"/>
      <c r="I1165" s="49" t="n"/>
      <c r="J1165" s="50" t="n"/>
      <c r="K1165" s="48" t="n"/>
      <c r="L1165" s="51">
        <f>IF(A1165="","",DATE(YEAR(A1165),MONTH(A1165),1))</f>
        <v/>
      </c>
      <c r="M1165" s="52">
        <f>IF(OR(A1165="",NOT(ISNUMBER(I1165))),"",IF(G1165=Lists!$B$5,I1165/2,IF(G1165=Lists!$B$6,I1165,0)))</f>
        <v/>
      </c>
      <c r="N1165" s="52">
        <f>IF(OR(A1165="",NOT(ISNUMBER(I1165))),"",IF(G1165=Lists!$B$5,I1165/2,IF(G1165=Lists!$B$7,I1165,0)))</f>
        <v/>
      </c>
      <c r="O1165" s="53">
        <f>IF(COUNTA(A1165:K1165)=0,"",IF(OR(A1165="",B1165="",C1165="",D1165="",E1165="",F1165="",G1165="",NOT(ISNUMBER(I1165))),"Incomplete",IF(COUNTIF(Lists!$H$4:$AA$4,C1165)=0,"Check category",IF(COUNTIF(INDEX(Lists!$H$6:$AA$45,0,MATCH(C1165,Lists!$H$4:$AA$4,0)),D1165)=0,"Check sub-category","OK"))))</f>
        <v/>
      </c>
      <c r="P1165">
        <f>IF(ISNUMBER(I1165),I1165+ROW()/10000000,"")</f>
        <v/>
      </c>
      <c r="Q1165">
        <f>IF(AND(ISNUMBER(P1165),ISNUMBER(A1165)),IF(AND(A1165&gt;=Dashboard!$Q$3,A1165&lt;=Dashboard!$Q$4,OR(J1165&lt;&gt;"Yes",Dashboard!$Q$15="Yes")),P1165,""),"")</f>
        <v/>
      </c>
    </row>
    <row r="1166">
      <c r="A1166" s="47" t="n"/>
      <c r="B1166" s="48" t="n"/>
      <c r="C1166" s="48" t="n"/>
      <c r="D1166" s="48" t="n"/>
      <c r="E1166" s="48" t="n"/>
      <c r="F1166" s="48" t="n"/>
      <c r="G1166" s="48" t="n"/>
      <c r="H1166" s="48" t="n"/>
      <c r="I1166" s="49" t="n"/>
      <c r="J1166" s="50" t="n"/>
      <c r="K1166" s="48" t="n"/>
      <c r="L1166" s="51">
        <f>IF(A1166="","",DATE(YEAR(A1166),MONTH(A1166),1))</f>
        <v/>
      </c>
      <c r="M1166" s="52">
        <f>IF(OR(A1166="",NOT(ISNUMBER(I1166))),"",IF(G1166=Lists!$B$5,I1166/2,IF(G1166=Lists!$B$6,I1166,0)))</f>
        <v/>
      </c>
      <c r="N1166" s="52">
        <f>IF(OR(A1166="",NOT(ISNUMBER(I1166))),"",IF(G1166=Lists!$B$5,I1166/2,IF(G1166=Lists!$B$7,I1166,0)))</f>
        <v/>
      </c>
      <c r="O1166" s="53">
        <f>IF(COUNTA(A1166:K1166)=0,"",IF(OR(A1166="",B1166="",C1166="",D1166="",E1166="",F1166="",G1166="",NOT(ISNUMBER(I1166))),"Incomplete",IF(COUNTIF(Lists!$H$4:$AA$4,C1166)=0,"Check category",IF(COUNTIF(INDEX(Lists!$H$6:$AA$45,0,MATCH(C1166,Lists!$H$4:$AA$4,0)),D1166)=0,"Check sub-category","OK"))))</f>
        <v/>
      </c>
      <c r="P1166">
        <f>IF(ISNUMBER(I1166),I1166+ROW()/10000000,"")</f>
        <v/>
      </c>
      <c r="Q1166">
        <f>IF(AND(ISNUMBER(P1166),ISNUMBER(A1166)),IF(AND(A1166&gt;=Dashboard!$Q$3,A1166&lt;=Dashboard!$Q$4,OR(J1166&lt;&gt;"Yes",Dashboard!$Q$15="Yes")),P1166,""),"")</f>
        <v/>
      </c>
    </row>
    <row r="1167">
      <c r="A1167" s="47" t="n"/>
      <c r="B1167" s="48" t="n"/>
      <c r="C1167" s="48" t="n"/>
      <c r="D1167" s="48" t="n"/>
      <c r="E1167" s="48" t="n"/>
      <c r="F1167" s="48" t="n"/>
      <c r="G1167" s="48" t="n"/>
      <c r="H1167" s="48" t="n"/>
      <c r="I1167" s="49" t="n"/>
      <c r="J1167" s="50" t="n"/>
      <c r="K1167" s="48" t="n"/>
      <c r="L1167" s="51">
        <f>IF(A1167="","",DATE(YEAR(A1167),MONTH(A1167),1))</f>
        <v/>
      </c>
      <c r="M1167" s="52">
        <f>IF(OR(A1167="",NOT(ISNUMBER(I1167))),"",IF(G1167=Lists!$B$5,I1167/2,IF(G1167=Lists!$B$6,I1167,0)))</f>
        <v/>
      </c>
      <c r="N1167" s="52">
        <f>IF(OR(A1167="",NOT(ISNUMBER(I1167))),"",IF(G1167=Lists!$B$5,I1167/2,IF(G1167=Lists!$B$7,I1167,0)))</f>
        <v/>
      </c>
      <c r="O1167" s="53">
        <f>IF(COUNTA(A1167:K1167)=0,"",IF(OR(A1167="",B1167="",C1167="",D1167="",E1167="",F1167="",G1167="",NOT(ISNUMBER(I1167))),"Incomplete",IF(COUNTIF(Lists!$H$4:$AA$4,C1167)=0,"Check category",IF(COUNTIF(INDEX(Lists!$H$6:$AA$45,0,MATCH(C1167,Lists!$H$4:$AA$4,0)),D1167)=0,"Check sub-category","OK"))))</f>
        <v/>
      </c>
      <c r="P1167">
        <f>IF(ISNUMBER(I1167),I1167+ROW()/10000000,"")</f>
        <v/>
      </c>
      <c r="Q1167">
        <f>IF(AND(ISNUMBER(P1167),ISNUMBER(A1167)),IF(AND(A1167&gt;=Dashboard!$Q$3,A1167&lt;=Dashboard!$Q$4,OR(J1167&lt;&gt;"Yes",Dashboard!$Q$15="Yes")),P1167,""),"")</f>
        <v/>
      </c>
    </row>
    <row r="1168">
      <c r="A1168" s="47" t="n"/>
      <c r="B1168" s="48" t="n"/>
      <c r="C1168" s="48" t="n"/>
      <c r="D1168" s="48" t="n"/>
      <c r="E1168" s="48" t="n"/>
      <c r="F1168" s="48" t="n"/>
      <c r="G1168" s="48" t="n"/>
      <c r="H1168" s="48" t="n"/>
      <c r="I1168" s="49" t="n"/>
      <c r="J1168" s="50" t="n"/>
      <c r="K1168" s="48" t="n"/>
      <c r="L1168" s="51">
        <f>IF(A1168="","",DATE(YEAR(A1168),MONTH(A1168),1))</f>
        <v/>
      </c>
      <c r="M1168" s="52">
        <f>IF(OR(A1168="",NOT(ISNUMBER(I1168))),"",IF(G1168=Lists!$B$5,I1168/2,IF(G1168=Lists!$B$6,I1168,0)))</f>
        <v/>
      </c>
      <c r="N1168" s="52">
        <f>IF(OR(A1168="",NOT(ISNUMBER(I1168))),"",IF(G1168=Lists!$B$5,I1168/2,IF(G1168=Lists!$B$7,I1168,0)))</f>
        <v/>
      </c>
      <c r="O1168" s="53">
        <f>IF(COUNTA(A1168:K1168)=0,"",IF(OR(A1168="",B1168="",C1168="",D1168="",E1168="",F1168="",G1168="",NOT(ISNUMBER(I1168))),"Incomplete",IF(COUNTIF(Lists!$H$4:$AA$4,C1168)=0,"Check category",IF(COUNTIF(INDEX(Lists!$H$6:$AA$45,0,MATCH(C1168,Lists!$H$4:$AA$4,0)),D1168)=0,"Check sub-category","OK"))))</f>
        <v/>
      </c>
      <c r="P1168">
        <f>IF(ISNUMBER(I1168),I1168+ROW()/10000000,"")</f>
        <v/>
      </c>
      <c r="Q1168">
        <f>IF(AND(ISNUMBER(P1168),ISNUMBER(A1168)),IF(AND(A1168&gt;=Dashboard!$Q$3,A1168&lt;=Dashboard!$Q$4,OR(J1168&lt;&gt;"Yes",Dashboard!$Q$15="Yes")),P1168,""),"")</f>
        <v/>
      </c>
    </row>
    <row r="1169">
      <c r="A1169" s="47" t="n"/>
      <c r="B1169" s="48" t="n"/>
      <c r="C1169" s="48" t="n"/>
      <c r="D1169" s="48" t="n"/>
      <c r="E1169" s="48" t="n"/>
      <c r="F1169" s="48" t="n"/>
      <c r="G1169" s="48" t="n"/>
      <c r="H1169" s="48" t="n"/>
      <c r="I1169" s="49" t="n"/>
      <c r="J1169" s="50" t="n"/>
      <c r="K1169" s="48" t="n"/>
      <c r="L1169" s="51">
        <f>IF(A1169="","",DATE(YEAR(A1169),MONTH(A1169),1))</f>
        <v/>
      </c>
      <c r="M1169" s="52">
        <f>IF(OR(A1169="",NOT(ISNUMBER(I1169))),"",IF(G1169=Lists!$B$5,I1169/2,IF(G1169=Lists!$B$6,I1169,0)))</f>
        <v/>
      </c>
      <c r="N1169" s="52">
        <f>IF(OR(A1169="",NOT(ISNUMBER(I1169))),"",IF(G1169=Lists!$B$5,I1169/2,IF(G1169=Lists!$B$7,I1169,0)))</f>
        <v/>
      </c>
      <c r="O1169" s="53">
        <f>IF(COUNTA(A1169:K1169)=0,"",IF(OR(A1169="",B1169="",C1169="",D1169="",E1169="",F1169="",G1169="",NOT(ISNUMBER(I1169))),"Incomplete",IF(COUNTIF(Lists!$H$4:$AA$4,C1169)=0,"Check category",IF(COUNTIF(INDEX(Lists!$H$6:$AA$45,0,MATCH(C1169,Lists!$H$4:$AA$4,0)),D1169)=0,"Check sub-category","OK"))))</f>
        <v/>
      </c>
      <c r="P1169">
        <f>IF(ISNUMBER(I1169),I1169+ROW()/10000000,"")</f>
        <v/>
      </c>
      <c r="Q1169">
        <f>IF(AND(ISNUMBER(P1169),ISNUMBER(A1169)),IF(AND(A1169&gt;=Dashboard!$Q$3,A1169&lt;=Dashboard!$Q$4,OR(J1169&lt;&gt;"Yes",Dashboard!$Q$15="Yes")),P1169,""),"")</f>
        <v/>
      </c>
    </row>
    <row r="1170">
      <c r="A1170" s="47" t="n"/>
      <c r="B1170" s="48" t="n"/>
      <c r="C1170" s="48" t="n"/>
      <c r="D1170" s="48" t="n"/>
      <c r="E1170" s="48" t="n"/>
      <c r="F1170" s="48" t="n"/>
      <c r="G1170" s="48" t="n"/>
      <c r="H1170" s="48" t="n"/>
      <c r="I1170" s="49" t="n"/>
      <c r="J1170" s="50" t="n"/>
      <c r="K1170" s="48" t="n"/>
      <c r="L1170" s="51">
        <f>IF(A1170="","",DATE(YEAR(A1170),MONTH(A1170),1))</f>
        <v/>
      </c>
      <c r="M1170" s="52">
        <f>IF(OR(A1170="",NOT(ISNUMBER(I1170))),"",IF(G1170=Lists!$B$5,I1170/2,IF(G1170=Lists!$B$6,I1170,0)))</f>
        <v/>
      </c>
      <c r="N1170" s="52">
        <f>IF(OR(A1170="",NOT(ISNUMBER(I1170))),"",IF(G1170=Lists!$B$5,I1170/2,IF(G1170=Lists!$B$7,I1170,0)))</f>
        <v/>
      </c>
      <c r="O1170" s="53">
        <f>IF(COUNTA(A1170:K1170)=0,"",IF(OR(A1170="",B1170="",C1170="",D1170="",E1170="",F1170="",G1170="",NOT(ISNUMBER(I1170))),"Incomplete",IF(COUNTIF(Lists!$H$4:$AA$4,C1170)=0,"Check category",IF(COUNTIF(INDEX(Lists!$H$6:$AA$45,0,MATCH(C1170,Lists!$H$4:$AA$4,0)),D1170)=0,"Check sub-category","OK"))))</f>
        <v/>
      </c>
      <c r="P1170">
        <f>IF(ISNUMBER(I1170),I1170+ROW()/10000000,"")</f>
        <v/>
      </c>
      <c r="Q1170">
        <f>IF(AND(ISNUMBER(P1170),ISNUMBER(A1170)),IF(AND(A1170&gt;=Dashboard!$Q$3,A1170&lt;=Dashboard!$Q$4,OR(J1170&lt;&gt;"Yes",Dashboard!$Q$15="Yes")),P1170,""),"")</f>
        <v/>
      </c>
    </row>
    <row r="1171">
      <c r="A1171" s="47" t="n"/>
      <c r="B1171" s="48" t="n"/>
      <c r="C1171" s="48" t="n"/>
      <c r="D1171" s="48" t="n"/>
      <c r="E1171" s="48" t="n"/>
      <c r="F1171" s="48" t="n"/>
      <c r="G1171" s="48" t="n"/>
      <c r="H1171" s="48" t="n"/>
      <c r="I1171" s="49" t="n"/>
      <c r="J1171" s="50" t="n"/>
      <c r="K1171" s="48" t="n"/>
      <c r="L1171" s="51">
        <f>IF(A1171="","",DATE(YEAR(A1171),MONTH(A1171),1))</f>
        <v/>
      </c>
      <c r="M1171" s="52">
        <f>IF(OR(A1171="",NOT(ISNUMBER(I1171))),"",IF(G1171=Lists!$B$5,I1171/2,IF(G1171=Lists!$B$6,I1171,0)))</f>
        <v/>
      </c>
      <c r="N1171" s="52">
        <f>IF(OR(A1171="",NOT(ISNUMBER(I1171))),"",IF(G1171=Lists!$B$5,I1171/2,IF(G1171=Lists!$B$7,I1171,0)))</f>
        <v/>
      </c>
      <c r="O1171" s="53">
        <f>IF(COUNTA(A1171:K1171)=0,"",IF(OR(A1171="",B1171="",C1171="",D1171="",E1171="",F1171="",G1171="",NOT(ISNUMBER(I1171))),"Incomplete",IF(COUNTIF(Lists!$H$4:$AA$4,C1171)=0,"Check category",IF(COUNTIF(INDEX(Lists!$H$6:$AA$45,0,MATCH(C1171,Lists!$H$4:$AA$4,0)),D1171)=0,"Check sub-category","OK"))))</f>
        <v/>
      </c>
      <c r="P1171">
        <f>IF(ISNUMBER(I1171),I1171+ROW()/10000000,"")</f>
        <v/>
      </c>
      <c r="Q1171">
        <f>IF(AND(ISNUMBER(P1171),ISNUMBER(A1171)),IF(AND(A1171&gt;=Dashboard!$Q$3,A1171&lt;=Dashboard!$Q$4,OR(J1171&lt;&gt;"Yes",Dashboard!$Q$15="Yes")),P1171,""),"")</f>
        <v/>
      </c>
    </row>
    <row r="1172">
      <c r="A1172" s="47" t="n"/>
      <c r="B1172" s="48" t="n"/>
      <c r="C1172" s="48" t="n"/>
      <c r="D1172" s="48" t="n"/>
      <c r="E1172" s="48" t="n"/>
      <c r="F1172" s="48" t="n"/>
      <c r="G1172" s="48" t="n"/>
      <c r="H1172" s="48" t="n"/>
      <c r="I1172" s="49" t="n"/>
      <c r="J1172" s="50" t="n"/>
      <c r="K1172" s="48" t="n"/>
      <c r="L1172" s="51">
        <f>IF(A1172="","",DATE(YEAR(A1172),MONTH(A1172),1))</f>
        <v/>
      </c>
      <c r="M1172" s="52">
        <f>IF(OR(A1172="",NOT(ISNUMBER(I1172))),"",IF(G1172=Lists!$B$5,I1172/2,IF(G1172=Lists!$B$6,I1172,0)))</f>
        <v/>
      </c>
      <c r="N1172" s="52">
        <f>IF(OR(A1172="",NOT(ISNUMBER(I1172))),"",IF(G1172=Lists!$B$5,I1172/2,IF(G1172=Lists!$B$7,I1172,0)))</f>
        <v/>
      </c>
      <c r="O1172" s="53">
        <f>IF(COUNTA(A1172:K1172)=0,"",IF(OR(A1172="",B1172="",C1172="",D1172="",E1172="",F1172="",G1172="",NOT(ISNUMBER(I1172))),"Incomplete",IF(COUNTIF(Lists!$H$4:$AA$4,C1172)=0,"Check category",IF(COUNTIF(INDEX(Lists!$H$6:$AA$45,0,MATCH(C1172,Lists!$H$4:$AA$4,0)),D1172)=0,"Check sub-category","OK"))))</f>
        <v/>
      </c>
      <c r="P1172">
        <f>IF(ISNUMBER(I1172),I1172+ROW()/10000000,"")</f>
        <v/>
      </c>
      <c r="Q1172">
        <f>IF(AND(ISNUMBER(P1172),ISNUMBER(A1172)),IF(AND(A1172&gt;=Dashboard!$Q$3,A1172&lt;=Dashboard!$Q$4,OR(J1172&lt;&gt;"Yes",Dashboard!$Q$15="Yes")),P1172,""),"")</f>
        <v/>
      </c>
    </row>
    <row r="1173">
      <c r="A1173" s="47" t="n"/>
      <c r="B1173" s="48" t="n"/>
      <c r="C1173" s="48" t="n"/>
      <c r="D1173" s="48" t="n"/>
      <c r="E1173" s="48" t="n"/>
      <c r="F1173" s="48" t="n"/>
      <c r="G1173" s="48" t="n"/>
      <c r="H1173" s="48" t="n"/>
      <c r="I1173" s="49" t="n"/>
      <c r="J1173" s="50" t="n"/>
      <c r="K1173" s="48" t="n"/>
      <c r="L1173" s="51">
        <f>IF(A1173="","",DATE(YEAR(A1173),MONTH(A1173),1))</f>
        <v/>
      </c>
      <c r="M1173" s="52">
        <f>IF(OR(A1173="",NOT(ISNUMBER(I1173))),"",IF(G1173=Lists!$B$5,I1173/2,IF(G1173=Lists!$B$6,I1173,0)))</f>
        <v/>
      </c>
      <c r="N1173" s="52">
        <f>IF(OR(A1173="",NOT(ISNUMBER(I1173))),"",IF(G1173=Lists!$B$5,I1173/2,IF(G1173=Lists!$B$7,I1173,0)))</f>
        <v/>
      </c>
      <c r="O1173" s="53">
        <f>IF(COUNTA(A1173:K1173)=0,"",IF(OR(A1173="",B1173="",C1173="",D1173="",E1173="",F1173="",G1173="",NOT(ISNUMBER(I1173))),"Incomplete",IF(COUNTIF(Lists!$H$4:$AA$4,C1173)=0,"Check category",IF(COUNTIF(INDEX(Lists!$H$6:$AA$45,0,MATCH(C1173,Lists!$H$4:$AA$4,0)),D1173)=0,"Check sub-category","OK"))))</f>
        <v/>
      </c>
      <c r="P1173">
        <f>IF(ISNUMBER(I1173),I1173+ROW()/10000000,"")</f>
        <v/>
      </c>
      <c r="Q1173">
        <f>IF(AND(ISNUMBER(P1173),ISNUMBER(A1173)),IF(AND(A1173&gt;=Dashboard!$Q$3,A1173&lt;=Dashboard!$Q$4,OR(J1173&lt;&gt;"Yes",Dashboard!$Q$15="Yes")),P1173,""),"")</f>
        <v/>
      </c>
    </row>
    <row r="1174">
      <c r="A1174" s="47" t="n"/>
      <c r="B1174" s="48" t="n"/>
      <c r="C1174" s="48" t="n"/>
      <c r="D1174" s="48" t="n"/>
      <c r="E1174" s="48" t="n"/>
      <c r="F1174" s="48" t="n"/>
      <c r="G1174" s="48" t="n"/>
      <c r="H1174" s="48" t="n"/>
      <c r="I1174" s="49" t="n"/>
      <c r="J1174" s="50" t="n"/>
      <c r="K1174" s="48" t="n"/>
      <c r="L1174" s="51">
        <f>IF(A1174="","",DATE(YEAR(A1174),MONTH(A1174),1))</f>
        <v/>
      </c>
      <c r="M1174" s="52">
        <f>IF(OR(A1174="",NOT(ISNUMBER(I1174))),"",IF(G1174=Lists!$B$5,I1174/2,IF(G1174=Lists!$B$6,I1174,0)))</f>
        <v/>
      </c>
      <c r="N1174" s="52">
        <f>IF(OR(A1174="",NOT(ISNUMBER(I1174))),"",IF(G1174=Lists!$B$5,I1174/2,IF(G1174=Lists!$B$7,I1174,0)))</f>
        <v/>
      </c>
      <c r="O1174" s="53">
        <f>IF(COUNTA(A1174:K1174)=0,"",IF(OR(A1174="",B1174="",C1174="",D1174="",E1174="",F1174="",G1174="",NOT(ISNUMBER(I1174))),"Incomplete",IF(COUNTIF(Lists!$H$4:$AA$4,C1174)=0,"Check category",IF(COUNTIF(INDEX(Lists!$H$6:$AA$45,0,MATCH(C1174,Lists!$H$4:$AA$4,0)),D1174)=0,"Check sub-category","OK"))))</f>
        <v/>
      </c>
      <c r="P1174">
        <f>IF(ISNUMBER(I1174),I1174+ROW()/10000000,"")</f>
        <v/>
      </c>
      <c r="Q1174">
        <f>IF(AND(ISNUMBER(P1174),ISNUMBER(A1174)),IF(AND(A1174&gt;=Dashboard!$Q$3,A1174&lt;=Dashboard!$Q$4,OR(J1174&lt;&gt;"Yes",Dashboard!$Q$15="Yes")),P1174,""),"")</f>
        <v/>
      </c>
    </row>
    <row r="1175">
      <c r="A1175" s="47" t="n"/>
      <c r="B1175" s="48" t="n"/>
      <c r="C1175" s="48" t="n"/>
      <c r="D1175" s="48" t="n"/>
      <c r="E1175" s="48" t="n"/>
      <c r="F1175" s="48" t="n"/>
      <c r="G1175" s="48" t="n"/>
      <c r="H1175" s="48" t="n"/>
      <c r="I1175" s="49" t="n"/>
      <c r="J1175" s="50" t="n"/>
      <c r="K1175" s="48" t="n"/>
      <c r="L1175" s="51">
        <f>IF(A1175="","",DATE(YEAR(A1175),MONTH(A1175),1))</f>
        <v/>
      </c>
      <c r="M1175" s="52">
        <f>IF(OR(A1175="",NOT(ISNUMBER(I1175))),"",IF(G1175=Lists!$B$5,I1175/2,IF(G1175=Lists!$B$6,I1175,0)))</f>
        <v/>
      </c>
      <c r="N1175" s="52">
        <f>IF(OR(A1175="",NOT(ISNUMBER(I1175))),"",IF(G1175=Lists!$B$5,I1175/2,IF(G1175=Lists!$B$7,I1175,0)))</f>
        <v/>
      </c>
      <c r="O1175" s="53">
        <f>IF(COUNTA(A1175:K1175)=0,"",IF(OR(A1175="",B1175="",C1175="",D1175="",E1175="",F1175="",G1175="",NOT(ISNUMBER(I1175))),"Incomplete",IF(COUNTIF(Lists!$H$4:$AA$4,C1175)=0,"Check category",IF(COUNTIF(INDEX(Lists!$H$6:$AA$45,0,MATCH(C1175,Lists!$H$4:$AA$4,0)),D1175)=0,"Check sub-category","OK"))))</f>
        <v/>
      </c>
      <c r="P1175">
        <f>IF(ISNUMBER(I1175),I1175+ROW()/10000000,"")</f>
        <v/>
      </c>
      <c r="Q1175">
        <f>IF(AND(ISNUMBER(P1175),ISNUMBER(A1175)),IF(AND(A1175&gt;=Dashboard!$Q$3,A1175&lt;=Dashboard!$Q$4,OR(J1175&lt;&gt;"Yes",Dashboard!$Q$15="Yes")),P1175,""),"")</f>
        <v/>
      </c>
    </row>
    <row r="1176">
      <c r="A1176" s="47" t="n"/>
      <c r="B1176" s="48" t="n"/>
      <c r="C1176" s="48" t="n"/>
      <c r="D1176" s="48" t="n"/>
      <c r="E1176" s="48" t="n"/>
      <c r="F1176" s="48" t="n"/>
      <c r="G1176" s="48" t="n"/>
      <c r="H1176" s="48" t="n"/>
      <c r="I1176" s="49" t="n"/>
      <c r="J1176" s="50" t="n"/>
      <c r="K1176" s="48" t="n"/>
      <c r="L1176" s="51">
        <f>IF(A1176="","",DATE(YEAR(A1176),MONTH(A1176),1))</f>
        <v/>
      </c>
      <c r="M1176" s="52">
        <f>IF(OR(A1176="",NOT(ISNUMBER(I1176))),"",IF(G1176=Lists!$B$5,I1176/2,IF(G1176=Lists!$B$6,I1176,0)))</f>
        <v/>
      </c>
      <c r="N1176" s="52">
        <f>IF(OR(A1176="",NOT(ISNUMBER(I1176))),"",IF(G1176=Lists!$B$5,I1176/2,IF(G1176=Lists!$B$7,I1176,0)))</f>
        <v/>
      </c>
      <c r="O1176" s="53">
        <f>IF(COUNTA(A1176:K1176)=0,"",IF(OR(A1176="",B1176="",C1176="",D1176="",E1176="",F1176="",G1176="",NOT(ISNUMBER(I1176))),"Incomplete",IF(COUNTIF(Lists!$H$4:$AA$4,C1176)=0,"Check category",IF(COUNTIF(INDEX(Lists!$H$6:$AA$45,0,MATCH(C1176,Lists!$H$4:$AA$4,0)),D1176)=0,"Check sub-category","OK"))))</f>
        <v/>
      </c>
      <c r="P1176">
        <f>IF(ISNUMBER(I1176),I1176+ROW()/10000000,"")</f>
        <v/>
      </c>
      <c r="Q1176">
        <f>IF(AND(ISNUMBER(P1176),ISNUMBER(A1176)),IF(AND(A1176&gt;=Dashboard!$Q$3,A1176&lt;=Dashboard!$Q$4,OR(J1176&lt;&gt;"Yes",Dashboard!$Q$15="Yes")),P1176,""),"")</f>
        <v/>
      </c>
    </row>
    <row r="1177">
      <c r="A1177" s="47" t="n"/>
      <c r="B1177" s="48" t="n"/>
      <c r="C1177" s="48" t="n"/>
      <c r="D1177" s="48" t="n"/>
      <c r="E1177" s="48" t="n"/>
      <c r="F1177" s="48" t="n"/>
      <c r="G1177" s="48" t="n"/>
      <c r="H1177" s="48" t="n"/>
      <c r="I1177" s="49" t="n"/>
      <c r="J1177" s="50" t="n"/>
      <c r="K1177" s="48" t="n"/>
      <c r="L1177" s="51">
        <f>IF(A1177="","",DATE(YEAR(A1177),MONTH(A1177),1))</f>
        <v/>
      </c>
      <c r="M1177" s="52">
        <f>IF(OR(A1177="",NOT(ISNUMBER(I1177))),"",IF(G1177=Lists!$B$5,I1177/2,IF(G1177=Lists!$B$6,I1177,0)))</f>
        <v/>
      </c>
      <c r="N1177" s="52">
        <f>IF(OR(A1177="",NOT(ISNUMBER(I1177))),"",IF(G1177=Lists!$B$5,I1177/2,IF(G1177=Lists!$B$7,I1177,0)))</f>
        <v/>
      </c>
      <c r="O1177" s="53">
        <f>IF(COUNTA(A1177:K1177)=0,"",IF(OR(A1177="",B1177="",C1177="",D1177="",E1177="",F1177="",G1177="",NOT(ISNUMBER(I1177))),"Incomplete",IF(COUNTIF(Lists!$H$4:$AA$4,C1177)=0,"Check category",IF(COUNTIF(INDEX(Lists!$H$6:$AA$45,0,MATCH(C1177,Lists!$H$4:$AA$4,0)),D1177)=0,"Check sub-category","OK"))))</f>
        <v/>
      </c>
      <c r="P1177">
        <f>IF(ISNUMBER(I1177),I1177+ROW()/10000000,"")</f>
        <v/>
      </c>
      <c r="Q1177">
        <f>IF(AND(ISNUMBER(P1177),ISNUMBER(A1177)),IF(AND(A1177&gt;=Dashboard!$Q$3,A1177&lt;=Dashboard!$Q$4,OR(J1177&lt;&gt;"Yes",Dashboard!$Q$15="Yes")),P1177,""),"")</f>
        <v/>
      </c>
    </row>
    <row r="1178">
      <c r="A1178" s="47" t="n"/>
      <c r="B1178" s="48" t="n"/>
      <c r="C1178" s="48" t="n"/>
      <c r="D1178" s="48" t="n"/>
      <c r="E1178" s="48" t="n"/>
      <c r="F1178" s="48" t="n"/>
      <c r="G1178" s="48" t="n"/>
      <c r="H1178" s="48" t="n"/>
      <c r="I1178" s="49" t="n"/>
      <c r="J1178" s="50" t="n"/>
      <c r="K1178" s="48" t="n"/>
      <c r="L1178" s="51">
        <f>IF(A1178="","",DATE(YEAR(A1178),MONTH(A1178),1))</f>
        <v/>
      </c>
      <c r="M1178" s="52">
        <f>IF(OR(A1178="",NOT(ISNUMBER(I1178))),"",IF(G1178=Lists!$B$5,I1178/2,IF(G1178=Lists!$B$6,I1178,0)))</f>
        <v/>
      </c>
      <c r="N1178" s="52">
        <f>IF(OR(A1178="",NOT(ISNUMBER(I1178))),"",IF(G1178=Lists!$B$5,I1178/2,IF(G1178=Lists!$B$7,I1178,0)))</f>
        <v/>
      </c>
      <c r="O1178" s="53">
        <f>IF(COUNTA(A1178:K1178)=0,"",IF(OR(A1178="",B1178="",C1178="",D1178="",E1178="",F1178="",G1178="",NOT(ISNUMBER(I1178))),"Incomplete",IF(COUNTIF(Lists!$H$4:$AA$4,C1178)=0,"Check category",IF(COUNTIF(INDEX(Lists!$H$6:$AA$45,0,MATCH(C1178,Lists!$H$4:$AA$4,0)),D1178)=0,"Check sub-category","OK"))))</f>
        <v/>
      </c>
      <c r="P1178">
        <f>IF(ISNUMBER(I1178),I1178+ROW()/10000000,"")</f>
        <v/>
      </c>
      <c r="Q1178">
        <f>IF(AND(ISNUMBER(P1178),ISNUMBER(A1178)),IF(AND(A1178&gt;=Dashboard!$Q$3,A1178&lt;=Dashboard!$Q$4,OR(J1178&lt;&gt;"Yes",Dashboard!$Q$15="Yes")),P1178,""),"")</f>
        <v/>
      </c>
    </row>
    <row r="1179">
      <c r="A1179" s="47" t="n"/>
      <c r="B1179" s="48" t="n"/>
      <c r="C1179" s="48" t="n"/>
      <c r="D1179" s="48" t="n"/>
      <c r="E1179" s="48" t="n"/>
      <c r="F1179" s="48" t="n"/>
      <c r="G1179" s="48" t="n"/>
      <c r="H1179" s="48" t="n"/>
      <c r="I1179" s="49" t="n"/>
      <c r="J1179" s="50" t="n"/>
      <c r="K1179" s="48" t="n"/>
      <c r="L1179" s="51">
        <f>IF(A1179="","",DATE(YEAR(A1179),MONTH(A1179),1))</f>
        <v/>
      </c>
      <c r="M1179" s="52">
        <f>IF(OR(A1179="",NOT(ISNUMBER(I1179))),"",IF(G1179=Lists!$B$5,I1179/2,IF(G1179=Lists!$B$6,I1179,0)))</f>
        <v/>
      </c>
      <c r="N1179" s="52">
        <f>IF(OR(A1179="",NOT(ISNUMBER(I1179))),"",IF(G1179=Lists!$B$5,I1179/2,IF(G1179=Lists!$B$7,I1179,0)))</f>
        <v/>
      </c>
      <c r="O1179" s="53">
        <f>IF(COUNTA(A1179:K1179)=0,"",IF(OR(A1179="",B1179="",C1179="",D1179="",E1179="",F1179="",G1179="",NOT(ISNUMBER(I1179))),"Incomplete",IF(COUNTIF(Lists!$H$4:$AA$4,C1179)=0,"Check category",IF(COUNTIF(INDEX(Lists!$H$6:$AA$45,0,MATCH(C1179,Lists!$H$4:$AA$4,0)),D1179)=0,"Check sub-category","OK"))))</f>
        <v/>
      </c>
      <c r="P1179">
        <f>IF(ISNUMBER(I1179),I1179+ROW()/10000000,"")</f>
        <v/>
      </c>
      <c r="Q1179">
        <f>IF(AND(ISNUMBER(P1179),ISNUMBER(A1179)),IF(AND(A1179&gt;=Dashboard!$Q$3,A1179&lt;=Dashboard!$Q$4,OR(J1179&lt;&gt;"Yes",Dashboard!$Q$15="Yes")),P1179,""),"")</f>
        <v/>
      </c>
    </row>
    <row r="1180">
      <c r="A1180" s="47" t="n"/>
      <c r="B1180" s="48" t="n"/>
      <c r="C1180" s="48" t="n"/>
      <c r="D1180" s="48" t="n"/>
      <c r="E1180" s="48" t="n"/>
      <c r="F1180" s="48" t="n"/>
      <c r="G1180" s="48" t="n"/>
      <c r="H1180" s="48" t="n"/>
      <c r="I1180" s="49" t="n"/>
      <c r="J1180" s="50" t="n"/>
      <c r="K1180" s="48" t="n"/>
      <c r="L1180" s="51">
        <f>IF(A1180="","",DATE(YEAR(A1180),MONTH(A1180),1))</f>
        <v/>
      </c>
      <c r="M1180" s="52">
        <f>IF(OR(A1180="",NOT(ISNUMBER(I1180))),"",IF(G1180=Lists!$B$5,I1180/2,IF(G1180=Lists!$B$6,I1180,0)))</f>
        <v/>
      </c>
      <c r="N1180" s="52">
        <f>IF(OR(A1180="",NOT(ISNUMBER(I1180))),"",IF(G1180=Lists!$B$5,I1180/2,IF(G1180=Lists!$B$7,I1180,0)))</f>
        <v/>
      </c>
      <c r="O1180" s="53">
        <f>IF(COUNTA(A1180:K1180)=0,"",IF(OR(A1180="",B1180="",C1180="",D1180="",E1180="",F1180="",G1180="",NOT(ISNUMBER(I1180))),"Incomplete",IF(COUNTIF(Lists!$H$4:$AA$4,C1180)=0,"Check category",IF(COUNTIF(INDEX(Lists!$H$6:$AA$45,0,MATCH(C1180,Lists!$H$4:$AA$4,0)),D1180)=0,"Check sub-category","OK"))))</f>
        <v/>
      </c>
      <c r="P1180">
        <f>IF(ISNUMBER(I1180),I1180+ROW()/10000000,"")</f>
        <v/>
      </c>
      <c r="Q1180">
        <f>IF(AND(ISNUMBER(P1180),ISNUMBER(A1180)),IF(AND(A1180&gt;=Dashboard!$Q$3,A1180&lt;=Dashboard!$Q$4,OR(J1180&lt;&gt;"Yes",Dashboard!$Q$15="Yes")),P1180,""),"")</f>
        <v/>
      </c>
    </row>
    <row r="1181">
      <c r="A1181" s="47" t="n"/>
      <c r="B1181" s="48" t="n"/>
      <c r="C1181" s="48" t="n"/>
      <c r="D1181" s="48" t="n"/>
      <c r="E1181" s="48" t="n"/>
      <c r="F1181" s="48" t="n"/>
      <c r="G1181" s="48" t="n"/>
      <c r="H1181" s="48" t="n"/>
      <c r="I1181" s="49" t="n"/>
      <c r="J1181" s="50" t="n"/>
      <c r="K1181" s="48" t="n"/>
      <c r="L1181" s="51">
        <f>IF(A1181="","",DATE(YEAR(A1181),MONTH(A1181),1))</f>
        <v/>
      </c>
      <c r="M1181" s="52">
        <f>IF(OR(A1181="",NOT(ISNUMBER(I1181))),"",IF(G1181=Lists!$B$5,I1181/2,IF(G1181=Lists!$B$6,I1181,0)))</f>
        <v/>
      </c>
      <c r="N1181" s="52">
        <f>IF(OR(A1181="",NOT(ISNUMBER(I1181))),"",IF(G1181=Lists!$B$5,I1181/2,IF(G1181=Lists!$B$7,I1181,0)))</f>
        <v/>
      </c>
      <c r="O1181" s="53">
        <f>IF(COUNTA(A1181:K1181)=0,"",IF(OR(A1181="",B1181="",C1181="",D1181="",E1181="",F1181="",G1181="",NOT(ISNUMBER(I1181))),"Incomplete",IF(COUNTIF(Lists!$H$4:$AA$4,C1181)=0,"Check category",IF(COUNTIF(INDEX(Lists!$H$6:$AA$45,0,MATCH(C1181,Lists!$H$4:$AA$4,0)),D1181)=0,"Check sub-category","OK"))))</f>
        <v/>
      </c>
      <c r="P1181">
        <f>IF(ISNUMBER(I1181),I1181+ROW()/10000000,"")</f>
        <v/>
      </c>
      <c r="Q1181">
        <f>IF(AND(ISNUMBER(P1181),ISNUMBER(A1181)),IF(AND(A1181&gt;=Dashboard!$Q$3,A1181&lt;=Dashboard!$Q$4,OR(J1181&lt;&gt;"Yes",Dashboard!$Q$15="Yes")),P1181,""),"")</f>
        <v/>
      </c>
    </row>
    <row r="1182">
      <c r="A1182" s="47" t="n"/>
      <c r="B1182" s="48" t="n"/>
      <c r="C1182" s="48" t="n"/>
      <c r="D1182" s="48" t="n"/>
      <c r="E1182" s="48" t="n"/>
      <c r="F1182" s="48" t="n"/>
      <c r="G1182" s="48" t="n"/>
      <c r="H1182" s="48" t="n"/>
      <c r="I1182" s="49" t="n"/>
      <c r="J1182" s="50" t="n"/>
      <c r="K1182" s="48" t="n"/>
      <c r="L1182" s="51">
        <f>IF(A1182="","",DATE(YEAR(A1182),MONTH(A1182),1))</f>
        <v/>
      </c>
      <c r="M1182" s="52">
        <f>IF(OR(A1182="",NOT(ISNUMBER(I1182))),"",IF(G1182=Lists!$B$5,I1182/2,IF(G1182=Lists!$B$6,I1182,0)))</f>
        <v/>
      </c>
      <c r="N1182" s="52">
        <f>IF(OR(A1182="",NOT(ISNUMBER(I1182))),"",IF(G1182=Lists!$B$5,I1182/2,IF(G1182=Lists!$B$7,I1182,0)))</f>
        <v/>
      </c>
      <c r="O1182" s="53">
        <f>IF(COUNTA(A1182:K1182)=0,"",IF(OR(A1182="",B1182="",C1182="",D1182="",E1182="",F1182="",G1182="",NOT(ISNUMBER(I1182))),"Incomplete",IF(COUNTIF(Lists!$H$4:$AA$4,C1182)=0,"Check category",IF(COUNTIF(INDEX(Lists!$H$6:$AA$45,0,MATCH(C1182,Lists!$H$4:$AA$4,0)),D1182)=0,"Check sub-category","OK"))))</f>
        <v/>
      </c>
      <c r="P1182">
        <f>IF(ISNUMBER(I1182),I1182+ROW()/10000000,"")</f>
        <v/>
      </c>
      <c r="Q1182">
        <f>IF(AND(ISNUMBER(P1182),ISNUMBER(A1182)),IF(AND(A1182&gt;=Dashboard!$Q$3,A1182&lt;=Dashboard!$Q$4,OR(J1182&lt;&gt;"Yes",Dashboard!$Q$15="Yes")),P1182,""),"")</f>
        <v/>
      </c>
    </row>
    <row r="1183">
      <c r="A1183" s="47" t="n"/>
      <c r="B1183" s="48" t="n"/>
      <c r="C1183" s="48" t="n"/>
      <c r="D1183" s="48" t="n"/>
      <c r="E1183" s="48" t="n"/>
      <c r="F1183" s="48" t="n"/>
      <c r="G1183" s="48" t="n"/>
      <c r="H1183" s="48" t="n"/>
      <c r="I1183" s="49" t="n"/>
      <c r="J1183" s="50" t="n"/>
      <c r="K1183" s="48" t="n"/>
      <c r="L1183" s="51">
        <f>IF(A1183="","",DATE(YEAR(A1183),MONTH(A1183),1))</f>
        <v/>
      </c>
      <c r="M1183" s="52">
        <f>IF(OR(A1183="",NOT(ISNUMBER(I1183))),"",IF(G1183=Lists!$B$5,I1183/2,IF(G1183=Lists!$B$6,I1183,0)))</f>
        <v/>
      </c>
      <c r="N1183" s="52">
        <f>IF(OR(A1183="",NOT(ISNUMBER(I1183))),"",IF(G1183=Lists!$B$5,I1183/2,IF(G1183=Lists!$B$7,I1183,0)))</f>
        <v/>
      </c>
      <c r="O1183" s="53">
        <f>IF(COUNTA(A1183:K1183)=0,"",IF(OR(A1183="",B1183="",C1183="",D1183="",E1183="",F1183="",G1183="",NOT(ISNUMBER(I1183))),"Incomplete",IF(COUNTIF(Lists!$H$4:$AA$4,C1183)=0,"Check category",IF(COUNTIF(INDEX(Lists!$H$6:$AA$45,0,MATCH(C1183,Lists!$H$4:$AA$4,0)),D1183)=0,"Check sub-category","OK"))))</f>
        <v/>
      </c>
      <c r="P1183">
        <f>IF(ISNUMBER(I1183),I1183+ROW()/10000000,"")</f>
        <v/>
      </c>
      <c r="Q1183">
        <f>IF(AND(ISNUMBER(P1183),ISNUMBER(A1183)),IF(AND(A1183&gt;=Dashboard!$Q$3,A1183&lt;=Dashboard!$Q$4,OR(J1183&lt;&gt;"Yes",Dashboard!$Q$15="Yes")),P1183,""),"")</f>
        <v/>
      </c>
    </row>
    <row r="1184">
      <c r="A1184" s="47" t="n"/>
      <c r="B1184" s="48" t="n"/>
      <c r="C1184" s="48" t="n"/>
      <c r="D1184" s="48" t="n"/>
      <c r="E1184" s="48" t="n"/>
      <c r="F1184" s="48" t="n"/>
      <c r="G1184" s="48" t="n"/>
      <c r="H1184" s="48" t="n"/>
      <c r="I1184" s="49" t="n"/>
      <c r="J1184" s="50" t="n"/>
      <c r="K1184" s="48" t="n"/>
      <c r="L1184" s="51">
        <f>IF(A1184="","",DATE(YEAR(A1184),MONTH(A1184),1))</f>
        <v/>
      </c>
      <c r="M1184" s="52">
        <f>IF(OR(A1184="",NOT(ISNUMBER(I1184))),"",IF(G1184=Lists!$B$5,I1184/2,IF(G1184=Lists!$B$6,I1184,0)))</f>
        <v/>
      </c>
      <c r="N1184" s="52">
        <f>IF(OR(A1184="",NOT(ISNUMBER(I1184))),"",IF(G1184=Lists!$B$5,I1184/2,IF(G1184=Lists!$B$7,I1184,0)))</f>
        <v/>
      </c>
      <c r="O1184" s="53">
        <f>IF(COUNTA(A1184:K1184)=0,"",IF(OR(A1184="",B1184="",C1184="",D1184="",E1184="",F1184="",G1184="",NOT(ISNUMBER(I1184))),"Incomplete",IF(COUNTIF(Lists!$H$4:$AA$4,C1184)=0,"Check category",IF(COUNTIF(INDEX(Lists!$H$6:$AA$45,0,MATCH(C1184,Lists!$H$4:$AA$4,0)),D1184)=0,"Check sub-category","OK"))))</f>
        <v/>
      </c>
      <c r="P1184">
        <f>IF(ISNUMBER(I1184),I1184+ROW()/10000000,"")</f>
        <v/>
      </c>
      <c r="Q1184">
        <f>IF(AND(ISNUMBER(P1184),ISNUMBER(A1184)),IF(AND(A1184&gt;=Dashboard!$Q$3,A1184&lt;=Dashboard!$Q$4,OR(J1184&lt;&gt;"Yes",Dashboard!$Q$15="Yes")),P1184,""),"")</f>
        <v/>
      </c>
    </row>
    <row r="1185">
      <c r="A1185" s="47" t="n"/>
      <c r="B1185" s="48" t="n"/>
      <c r="C1185" s="48" t="n"/>
      <c r="D1185" s="48" t="n"/>
      <c r="E1185" s="48" t="n"/>
      <c r="F1185" s="48" t="n"/>
      <c r="G1185" s="48" t="n"/>
      <c r="H1185" s="48" t="n"/>
      <c r="I1185" s="49" t="n"/>
      <c r="J1185" s="50" t="n"/>
      <c r="K1185" s="48" t="n"/>
      <c r="L1185" s="51">
        <f>IF(A1185="","",DATE(YEAR(A1185),MONTH(A1185),1))</f>
        <v/>
      </c>
      <c r="M1185" s="52">
        <f>IF(OR(A1185="",NOT(ISNUMBER(I1185))),"",IF(G1185=Lists!$B$5,I1185/2,IF(G1185=Lists!$B$6,I1185,0)))</f>
        <v/>
      </c>
      <c r="N1185" s="52">
        <f>IF(OR(A1185="",NOT(ISNUMBER(I1185))),"",IF(G1185=Lists!$B$5,I1185/2,IF(G1185=Lists!$B$7,I1185,0)))</f>
        <v/>
      </c>
      <c r="O1185" s="53">
        <f>IF(COUNTA(A1185:K1185)=0,"",IF(OR(A1185="",B1185="",C1185="",D1185="",E1185="",F1185="",G1185="",NOT(ISNUMBER(I1185))),"Incomplete",IF(COUNTIF(Lists!$H$4:$AA$4,C1185)=0,"Check category",IF(COUNTIF(INDEX(Lists!$H$6:$AA$45,0,MATCH(C1185,Lists!$H$4:$AA$4,0)),D1185)=0,"Check sub-category","OK"))))</f>
        <v/>
      </c>
      <c r="P1185">
        <f>IF(ISNUMBER(I1185),I1185+ROW()/10000000,"")</f>
        <v/>
      </c>
      <c r="Q1185">
        <f>IF(AND(ISNUMBER(P1185),ISNUMBER(A1185)),IF(AND(A1185&gt;=Dashboard!$Q$3,A1185&lt;=Dashboard!$Q$4,OR(J1185&lt;&gt;"Yes",Dashboard!$Q$15="Yes")),P1185,""),"")</f>
        <v/>
      </c>
    </row>
    <row r="1186">
      <c r="A1186" s="47" t="n"/>
      <c r="B1186" s="48" t="n"/>
      <c r="C1186" s="48" t="n"/>
      <c r="D1186" s="48" t="n"/>
      <c r="E1186" s="48" t="n"/>
      <c r="F1186" s="48" t="n"/>
      <c r="G1186" s="48" t="n"/>
      <c r="H1186" s="48" t="n"/>
      <c r="I1186" s="49" t="n"/>
      <c r="J1186" s="50" t="n"/>
      <c r="K1186" s="48" t="n"/>
      <c r="L1186" s="51">
        <f>IF(A1186="","",DATE(YEAR(A1186),MONTH(A1186),1))</f>
        <v/>
      </c>
      <c r="M1186" s="52">
        <f>IF(OR(A1186="",NOT(ISNUMBER(I1186))),"",IF(G1186=Lists!$B$5,I1186/2,IF(G1186=Lists!$B$6,I1186,0)))</f>
        <v/>
      </c>
      <c r="N1186" s="52">
        <f>IF(OR(A1186="",NOT(ISNUMBER(I1186))),"",IF(G1186=Lists!$B$5,I1186/2,IF(G1186=Lists!$B$7,I1186,0)))</f>
        <v/>
      </c>
      <c r="O1186" s="53">
        <f>IF(COUNTA(A1186:K1186)=0,"",IF(OR(A1186="",B1186="",C1186="",D1186="",E1186="",F1186="",G1186="",NOT(ISNUMBER(I1186))),"Incomplete",IF(COUNTIF(Lists!$H$4:$AA$4,C1186)=0,"Check category",IF(COUNTIF(INDEX(Lists!$H$6:$AA$45,0,MATCH(C1186,Lists!$H$4:$AA$4,0)),D1186)=0,"Check sub-category","OK"))))</f>
        <v/>
      </c>
      <c r="P1186">
        <f>IF(ISNUMBER(I1186),I1186+ROW()/10000000,"")</f>
        <v/>
      </c>
      <c r="Q1186">
        <f>IF(AND(ISNUMBER(P1186),ISNUMBER(A1186)),IF(AND(A1186&gt;=Dashboard!$Q$3,A1186&lt;=Dashboard!$Q$4,OR(J1186&lt;&gt;"Yes",Dashboard!$Q$15="Yes")),P1186,""),"")</f>
        <v/>
      </c>
    </row>
    <row r="1187">
      <c r="A1187" s="47" t="n"/>
      <c r="B1187" s="48" t="n"/>
      <c r="C1187" s="48" t="n"/>
      <c r="D1187" s="48" t="n"/>
      <c r="E1187" s="48" t="n"/>
      <c r="F1187" s="48" t="n"/>
      <c r="G1187" s="48" t="n"/>
      <c r="H1187" s="48" t="n"/>
      <c r="I1187" s="49" t="n"/>
      <c r="J1187" s="50" t="n"/>
      <c r="K1187" s="48" t="n"/>
      <c r="L1187" s="51">
        <f>IF(A1187="","",DATE(YEAR(A1187),MONTH(A1187),1))</f>
        <v/>
      </c>
      <c r="M1187" s="52">
        <f>IF(OR(A1187="",NOT(ISNUMBER(I1187))),"",IF(G1187=Lists!$B$5,I1187/2,IF(G1187=Lists!$B$6,I1187,0)))</f>
        <v/>
      </c>
      <c r="N1187" s="52">
        <f>IF(OR(A1187="",NOT(ISNUMBER(I1187))),"",IF(G1187=Lists!$B$5,I1187/2,IF(G1187=Lists!$B$7,I1187,0)))</f>
        <v/>
      </c>
      <c r="O1187" s="53">
        <f>IF(COUNTA(A1187:K1187)=0,"",IF(OR(A1187="",B1187="",C1187="",D1187="",E1187="",F1187="",G1187="",NOT(ISNUMBER(I1187))),"Incomplete",IF(COUNTIF(Lists!$H$4:$AA$4,C1187)=0,"Check category",IF(COUNTIF(INDEX(Lists!$H$6:$AA$45,0,MATCH(C1187,Lists!$H$4:$AA$4,0)),D1187)=0,"Check sub-category","OK"))))</f>
        <v/>
      </c>
      <c r="P1187">
        <f>IF(ISNUMBER(I1187),I1187+ROW()/10000000,"")</f>
        <v/>
      </c>
      <c r="Q1187">
        <f>IF(AND(ISNUMBER(P1187),ISNUMBER(A1187)),IF(AND(A1187&gt;=Dashboard!$Q$3,A1187&lt;=Dashboard!$Q$4,OR(J1187&lt;&gt;"Yes",Dashboard!$Q$15="Yes")),P1187,""),"")</f>
        <v/>
      </c>
    </row>
    <row r="1188">
      <c r="A1188" s="47" t="n"/>
      <c r="B1188" s="48" t="n"/>
      <c r="C1188" s="48" t="n"/>
      <c r="D1188" s="48" t="n"/>
      <c r="E1188" s="48" t="n"/>
      <c r="F1188" s="48" t="n"/>
      <c r="G1188" s="48" t="n"/>
      <c r="H1188" s="48" t="n"/>
      <c r="I1188" s="49" t="n"/>
      <c r="J1188" s="50" t="n"/>
      <c r="K1188" s="48" t="n"/>
      <c r="L1188" s="51">
        <f>IF(A1188="","",DATE(YEAR(A1188),MONTH(A1188),1))</f>
        <v/>
      </c>
      <c r="M1188" s="52">
        <f>IF(OR(A1188="",NOT(ISNUMBER(I1188))),"",IF(G1188=Lists!$B$5,I1188/2,IF(G1188=Lists!$B$6,I1188,0)))</f>
        <v/>
      </c>
      <c r="N1188" s="52">
        <f>IF(OR(A1188="",NOT(ISNUMBER(I1188))),"",IF(G1188=Lists!$B$5,I1188/2,IF(G1188=Lists!$B$7,I1188,0)))</f>
        <v/>
      </c>
      <c r="O1188" s="53">
        <f>IF(COUNTA(A1188:K1188)=0,"",IF(OR(A1188="",B1188="",C1188="",D1188="",E1188="",F1188="",G1188="",NOT(ISNUMBER(I1188))),"Incomplete",IF(COUNTIF(Lists!$H$4:$AA$4,C1188)=0,"Check category",IF(COUNTIF(INDEX(Lists!$H$6:$AA$45,0,MATCH(C1188,Lists!$H$4:$AA$4,0)),D1188)=0,"Check sub-category","OK"))))</f>
        <v/>
      </c>
      <c r="P1188">
        <f>IF(ISNUMBER(I1188),I1188+ROW()/10000000,"")</f>
        <v/>
      </c>
      <c r="Q1188">
        <f>IF(AND(ISNUMBER(P1188),ISNUMBER(A1188)),IF(AND(A1188&gt;=Dashboard!$Q$3,A1188&lt;=Dashboard!$Q$4,OR(J1188&lt;&gt;"Yes",Dashboard!$Q$15="Yes")),P1188,""),"")</f>
        <v/>
      </c>
    </row>
    <row r="1189">
      <c r="A1189" s="47" t="n"/>
      <c r="B1189" s="48" t="n"/>
      <c r="C1189" s="48" t="n"/>
      <c r="D1189" s="48" t="n"/>
      <c r="E1189" s="48" t="n"/>
      <c r="F1189" s="48" t="n"/>
      <c r="G1189" s="48" t="n"/>
      <c r="H1189" s="48" t="n"/>
      <c r="I1189" s="49" t="n"/>
      <c r="J1189" s="50" t="n"/>
      <c r="K1189" s="48" t="n"/>
      <c r="L1189" s="51">
        <f>IF(A1189="","",DATE(YEAR(A1189),MONTH(A1189),1))</f>
        <v/>
      </c>
      <c r="M1189" s="52">
        <f>IF(OR(A1189="",NOT(ISNUMBER(I1189))),"",IF(G1189=Lists!$B$5,I1189/2,IF(G1189=Lists!$B$6,I1189,0)))</f>
        <v/>
      </c>
      <c r="N1189" s="52">
        <f>IF(OR(A1189="",NOT(ISNUMBER(I1189))),"",IF(G1189=Lists!$B$5,I1189/2,IF(G1189=Lists!$B$7,I1189,0)))</f>
        <v/>
      </c>
      <c r="O1189" s="53">
        <f>IF(COUNTA(A1189:K1189)=0,"",IF(OR(A1189="",B1189="",C1189="",D1189="",E1189="",F1189="",G1189="",NOT(ISNUMBER(I1189))),"Incomplete",IF(COUNTIF(Lists!$H$4:$AA$4,C1189)=0,"Check category",IF(COUNTIF(INDEX(Lists!$H$6:$AA$45,0,MATCH(C1189,Lists!$H$4:$AA$4,0)),D1189)=0,"Check sub-category","OK"))))</f>
        <v/>
      </c>
      <c r="P1189">
        <f>IF(ISNUMBER(I1189),I1189+ROW()/10000000,"")</f>
        <v/>
      </c>
      <c r="Q1189">
        <f>IF(AND(ISNUMBER(P1189),ISNUMBER(A1189)),IF(AND(A1189&gt;=Dashboard!$Q$3,A1189&lt;=Dashboard!$Q$4,OR(J1189&lt;&gt;"Yes",Dashboard!$Q$15="Yes")),P1189,""),"")</f>
        <v/>
      </c>
    </row>
    <row r="1190">
      <c r="A1190" s="47" t="n"/>
      <c r="B1190" s="48" t="n"/>
      <c r="C1190" s="48" t="n"/>
      <c r="D1190" s="48" t="n"/>
      <c r="E1190" s="48" t="n"/>
      <c r="F1190" s="48" t="n"/>
      <c r="G1190" s="48" t="n"/>
      <c r="H1190" s="48" t="n"/>
      <c r="I1190" s="49" t="n"/>
      <c r="J1190" s="50" t="n"/>
      <c r="K1190" s="48" t="n"/>
      <c r="L1190" s="51">
        <f>IF(A1190="","",DATE(YEAR(A1190),MONTH(A1190),1))</f>
        <v/>
      </c>
      <c r="M1190" s="52">
        <f>IF(OR(A1190="",NOT(ISNUMBER(I1190))),"",IF(G1190=Lists!$B$5,I1190/2,IF(G1190=Lists!$B$6,I1190,0)))</f>
        <v/>
      </c>
      <c r="N1190" s="52">
        <f>IF(OR(A1190="",NOT(ISNUMBER(I1190))),"",IF(G1190=Lists!$B$5,I1190/2,IF(G1190=Lists!$B$7,I1190,0)))</f>
        <v/>
      </c>
      <c r="O1190" s="53">
        <f>IF(COUNTA(A1190:K1190)=0,"",IF(OR(A1190="",B1190="",C1190="",D1190="",E1190="",F1190="",G1190="",NOT(ISNUMBER(I1190))),"Incomplete",IF(COUNTIF(Lists!$H$4:$AA$4,C1190)=0,"Check category",IF(COUNTIF(INDEX(Lists!$H$6:$AA$45,0,MATCH(C1190,Lists!$H$4:$AA$4,0)),D1190)=0,"Check sub-category","OK"))))</f>
        <v/>
      </c>
      <c r="P1190">
        <f>IF(ISNUMBER(I1190),I1190+ROW()/10000000,"")</f>
        <v/>
      </c>
      <c r="Q1190">
        <f>IF(AND(ISNUMBER(P1190),ISNUMBER(A1190)),IF(AND(A1190&gt;=Dashboard!$Q$3,A1190&lt;=Dashboard!$Q$4,OR(J1190&lt;&gt;"Yes",Dashboard!$Q$15="Yes")),P1190,""),"")</f>
        <v/>
      </c>
    </row>
    <row r="1191">
      <c r="A1191" s="47" t="n"/>
      <c r="B1191" s="48" t="n"/>
      <c r="C1191" s="48" t="n"/>
      <c r="D1191" s="48" t="n"/>
      <c r="E1191" s="48" t="n"/>
      <c r="F1191" s="48" t="n"/>
      <c r="G1191" s="48" t="n"/>
      <c r="H1191" s="48" t="n"/>
      <c r="I1191" s="49" t="n"/>
      <c r="J1191" s="50" t="n"/>
      <c r="K1191" s="48" t="n"/>
      <c r="L1191" s="51">
        <f>IF(A1191="","",DATE(YEAR(A1191),MONTH(A1191),1))</f>
        <v/>
      </c>
      <c r="M1191" s="52">
        <f>IF(OR(A1191="",NOT(ISNUMBER(I1191))),"",IF(G1191=Lists!$B$5,I1191/2,IF(G1191=Lists!$B$6,I1191,0)))</f>
        <v/>
      </c>
      <c r="N1191" s="52">
        <f>IF(OR(A1191="",NOT(ISNUMBER(I1191))),"",IF(G1191=Lists!$B$5,I1191/2,IF(G1191=Lists!$B$7,I1191,0)))</f>
        <v/>
      </c>
      <c r="O1191" s="53">
        <f>IF(COUNTA(A1191:K1191)=0,"",IF(OR(A1191="",B1191="",C1191="",D1191="",E1191="",F1191="",G1191="",NOT(ISNUMBER(I1191))),"Incomplete",IF(COUNTIF(Lists!$H$4:$AA$4,C1191)=0,"Check category",IF(COUNTIF(INDEX(Lists!$H$6:$AA$45,0,MATCH(C1191,Lists!$H$4:$AA$4,0)),D1191)=0,"Check sub-category","OK"))))</f>
        <v/>
      </c>
      <c r="P1191">
        <f>IF(ISNUMBER(I1191),I1191+ROW()/10000000,"")</f>
        <v/>
      </c>
      <c r="Q1191">
        <f>IF(AND(ISNUMBER(P1191),ISNUMBER(A1191)),IF(AND(A1191&gt;=Dashboard!$Q$3,A1191&lt;=Dashboard!$Q$4,OR(J1191&lt;&gt;"Yes",Dashboard!$Q$15="Yes")),P1191,""),"")</f>
        <v/>
      </c>
    </row>
    <row r="1192">
      <c r="A1192" s="47" t="n"/>
      <c r="B1192" s="48" t="n"/>
      <c r="C1192" s="48" t="n"/>
      <c r="D1192" s="48" t="n"/>
      <c r="E1192" s="48" t="n"/>
      <c r="F1192" s="48" t="n"/>
      <c r="G1192" s="48" t="n"/>
      <c r="H1192" s="48" t="n"/>
      <c r="I1192" s="49" t="n"/>
      <c r="J1192" s="50" t="n"/>
      <c r="K1192" s="48" t="n"/>
      <c r="L1192" s="51">
        <f>IF(A1192="","",DATE(YEAR(A1192),MONTH(A1192),1))</f>
        <v/>
      </c>
      <c r="M1192" s="52">
        <f>IF(OR(A1192="",NOT(ISNUMBER(I1192))),"",IF(G1192=Lists!$B$5,I1192/2,IF(G1192=Lists!$B$6,I1192,0)))</f>
        <v/>
      </c>
      <c r="N1192" s="52">
        <f>IF(OR(A1192="",NOT(ISNUMBER(I1192))),"",IF(G1192=Lists!$B$5,I1192/2,IF(G1192=Lists!$B$7,I1192,0)))</f>
        <v/>
      </c>
      <c r="O1192" s="53">
        <f>IF(COUNTA(A1192:K1192)=0,"",IF(OR(A1192="",B1192="",C1192="",D1192="",E1192="",F1192="",G1192="",NOT(ISNUMBER(I1192))),"Incomplete",IF(COUNTIF(Lists!$H$4:$AA$4,C1192)=0,"Check category",IF(COUNTIF(INDEX(Lists!$H$6:$AA$45,0,MATCH(C1192,Lists!$H$4:$AA$4,0)),D1192)=0,"Check sub-category","OK"))))</f>
        <v/>
      </c>
      <c r="P1192">
        <f>IF(ISNUMBER(I1192),I1192+ROW()/10000000,"")</f>
        <v/>
      </c>
      <c r="Q1192">
        <f>IF(AND(ISNUMBER(P1192),ISNUMBER(A1192)),IF(AND(A1192&gt;=Dashboard!$Q$3,A1192&lt;=Dashboard!$Q$4,OR(J1192&lt;&gt;"Yes",Dashboard!$Q$15="Yes")),P1192,""),"")</f>
        <v/>
      </c>
    </row>
    <row r="1193">
      <c r="A1193" s="47" t="n"/>
      <c r="B1193" s="48" t="n"/>
      <c r="C1193" s="48" t="n"/>
      <c r="D1193" s="48" t="n"/>
      <c r="E1193" s="48" t="n"/>
      <c r="F1193" s="48" t="n"/>
      <c r="G1193" s="48" t="n"/>
      <c r="H1193" s="48" t="n"/>
      <c r="I1193" s="49" t="n"/>
      <c r="J1193" s="50" t="n"/>
      <c r="K1193" s="48" t="n"/>
      <c r="L1193" s="51">
        <f>IF(A1193="","",DATE(YEAR(A1193),MONTH(A1193),1))</f>
        <v/>
      </c>
      <c r="M1193" s="52">
        <f>IF(OR(A1193="",NOT(ISNUMBER(I1193))),"",IF(G1193=Lists!$B$5,I1193/2,IF(G1193=Lists!$B$6,I1193,0)))</f>
        <v/>
      </c>
      <c r="N1193" s="52">
        <f>IF(OR(A1193="",NOT(ISNUMBER(I1193))),"",IF(G1193=Lists!$B$5,I1193/2,IF(G1193=Lists!$B$7,I1193,0)))</f>
        <v/>
      </c>
      <c r="O1193" s="53">
        <f>IF(COUNTA(A1193:K1193)=0,"",IF(OR(A1193="",B1193="",C1193="",D1193="",E1193="",F1193="",G1193="",NOT(ISNUMBER(I1193))),"Incomplete",IF(COUNTIF(Lists!$H$4:$AA$4,C1193)=0,"Check category",IF(COUNTIF(INDEX(Lists!$H$6:$AA$45,0,MATCH(C1193,Lists!$H$4:$AA$4,0)),D1193)=0,"Check sub-category","OK"))))</f>
        <v/>
      </c>
      <c r="P1193">
        <f>IF(ISNUMBER(I1193),I1193+ROW()/10000000,"")</f>
        <v/>
      </c>
      <c r="Q1193">
        <f>IF(AND(ISNUMBER(P1193),ISNUMBER(A1193)),IF(AND(A1193&gt;=Dashboard!$Q$3,A1193&lt;=Dashboard!$Q$4,OR(J1193&lt;&gt;"Yes",Dashboard!$Q$15="Yes")),P1193,""),"")</f>
        <v/>
      </c>
    </row>
    <row r="1194">
      <c r="A1194" s="47" t="n"/>
      <c r="B1194" s="48" t="n"/>
      <c r="C1194" s="48" t="n"/>
      <c r="D1194" s="48" t="n"/>
      <c r="E1194" s="48" t="n"/>
      <c r="F1194" s="48" t="n"/>
      <c r="G1194" s="48" t="n"/>
      <c r="H1194" s="48" t="n"/>
      <c r="I1194" s="49" t="n"/>
      <c r="J1194" s="50" t="n"/>
      <c r="K1194" s="48" t="n"/>
      <c r="L1194" s="51">
        <f>IF(A1194="","",DATE(YEAR(A1194),MONTH(A1194),1))</f>
        <v/>
      </c>
      <c r="M1194" s="52">
        <f>IF(OR(A1194="",NOT(ISNUMBER(I1194))),"",IF(G1194=Lists!$B$5,I1194/2,IF(G1194=Lists!$B$6,I1194,0)))</f>
        <v/>
      </c>
      <c r="N1194" s="52">
        <f>IF(OR(A1194="",NOT(ISNUMBER(I1194))),"",IF(G1194=Lists!$B$5,I1194/2,IF(G1194=Lists!$B$7,I1194,0)))</f>
        <v/>
      </c>
      <c r="O1194" s="53">
        <f>IF(COUNTA(A1194:K1194)=0,"",IF(OR(A1194="",B1194="",C1194="",D1194="",E1194="",F1194="",G1194="",NOT(ISNUMBER(I1194))),"Incomplete",IF(COUNTIF(Lists!$H$4:$AA$4,C1194)=0,"Check category",IF(COUNTIF(INDEX(Lists!$H$6:$AA$45,0,MATCH(C1194,Lists!$H$4:$AA$4,0)),D1194)=0,"Check sub-category","OK"))))</f>
        <v/>
      </c>
      <c r="P1194">
        <f>IF(ISNUMBER(I1194),I1194+ROW()/10000000,"")</f>
        <v/>
      </c>
      <c r="Q1194">
        <f>IF(AND(ISNUMBER(P1194),ISNUMBER(A1194)),IF(AND(A1194&gt;=Dashboard!$Q$3,A1194&lt;=Dashboard!$Q$4,OR(J1194&lt;&gt;"Yes",Dashboard!$Q$15="Yes")),P1194,""),"")</f>
        <v/>
      </c>
    </row>
    <row r="1195">
      <c r="A1195" s="47" t="n"/>
      <c r="B1195" s="48" t="n"/>
      <c r="C1195" s="48" t="n"/>
      <c r="D1195" s="48" t="n"/>
      <c r="E1195" s="48" t="n"/>
      <c r="F1195" s="48" t="n"/>
      <c r="G1195" s="48" t="n"/>
      <c r="H1195" s="48" t="n"/>
      <c r="I1195" s="49" t="n"/>
      <c r="J1195" s="50" t="n"/>
      <c r="K1195" s="48" t="n"/>
      <c r="L1195" s="51">
        <f>IF(A1195="","",DATE(YEAR(A1195),MONTH(A1195),1))</f>
        <v/>
      </c>
      <c r="M1195" s="52">
        <f>IF(OR(A1195="",NOT(ISNUMBER(I1195))),"",IF(G1195=Lists!$B$5,I1195/2,IF(G1195=Lists!$B$6,I1195,0)))</f>
        <v/>
      </c>
      <c r="N1195" s="52">
        <f>IF(OR(A1195="",NOT(ISNUMBER(I1195))),"",IF(G1195=Lists!$B$5,I1195/2,IF(G1195=Lists!$B$7,I1195,0)))</f>
        <v/>
      </c>
      <c r="O1195" s="53">
        <f>IF(COUNTA(A1195:K1195)=0,"",IF(OR(A1195="",B1195="",C1195="",D1195="",E1195="",F1195="",G1195="",NOT(ISNUMBER(I1195))),"Incomplete",IF(COUNTIF(Lists!$H$4:$AA$4,C1195)=0,"Check category",IF(COUNTIF(INDEX(Lists!$H$6:$AA$45,0,MATCH(C1195,Lists!$H$4:$AA$4,0)),D1195)=0,"Check sub-category","OK"))))</f>
        <v/>
      </c>
      <c r="P1195">
        <f>IF(ISNUMBER(I1195),I1195+ROW()/10000000,"")</f>
        <v/>
      </c>
      <c r="Q1195">
        <f>IF(AND(ISNUMBER(P1195),ISNUMBER(A1195)),IF(AND(A1195&gt;=Dashboard!$Q$3,A1195&lt;=Dashboard!$Q$4,OR(J1195&lt;&gt;"Yes",Dashboard!$Q$15="Yes")),P1195,""),"")</f>
        <v/>
      </c>
    </row>
    <row r="1196">
      <c r="A1196" s="47" t="n"/>
      <c r="B1196" s="48" t="n"/>
      <c r="C1196" s="48" t="n"/>
      <c r="D1196" s="48" t="n"/>
      <c r="E1196" s="48" t="n"/>
      <c r="F1196" s="48" t="n"/>
      <c r="G1196" s="48" t="n"/>
      <c r="H1196" s="48" t="n"/>
      <c r="I1196" s="49" t="n"/>
      <c r="J1196" s="50" t="n"/>
      <c r="K1196" s="48" t="n"/>
      <c r="L1196" s="51">
        <f>IF(A1196="","",DATE(YEAR(A1196),MONTH(A1196),1))</f>
        <v/>
      </c>
      <c r="M1196" s="52">
        <f>IF(OR(A1196="",NOT(ISNUMBER(I1196))),"",IF(G1196=Lists!$B$5,I1196/2,IF(G1196=Lists!$B$6,I1196,0)))</f>
        <v/>
      </c>
      <c r="N1196" s="52">
        <f>IF(OR(A1196="",NOT(ISNUMBER(I1196))),"",IF(G1196=Lists!$B$5,I1196/2,IF(G1196=Lists!$B$7,I1196,0)))</f>
        <v/>
      </c>
      <c r="O1196" s="53">
        <f>IF(COUNTA(A1196:K1196)=0,"",IF(OR(A1196="",B1196="",C1196="",D1196="",E1196="",F1196="",G1196="",NOT(ISNUMBER(I1196))),"Incomplete",IF(COUNTIF(Lists!$H$4:$AA$4,C1196)=0,"Check category",IF(COUNTIF(INDEX(Lists!$H$6:$AA$45,0,MATCH(C1196,Lists!$H$4:$AA$4,0)),D1196)=0,"Check sub-category","OK"))))</f>
        <v/>
      </c>
      <c r="P1196">
        <f>IF(ISNUMBER(I1196),I1196+ROW()/10000000,"")</f>
        <v/>
      </c>
      <c r="Q1196">
        <f>IF(AND(ISNUMBER(P1196),ISNUMBER(A1196)),IF(AND(A1196&gt;=Dashboard!$Q$3,A1196&lt;=Dashboard!$Q$4,OR(J1196&lt;&gt;"Yes",Dashboard!$Q$15="Yes")),P1196,""),"")</f>
        <v/>
      </c>
    </row>
    <row r="1197">
      <c r="A1197" s="47" t="n"/>
      <c r="B1197" s="48" t="n"/>
      <c r="C1197" s="48" t="n"/>
      <c r="D1197" s="48" t="n"/>
      <c r="E1197" s="48" t="n"/>
      <c r="F1197" s="48" t="n"/>
      <c r="G1197" s="48" t="n"/>
      <c r="H1197" s="48" t="n"/>
      <c r="I1197" s="49" t="n"/>
      <c r="J1197" s="50" t="n"/>
      <c r="K1197" s="48" t="n"/>
      <c r="L1197" s="51">
        <f>IF(A1197="","",DATE(YEAR(A1197),MONTH(A1197),1))</f>
        <v/>
      </c>
      <c r="M1197" s="52">
        <f>IF(OR(A1197="",NOT(ISNUMBER(I1197))),"",IF(G1197=Lists!$B$5,I1197/2,IF(G1197=Lists!$B$6,I1197,0)))</f>
        <v/>
      </c>
      <c r="N1197" s="52">
        <f>IF(OR(A1197="",NOT(ISNUMBER(I1197))),"",IF(G1197=Lists!$B$5,I1197/2,IF(G1197=Lists!$B$7,I1197,0)))</f>
        <v/>
      </c>
      <c r="O1197" s="53">
        <f>IF(COUNTA(A1197:K1197)=0,"",IF(OR(A1197="",B1197="",C1197="",D1197="",E1197="",F1197="",G1197="",NOT(ISNUMBER(I1197))),"Incomplete",IF(COUNTIF(Lists!$H$4:$AA$4,C1197)=0,"Check category",IF(COUNTIF(INDEX(Lists!$H$6:$AA$45,0,MATCH(C1197,Lists!$H$4:$AA$4,0)),D1197)=0,"Check sub-category","OK"))))</f>
        <v/>
      </c>
      <c r="P1197">
        <f>IF(ISNUMBER(I1197),I1197+ROW()/10000000,"")</f>
        <v/>
      </c>
      <c r="Q1197">
        <f>IF(AND(ISNUMBER(P1197),ISNUMBER(A1197)),IF(AND(A1197&gt;=Dashboard!$Q$3,A1197&lt;=Dashboard!$Q$4,OR(J1197&lt;&gt;"Yes",Dashboard!$Q$15="Yes")),P1197,""),"")</f>
        <v/>
      </c>
    </row>
    <row r="1198">
      <c r="A1198" s="47" t="n"/>
      <c r="B1198" s="48" t="n"/>
      <c r="C1198" s="48" t="n"/>
      <c r="D1198" s="48" t="n"/>
      <c r="E1198" s="48" t="n"/>
      <c r="F1198" s="48" t="n"/>
      <c r="G1198" s="48" t="n"/>
      <c r="H1198" s="48" t="n"/>
      <c r="I1198" s="49" t="n"/>
      <c r="J1198" s="50" t="n"/>
      <c r="K1198" s="48" t="n"/>
      <c r="L1198" s="51">
        <f>IF(A1198="","",DATE(YEAR(A1198),MONTH(A1198),1))</f>
        <v/>
      </c>
      <c r="M1198" s="52">
        <f>IF(OR(A1198="",NOT(ISNUMBER(I1198))),"",IF(G1198=Lists!$B$5,I1198/2,IF(G1198=Lists!$B$6,I1198,0)))</f>
        <v/>
      </c>
      <c r="N1198" s="52">
        <f>IF(OR(A1198="",NOT(ISNUMBER(I1198))),"",IF(G1198=Lists!$B$5,I1198/2,IF(G1198=Lists!$B$7,I1198,0)))</f>
        <v/>
      </c>
      <c r="O1198" s="53">
        <f>IF(COUNTA(A1198:K1198)=0,"",IF(OR(A1198="",B1198="",C1198="",D1198="",E1198="",F1198="",G1198="",NOT(ISNUMBER(I1198))),"Incomplete",IF(COUNTIF(Lists!$H$4:$AA$4,C1198)=0,"Check category",IF(COUNTIF(INDEX(Lists!$H$6:$AA$45,0,MATCH(C1198,Lists!$H$4:$AA$4,0)),D1198)=0,"Check sub-category","OK"))))</f>
        <v/>
      </c>
      <c r="P1198">
        <f>IF(ISNUMBER(I1198),I1198+ROW()/10000000,"")</f>
        <v/>
      </c>
      <c r="Q1198">
        <f>IF(AND(ISNUMBER(P1198),ISNUMBER(A1198)),IF(AND(A1198&gt;=Dashboard!$Q$3,A1198&lt;=Dashboard!$Q$4,OR(J1198&lt;&gt;"Yes",Dashboard!$Q$15="Yes")),P1198,""),"")</f>
        <v/>
      </c>
    </row>
    <row r="1199">
      <c r="A1199" s="47" t="n"/>
      <c r="B1199" s="48" t="n"/>
      <c r="C1199" s="48" t="n"/>
      <c r="D1199" s="48" t="n"/>
      <c r="E1199" s="48" t="n"/>
      <c r="F1199" s="48" t="n"/>
      <c r="G1199" s="48" t="n"/>
      <c r="H1199" s="48" t="n"/>
      <c r="I1199" s="49" t="n"/>
      <c r="J1199" s="50" t="n"/>
      <c r="K1199" s="48" t="n"/>
      <c r="L1199" s="51">
        <f>IF(A1199="","",DATE(YEAR(A1199),MONTH(A1199),1))</f>
        <v/>
      </c>
      <c r="M1199" s="52">
        <f>IF(OR(A1199="",NOT(ISNUMBER(I1199))),"",IF(G1199=Lists!$B$5,I1199/2,IF(G1199=Lists!$B$6,I1199,0)))</f>
        <v/>
      </c>
      <c r="N1199" s="52">
        <f>IF(OR(A1199="",NOT(ISNUMBER(I1199))),"",IF(G1199=Lists!$B$5,I1199/2,IF(G1199=Lists!$B$7,I1199,0)))</f>
        <v/>
      </c>
      <c r="O1199" s="53">
        <f>IF(COUNTA(A1199:K1199)=0,"",IF(OR(A1199="",B1199="",C1199="",D1199="",E1199="",F1199="",G1199="",NOT(ISNUMBER(I1199))),"Incomplete",IF(COUNTIF(Lists!$H$4:$AA$4,C1199)=0,"Check category",IF(COUNTIF(INDEX(Lists!$H$6:$AA$45,0,MATCH(C1199,Lists!$H$4:$AA$4,0)),D1199)=0,"Check sub-category","OK"))))</f>
        <v/>
      </c>
      <c r="P1199">
        <f>IF(ISNUMBER(I1199),I1199+ROW()/10000000,"")</f>
        <v/>
      </c>
      <c r="Q1199">
        <f>IF(AND(ISNUMBER(P1199),ISNUMBER(A1199)),IF(AND(A1199&gt;=Dashboard!$Q$3,A1199&lt;=Dashboard!$Q$4,OR(J1199&lt;&gt;"Yes",Dashboard!$Q$15="Yes")),P1199,""),"")</f>
        <v/>
      </c>
    </row>
    <row r="1200">
      <c r="A1200" s="47" t="n"/>
      <c r="B1200" s="48" t="n"/>
      <c r="C1200" s="48" t="n"/>
      <c r="D1200" s="48" t="n"/>
      <c r="E1200" s="48" t="n"/>
      <c r="F1200" s="48" t="n"/>
      <c r="G1200" s="48" t="n"/>
      <c r="H1200" s="48" t="n"/>
      <c r="I1200" s="49" t="n"/>
      <c r="J1200" s="50" t="n"/>
      <c r="K1200" s="48" t="n"/>
      <c r="L1200" s="51">
        <f>IF(A1200="","",DATE(YEAR(A1200),MONTH(A1200),1))</f>
        <v/>
      </c>
      <c r="M1200" s="52">
        <f>IF(OR(A1200="",NOT(ISNUMBER(I1200))),"",IF(G1200=Lists!$B$5,I1200/2,IF(G1200=Lists!$B$6,I1200,0)))</f>
        <v/>
      </c>
      <c r="N1200" s="52">
        <f>IF(OR(A1200="",NOT(ISNUMBER(I1200))),"",IF(G1200=Lists!$B$5,I1200/2,IF(G1200=Lists!$B$7,I1200,0)))</f>
        <v/>
      </c>
      <c r="O1200" s="53">
        <f>IF(COUNTA(A1200:K1200)=0,"",IF(OR(A1200="",B1200="",C1200="",D1200="",E1200="",F1200="",G1200="",NOT(ISNUMBER(I1200))),"Incomplete",IF(COUNTIF(Lists!$H$4:$AA$4,C1200)=0,"Check category",IF(COUNTIF(INDEX(Lists!$H$6:$AA$45,0,MATCH(C1200,Lists!$H$4:$AA$4,0)),D1200)=0,"Check sub-category","OK"))))</f>
        <v/>
      </c>
      <c r="P1200">
        <f>IF(ISNUMBER(I1200),I1200+ROW()/10000000,"")</f>
        <v/>
      </c>
      <c r="Q1200">
        <f>IF(AND(ISNUMBER(P1200),ISNUMBER(A1200)),IF(AND(A1200&gt;=Dashboard!$Q$3,A1200&lt;=Dashboard!$Q$4,OR(J1200&lt;&gt;"Yes",Dashboard!$Q$15="Yes")),P1200,""),"")</f>
        <v/>
      </c>
    </row>
    <row r="1201">
      <c r="A1201" s="47" t="n"/>
      <c r="B1201" s="48" t="n"/>
      <c r="C1201" s="48" t="n"/>
      <c r="D1201" s="48" t="n"/>
      <c r="E1201" s="48" t="n"/>
      <c r="F1201" s="48" t="n"/>
      <c r="G1201" s="48" t="n"/>
      <c r="H1201" s="48" t="n"/>
      <c r="I1201" s="49" t="n"/>
      <c r="J1201" s="50" t="n"/>
      <c r="K1201" s="48" t="n"/>
      <c r="L1201" s="51">
        <f>IF(A1201="","",DATE(YEAR(A1201),MONTH(A1201),1))</f>
        <v/>
      </c>
      <c r="M1201" s="52">
        <f>IF(OR(A1201="",NOT(ISNUMBER(I1201))),"",IF(G1201=Lists!$B$5,I1201/2,IF(G1201=Lists!$B$6,I1201,0)))</f>
        <v/>
      </c>
      <c r="N1201" s="52">
        <f>IF(OR(A1201="",NOT(ISNUMBER(I1201))),"",IF(G1201=Lists!$B$5,I1201/2,IF(G1201=Lists!$B$7,I1201,0)))</f>
        <v/>
      </c>
      <c r="O1201" s="53">
        <f>IF(COUNTA(A1201:K1201)=0,"",IF(OR(A1201="",B1201="",C1201="",D1201="",E1201="",F1201="",G1201="",NOT(ISNUMBER(I1201))),"Incomplete",IF(COUNTIF(Lists!$H$4:$AA$4,C1201)=0,"Check category",IF(COUNTIF(INDEX(Lists!$H$6:$AA$45,0,MATCH(C1201,Lists!$H$4:$AA$4,0)),D1201)=0,"Check sub-category","OK"))))</f>
        <v/>
      </c>
      <c r="P1201">
        <f>IF(ISNUMBER(I1201),I1201+ROW()/10000000,"")</f>
        <v/>
      </c>
      <c r="Q1201">
        <f>IF(AND(ISNUMBER(P1201),ISNUMBER(A1201)),IF(AND(A1201&gt;=Dashboard!$Q$3,A1201&lt;=Dashboard!$Q$4,OR(J1201&lt;&gt;"Yes",Dashboard!$Q$15="Yes")),P1201,""),"")</f>
        <v/>
      </c>
    </row>
    <row r="1202">
      <c r="A1202" s="47" t="n"/>
      <c r="B1202" s="48" t="n"/>
      <c r="C1202" s="48" t="n"/>
      <c r="D1202" s="48" t="n"/>
      <c r="E1202" s="48" t="n"/>
      <c r="F1202" s="48" t="n"/>
      <c r="G1202" s="48" t="n"/>
      <c r="H1202" s="48" t="n"/>
      <c r="I1202" s="49" t="n"/>
      <c r="J1202" s="50" t="n"/>
      <c r="K1202" s="48" t="n"/>
      <c r="L1202" s="51">
        <f>IF(A1202="","",DATE(YEAR(A1202),MONTH(A1202),1))</f>
        <v/>
      </c>
      <c r="M1202" s="52">
        <f>IF(OR(A1202="",NOT(ISNUMBER(I1202))),"",IF(G1202=Lists!$B$5,I1202/2,IF(G1202=Lists!$B$6,I1202,0)))</f>
        <v/>
      </c>
      <c r="N1202" s="52">
        <f>IF(OR(A1202="",NOT(ISNUMBER(I1202))),"",IF(G1202=Lists!$B$5,I1202/2,IF(G1202=Lists!$B$7,I1202,0)))</f>
        <v/>
      </c>
      <c r="O1202" s="53">
        <f>IF(COUNTA(A1202:K1202)=0,"",IF(OR(A1202="",B1202="",C1202="",D1202="",E1202="",F1202="",G1202="",NOT(ISNUMBER(I1202))),"Incomplete",IF(COUNTIF(Lists!$H$4:$AA$4,C1202)=0,"Check category",IF(COUNTIF(INDEX(Lists!$H$6:$AA$45,0,MATCH(C1202,Lists!$H$4:$AA$4,0)),D1202)=0,"Check sub-category","OK"))))</f>
        <v/>
      </c>
      <c r="P1202">
        <f>IF(ISNUMBER(I1202),I1202+ROW()/10000000,"")</f>
        <v/>
      </c>
      <c r="Q1202">
        <f>IF(AND(ISNUMBER(P1202),ISNUMBER(A1202)),IF(AND(A1202&gt;=Dashboard!$Q$3,A1202&lt;=Dashboard!$Q$4,OR(J1202&lt;&gt;"Yes",Dashboard!$Q$15="Yes")),P1202,""),"")</f>
        <v/>
      </c>
    </row>
    <row r="1203">
      <c r="A1203" s="47" t="n"/>
      <c r="B1203" s="48" t="n"/>
      <c r="C1203" s="48" t="n"/>
      <c r="D1203" s="48" t="n"/>
      <c r="E1203" s="48" t="n"/>
      <c r="F1203" s="48" t="n"/>
      <c r="G1203" s="48" t="n"/>
      <c r="H1203" s="48" t="n"/>
      <c r="I1203" s="49" t="n"/>
      <c r="J1203" s="50" t="n"/>
      <c r="K1203" s="48" t="n"/>
      <c r="L1203" s="51">
        <f>IF(A1203="","",DATE(YEAR(A1203),MONTH(A1203),1))</f>
        <v/>
      </c>
      <c r="M1203" s="52">
        <f>IF(OR(A1203="",NOT(ISNUMBER(I1203))),"",IF(G1203=Lists!$B$5,I1203/2,IF(G1203=Lists!$B$6,I1203,0)))</f>
        <v/>
      </c>
      <c r="N1203" s="52">
        <f>IF(OR(A1203="",NOT(ISNUMBER(I1203))),"",IF(G1203=Lists!$B$5,I1203/2,IF(G1203=Lists!$B$7,I1203,0)))</f>
        <v/>
      </c>
      <c r="O1203" s="53">
        <f>IF(COUNTA(A1203:K1203)=0,"",IF(OR(A1203="",B1203="",C1203="",D1203="",E1203="",F1203="",G1203="",NOT(ISNUMBER(I1203))),"Incomplete",IF(COUNTIF(Lists!$H$4:$AA$4,C1203)=0,"Check category",IF(COUNTIF(INDEX(Lists!$H$6:$AA$45,0,MATCH(C1203,Lists!$H$4:$AA$4,0)),D1203)=0,"Check sub-category","OK"))))</f>
        <v/>
      </c>
      <c r="P1203">
        <f>IF(ISNUMBER(I1203),I1203+ROW()/10000000,"")</f>
        <v/>
      </c>
      <c r="Q1203">
        <f>IF(AND(ISNUMBER(P1203),ISNUMBER(A1203)),IF(AND(A1203&gt;=Dashboard!$Q$3,A1203&lt;=Dashboard!$Q$4,OR(J1203&lt;&gt;"Yes",Dashboard!$Q$15="Yes")),P1203,""),"")</f>
        <v/>
      </c>
    </row>
    <row r="1204">
      <c r="A1204" s="47" t="n"/>
      <c r="B1204" s="48" t="n"/>
      <c r="C1204" s="48" t="n"/>
      <c r="D1204" s="48" t="n"/>
      <c r="E1204" s="48" t="n"/>
      <c r="F1204" s="48" t="n"/>
      <c r="G1204" s="48" t="n"/>
      <c r="H1204" s="48" t="n"/>
      <c r="I1204" s="49" t="n"/>
      <c r="J1204" s="50" t="n"/>
      <c r="K1204" s="48" t="n"/>
      <c r="L1204" s="51">
        <f>IF(A1204="","",DATE(YEAR(A1204),MONTH(A1204),1))</f>
        <v/>
      </c>
      <c r="M1204" s="52">
        <f>IF(OR(A1204="",NOT(ISNUMBER(I1204))),"",IF(G1204=Lists!$B$5,I1204/2,IF(G1204=Lists!$B$6,I1204,0)))</f>
        <v/>
      </c>
      <c r="N1204" s="52">
        <f>IF(OR(A1204="",NOT(ISNUMBER(I1204))),"",IF(G1204=Lists!$B$5,I1204/2,IF(G1204=Lists!$B$7,I1204,0)))</f>
        <v/>
      </c>
      <c r="O1204" s="53">
        <f>IF(COUNTA(A1204:K1204)=0,"",IF(OR(A1204="",B1204="",C1204="",D1204="",E1204="",F1204="",G1204="",NOT(ISNUMBER(I1204))),"Incomplete",IF(COUNTIF(Lists!$H$4:$AA$4,C1204)=0,"Check category",IF(COUNTIF(INDEX(Lists!$H$6:$AA$45,0,MATCH(C1204,Lists!$H$4:$AA$4,0)),D1204)=0,"Check sub-category","OK"))))</f>
        <v/>
      </c>
      <c r="P1204">
        <f>IF(ISNUMBER(I1204),I1204+ROW()/10000000,"")</f>
        <v/>
      </c>
      <c r="Q1204">
        <f>IF(AND(ISNUMBER(P1204),ISNUMBER(A1204)),IF(AND(A1204&gt;=Dashboard!$Q$3,A1204&lt;=Dashboard!$Q$4,OR(J1204&lt;&gt;"Yes",Dashboard!$Q$15="Yes")),P1204,""),"")</f>
        <v/>
      </c>
    </row>
    <row r="1205">
      <c r="A1205" s="47" t="n"/>
      <c r="B1205" s="48" t="n"/>
      <c r="C1205" s="48" t="n"/>
      <c r="D1205" s="48" t="n"/>
      <c r="E1205" s="48" t="n"/>
      <c r="F1205" s="48" t="n"/>
      <c r="G1205" s="48" t="n"/>
      <c r="H1205" s="48" t="n"/>
      <c r="I1205" s="49" t="n"/>
      <c r="J1205" s="50" t="n"/>
      <c r="K1205" s="48" t="n"/>
      <c r="L1205" s="51">
        <f>IF(A1205="","",DATE(YEAR(A1205),MONTH(A1205),1))</f>
        <v/>
      </c>
      <c r="M1205" s="52">
        <f>IF(OR(A1205="",NOT(ISNUMBER(I1205))),"",IF(G1205=Lists!$B$5,I1205/2,IF(G1205=Lists!$B$6,I1205,0)))</f>
        <v/>
      </c>
      <c r="N1205" s="52">
        <f>IF(OR(A1205="",NOT(ISNUMBER(I1205))),"",IF(G1205=Lists!$B$5,I1205/2,IF(G1205=Lists!$B$7,I1205,0)))</f>
        <v/>
      </c>
      <c r="O1205" s="53">
        <f>IF(COUNTA(A1205:K1205)=0,"",IF(OR(A1205="",B1205="",C1205="",D1205="",E1205="",F1205="",G1205="",NOT(ISNUMBER(I1205))),"Incomplete",IF(COUNTIF(Lists!$H$4:$AA$4,C1205)=0,"Check category",IF(COUNTIF(INDEX(Lists!$H$6:$AA$45,0,MATCH(C1205,Lists!$H$4:$AA$4,0)),D1205)=0,"Check sub-category","OK"))))</f>
        <v/>
      </c>
      <c r="P1205">
        <f>IF(ISNUMBER(I1205),I1205+ROW()/10000000,"")</f>
        <v/>
      </c>
      <c r="Q1205">
        <f>IF(AND(ISNUMBER(P1205),ISNUMBER(A1205)),IF(AND(A1205&gt;=Dashboard!$Q$3,A1205&lt;=Dashboard!$Q$4,OR(J1205&lt;&gt;"Yes",Dashboard!$Q$15="Yes")),P1205,""),"")</f>
        <v/>
      </c>
    </row>
    <row r="1206">
      <c r="A1206" s="47" t="n"/>
      <c r="B1206" s="48" t="n"/>
      <c r="C1206" s="48" t="n"/>
      <c r="D1206" s="48" t="n"/>
      <c r="E1206" s="48" t="n"/>
      <c r="F1206" s="48" t="n"/>
      <c r="G1206" s="48" t="n"/>
      <c r="H1206" s="48" t="n"/>
      <c r="I1206" s="49" t="n"/>
      <c r="J1206" s="50" t="n"/>
      <c r="K1206" s="48" t="n"/>
      <c r="L1206" s="51">
        <f>IF(A1206="","",DATE(YEAR(A1206),MONTH(A1206),1))</f>
        <v/>
      </c>
      <c r="M1206" s="52">
        <f>IF(OR(A1206="",NOT(ISNUMBER(I1206))),"",IF(G1206=Lists!$B$5,I1206/2,IF(G1206=Lists!$B$6,I1206,0)))</f>
        <v/>
      </c>
      <c r="N1206" s="52">
        <f>IF(OR(A1206="",NOT(ISNUMBER(I1206))),"",IF(G1206=Lists!$B$5,I1206/2,IF(G1206=Lists!$B$7,I1206,0)))</f>
        <v/>
      </c>
      <c r="O1206" s="53">
        <f>IF(COUNTA(A1206:K1206)=0,"",IF(OR(A1206="",B1206="",C1206="",D1206="",E1206="",F1206="",G1206="",NOT(ISNUMBER(I1206))),"Incomplete",IF(COUNTIF(Lists!$H$4:$AA$4,C1206)=0,"Check category",IF(COUNTIF(INDEX(Lists!$H$6:$AA$45,0,MATCH(C1206,Lists!$H$4:$AA$4,0)),D1206)=0,"Check sub-category","OK"))))</f>
        <v/>
      </c>
      <c r="P1206">
        <f>IF(ISNUMBER(I1206),I1206+ROW()/10000000,"")</f>
        <v/>
      </c>
      <c r="Q1206">
        <f>IF(AND(ISNUMBER(P1206),ISNUMBER(A1206)),IF(AND(A1206&gt;=Dashboard!$Q$3,A1206&lt;=Dashboard!$Q$4,OR(J1206&lt;&gt;"Yes",Dashboard!$Q$15="Yes")),P1206,""),"")</f>
        <v/>
      </c>
    </row>
    <row r="1207">
      <c r="A1207" s="47" t="n"/>
      <c r="B1207" s="48" t="n"/>
      <c r="C1207" s="48" t="n"/>
      <c r="D1207" s="48" t="n"/>
      <c r="E1207" s="48" t="n"/>
      <c r="F1207" s="48" t="n"/>
      <c r="G1207" s="48" t="n"/>
      <c r="H1207" s="48" t="n"/>
      <c r="I1207" s="49" t="n"/>
      <c r="J1207" s="50" t="n"/>
      <c r="K1207" s="48" t="n"/>
      <c r="L1207" s="51">
        <f>IF(A1207="","",DATE(YEAR(A1207),MONTH(A1207),1))</f>
        <v/>
      </c>
      <c r="M1207" s="52">
        <f>IF(OR(A1207="",NOT(ISNUMBER(I1207))),"",IF(G1207=Lists!$B$5,I1207/2,IF(G1207=Lists!$B$6,I1207,0)))</f>
        <v/>
      </c>
      <c r="N1207" s="52">
        <f>IF(OR(A1207="",NOT(ISNUMBER(I1207))),"",IF(G1207=Lists!$B$5,I1207/2,IF(G1207=Lists!$B$7,I1207,0)))</f>
        <v/>
      </c>
      <c r="O1207" s="53">
        <f>IF(COUNTA(A1207:K1207)=0,"",IF(OR(A1207="",B1207="",C1207="",D1207="",E1207="",F1207="",G1207="",NOT(ISNUMBER(I1207))),"Incomplete",IF(COUNTIF(Lists!$H$4:$AA$4,C1207)=0,"Check category",IF(COUNTIF(INDEX(Lists!$H$6:$AA$45,0,MATCH(C1207,Lists!$H$4:$AA$4,0)),D1207)=0,"Check sub-category","OK"))))</f>
        <v/>
      </c>
      <c r="P1207">
        <f>IF(ISNUMBER(I1207),I1207+ROW()/10000000,"")</f>
        <v/>
      </c>
      <c r="Q1207">
        <f>IF(AND(ISNUMBER(P1207),ISNUMBER(A1207)),IF(AND(A1207&gt;=Dashboard!$Q$3,A1207&lt;=Dashboard!$Q$4,OR(J1207&lt;&gt;"Yes",Dashboard!$Q$15="Yes")),P1207,""),"")</f>
        <v/>
      </c>
    </row>
    <row r="1208">
      <c r="A1208" s="47" t="n"/>
      <c r="B1208" s="48" t="n"/>
      <c r="C1208" s="48" t="n"/>
      <c r="D1208" s="48" t="n"/>
      <c r="E1208" s="48" t="n"/>
      <c r="F1208" s="48" t="n"/>
      <c r="G1208" s="48" t="n"/>
      <c r="H1208" s="48" t="n"/>
      <c r="I1208" s="49" t="n"/>
      <c r="J1208" s="50" t="n"/>
      <c r="K1208" s="48" t="n"/>
      <c r="L1208" s="51">
        <f>IF(A1208="","",DATE(YEAR(A1208),MONTH(A1208),1))</f>
        <v/>
      </c>
      <c r="M1208" s="52">
        <f>IF(OR(A1208="",NOT(ISNUMBER(I1208))),"",IF(G1208=Lists!$B$5,I1208/2,IF(G1208=Lists!$B$6,I1208,0)))</f>
        <v/>
      </c>
      <c r="N1208" s="52">
        <f>IF(OR(A1208="",NOT(ISNUMBER(I1208))),"",IF(G1208=Lists!$B$5,I1208/2,IF(G1208=Lists!$B$7,I1208,0)))</f>
        <v/>
      </c>
      <c r="O1208" s="53">
        <f>IF(COUNTA(A1208:K1208)=0,"",IF(OR(A1208="",B1208="",C1208="",D1208="",E1208="",F1208="",G1208="",NOT(ISNUMBER(I1208))),"Incomplete",IF(COUNTIF(Lists!$H$4:$AA$4,C1208)=0,"Check category",IF(COUNTIF(INDEX(Lists!$H$6:$AA$45,0,MATCH(C1208,Lists!$H$4:$AA$4,0)),D1208)=0,"Check sub-category","OK"))))</f>
        <v/>
      </c>
      <c r="P1208">
        <f>IF(ISNUMBER(I1208),I1208+ROW()/10000000,"")</f>
        <v/>
      </c>
      <c r="Q1208">
        <f>IF(AND(ISNUMBER(P1208),ISNUMBER(A1208)),IF(AND(A1208&gt;=Dashboard!$Q$3,A1208&lt;=Dashboard!$Q$4,OR(J1208&lt;&gt;"Yes",Dashboard!$Q$15="Yes")),P1208,""),"")</f>
        <v/>
      </c>
    </row>
    <row r="1209">
      <c r="A1209" s="47" t="n"/>
      <c r="B1209" s="48" t="n"/>
      <c r="C1209" s="48" t="n"/>
      <c r="D1209" s="48" t="n"/>
      <c r="E1209" s="48" t="n"/>
      <c r="F1209" s="48" t="n"/>
      <c r="G1209" s="48" t="n"/>
      <c r="H1209" s="48" t="n"/>
      <c r="I1209" s="49" t="n"/>
      <c r="J1209" s="50" t="n"/>
      <c r="K1209" s="48" t="n"/>
      <c r="L1209" s="51">
        <f>IF(A1209="","",DATE(YEAR(A1209),MONTH(A1209),1))</f>
        <v/>
      </c>
      <c r="M1209" s="52">
        <f>IF(OR(A1209="",NOT(ISNUMBER(I1209))),"",IF(G1209=Lists!$B$5,I1209/2,IF(G1209=Lists!$B$6,I1209,0)))</f>
        <v/>
      </c>
      <c r="N1209" s="52">
        <f>IF(OR(A1209="",NOT(ISNUMBER(I1209))),"",IF(G1209=Lists!$B$5,I1209/2,IF(G1209=Lists!$B$7,I1209,0)))</f>
        <v/>
      </c>
      <c r="O1209" s="53">
        <f>IF(COUNTA(A1209:K1209)=0,"",IF(OR(A1209="",B1209="",C1209="",D1209="",E1209="",F1209="",G1209="",NOT(ISNUMBER(I1209))),"Incomplete",IF(COUNTIF(Lists!$H$4:$AA$4,C1209)=0,"Check category",IF(COUNTIF(INDEX(Lists!$H$6:$AA$45,0,MATCH(C1209,Lists!$H$4:$AA$4,0)),D1209)=0,"Check sub-category","OK"))))</f>
        <v/>
      </c>
      <c r="P1209">
        <f>IF(ISNUMBER(I1209),I1209+ROW()/10000000,"")</f>
        <v/>
      </c>
      <c r="Q1209">
        <f>IF(AND(ISNUMBER(P1209),ISNUMBER(A1209)),IF(AND(A1209&gt;=Dashboard!$Q$3,A1209&lt;=Dashboard!$Q$4,OR(J1209&lt;&gt;"Yes",Dashboard!$Q$15="Yes")),P1209,""),"")</f>
        <v/>
      </c>
    </row>
    <row r="1210">
      <c r="A1210" s="47" t="n"/>
      <c r="B1210" s="48" t="n"/>
      <c r="C1210" s="48" t="n"/>
      <c r="D1210" s="48" t="n"/>
      <c r="E1210" s="48" t="n"/>
      <c r="F1210" s="48" t="n"/>
      <c r="G1210" s="48" t="n"/>
      <c r="H1210" s="48" t="n"/>
      <c r="I1210" s="49" t="n"/>
      <c r="J1210" s="50" t="n"/>
      <c r="K1210" s="48" t="n"/>
      <c r="L1210" s="51">
        <f>IF(A1210="","",DATE(YEAR(A1210),MONTH(A1210),1))</f>
        <v/>
      </c>
      <c r="M1210" s="52">
        <f>IF(OR(A1210="",NOT(ISNUMBER(I1210))),"",IF(G1210=Lists!$B$5,I1210/2,IF(G1210=Lists!$B$6,I1210,0)))</f>
        <v/>
      </c>
      <c r="N1210" s="52">
        <f>IF(OR(A1210="",NOT(ISNUMBER(I1210))),"",IF(G1210=Lists!$B$5,I1210/2,IF(G1210=Lists!$B$7,I1210,0)))</f>
        <v/>
      </c>
      <c r="O1210" s="53">
        <f>IF(COUNTA(A1210:K1210)=0,"",IF(OR(A1210="",B1210="",C1210="",D1210="",E1210="",F1210="",G1210="",NOT(ISNUMBER(I1210))),"Incomplete",IF(COUNTIF(Lists!$H$4:$AA$4,C1210)=0,"Check category",IF(COUNTIF(INDEX(Lists!$H$6:$AA$45,0,MATCH(C1210,Lists!$H$4:$AA$4,0)),D1210)=0,"Check sub-category","OK"))))</f>
        <v/>
      </c>
      <c r="P1210">
        <f>IF(ISNUMBER(I1210),I1210+ROW()/10000000,"")</f>
        <v/>
      </c>
      <c r="Q1210">
        <f>IF(AND(ISNUMBER(P1210),ISNUMBER(A1210)),IF(AND(A1210&gt;=Dashboard!$Q$3,A1210&lt;=Dashboard!$Q$4,OR(J1210&lt;&gt;"Yes",Dashboard!$Q$15="Yes")),P1210,""),"")</f>
        <v/>
      </c>
    </row>
    <row r="1211">
      <c r="A1211" s="47" t="n"/>
      <c r="B1211" s="48" t="n"/>
      <c r="C1211" s="48" t="n"/>
      <c r="D1211" s="48" t="n"/>
      <c r="E1211" s="48" t="n"/>
      <c r="F1211" s="48" t="n"/>
      <c r="G1211" s="48" t="n"/>
      <c r="H1211" s="48" t="n"/>
      <c r="I1211" s="49" t="n"/>
      <c r="J1211" s="50" t="n"/>
      <c r="K1211" s="48" t="n"/>
      <c r="L1211" s="51">
        <f>IF(A1211="","",DATE(YEAR(A1211),MONTH(A1211),1))</f>
        <v/>
      </c>
      <c r="M1211" s="52">
        <f>IF(OR(A1211="",NOT(ISNUMBER(I1211))),"",IF(G1211=Lists!$B$5,I1211/2,IF(G1211=Lists!$B$6,I1211,0)))</f>
        <v/>
      </c>
      <c r="N1211" s="52">
        <f>IF(OR(A1211="",NOT(ISNUMBER(I1211))),"",IF(G1211=Lists!$B$5,I1211/2,IF(G1211=Lists!$B$7,I1211,0)))</f>
        <v/>
      </c>
      <c r="O1211" s="53">
        <f>IF(COUNTA(A1211:K1211)=0,"",IF(OR(A1211="",B1211="",C1211="",D1211="",E1211="",F1211="",G1211="",NOT(ISNUMBER(I1211))),"Incomplete",IF(COUNTIF(Lists!$H$4:$AA$4,C1211)=0,"Check category",IF(COUNTIF(INDEX(Lists!$H$6:$AA$45,0,MATCH(C1211,Lists!$H$4:$AA$4,0)),D1211)=0,"Check sub-category","OK"))))</f>
        <v/>
      </c>
      <c r="P1211">
        <f>IF(ISNUMBER(I1211),I1211+ROW()/10000000,"")</f>
        <v/>
      </c>
      <c r="Q1211">
        <f>IF(AND(ISNUMBER(P1211),ISNUMBER(A1211)),IF(AND(A1211&gt;=Dashboard!$Q$3,A1211&lt;=Dashboard!$Q$4,OR(J1211&lt;&gt;"Yes",Dashboard!$Q$15="Yes")),P1211,""),"")</f>
        <v/>
      </c>
    </row>
    <row r="1212">
      <c r="A1212" s="47" t="n"/>
      <c r="B1212" s="48" t="n"/>
      <c r="C1212" s="48" t="n"/>
      <c r="D1212" s="48" t="n"/>
      <c r="E1212" s="48" t="n"/>
      <c r="F1212" s="48" t="n"/>
      <c r="G1212" s="48" t="n"/>
      <c r="H1212" s="48" t="n"/>
      <c r="I1212" s="49" t="n"/>
      <c r="J1212" s="50" t="n"/>
      <c r="K1212" s="48" t="n"/>
      <c r="L1212" s="51">
        <f>IF(A1212="","",DATE(YEAR(A1212),MONTH(A1212),1))</f>
        <v/>
      </c>
      <c r="M1212" s="52">
        <f>IF(OR(A1212="",NOT(ISNUMBER(I1212))),"",IF(G1212=Lists!$B$5,I1212/2,IF(G1212=Lists!$B$6,I1212,0)))</f>
        <v/>
      </c>
      <c r="N1212" s="52">
        <f>IF(OR(A1212="",NOT(ISNUMBER(I1212))),"",IF(G1212=Lists!$B$5,I1212/2,IF(G1212=Lists!$B$7,I1212,0)))</f>
        <v/>
      </c>
      <c r="O1212" s="53">
        <f>IF(COUNTA(A1212:K1212)=0,"",IF(OR(A1212="",B1212="",C1212="",D1212="",E1212="",F1212="",G1212="",NOT(ISNUMBER(I1212))),"Incomplete",IF(COUNTIF(Lists!$H$4:$AA$4,C1212)=0,"Check category",IF(COUNTIF(INDEX(Lists!$H$6:$AA$45,0,MATCH(C1212,Lists!$H$4:$AA$4,0)),D1212)=0,"Check sub-category","OK"))))</f>
        <v/>
      </c>
      <c r="P1212">
        <f>IF(ISNUMBER(I1212),I1212+ROW()/10000000,"")</f>
        <v/>
      </c>
      <c r="Q1212">
        <f>IF(AND(ISNUMBER(P1212),ISNUMBER(A1212)),IF(AND(A1212&gt;=Dashboard!$Q$3,A1212&lt;=Dashboard!$Q$4,OR(J1212&lt;&gt;"Yes",Dashboard!$Q$15="Yes")),P1212,""),"")</f>
        <v/>
      </c>
    </row>
    <row r="1213">
      <c r="A1213" s="47" t="n"/>
      <c r="B1213" s="48" t="n"/>
      <c r="C1213" s="48" t="n"/>
      <c r="D1213" s="48" t="n"/>
      <c r="E1213" s="48" t="n"/>
      <c r="F1213" s="48" t="n"/>
      <c r="G1213" s="48" t="n"/>
      <c r="H1213" s="48" t="n"/>
      <c r="I1213" s="49" t="n"/>
      <c r="J1213" s="50" t="n"/>
      <c r="K1213" s="48" t="n"/>
      <c r="L1213" s="51">
        <f>IF(A1213="","",DATE(YEAR(A1213),MONTH(A1213),1))</f>
        <v/>
      </c>
      <c r="M1213" s="52">
        <f>IF(OR(A1213="",NOT(ISNUMBER(I1213))),"",IF(G1213=Lists!$B$5,I1213/2,IF(G1213=Lists!$B$6,I1213,0)))</f>
        <v/>
      </c>
      <c r="N1213" s="52">
        <f>IF(OR(A1213="",NOT(ISNUMBER(I1213))),"",IF(G1213=Lists!$B$5,I1213/2,IF(G1213=Lists!$B$7,I1213,0)))</f>
        <v/>
      </c>
      <c r="O1213" s="53">
        <f>IF(COUNTA(A1213:K1213)=0,"",IF(OR(A1213="",B1213="",C1213="",D1213="",E1213="",F1213="",G1213="",NOT(ISNUMBER(I1213))),"Incomplete",IF(COUNTIF(Lists!$H$4:$AA$4,C1213)=0,"Check category",IF(COUNTIF(INDEX(Lists!$H$6:$AA$45,0,MATCH(C1213,Lists!$H$4:$AA$4,0)),D1213)=0,"Check sub-category","OK"))))</f>
        <v/>
      </c>
      <c r="P1213">
        <f>IF(ISNUMBER(I1213),I1213+ROW()/10000000,"")</f>
        <v/>
      </c>
      <c r="Q1213">
        <f>IF(AND(ISNUMBER(P1213),ISNUMBER(A1213)),IF(AND(A1213&gt;=Dashboard!$Q$3,A1213&lt;=Dashboard!$Q$4,OR(J1213&lt;&gt;"Yes",Dashboard!$Q$15="Yes")),P1213,""),"")</f>
        <v/>
      </c>
    </row>
    <row r="1214">
      <c r="A1214" s="47" t="n"/>
      <c r="B1214" s="48" t="n"/>
      <c r="C1214" s="48" t="n"/>
      <c r="D1214" s="48" t="n"/>
      <c r="E1214" s="48" t="n"/>
      <c r="F1214" s="48" t="n"/>
      <c r="G1214" s="48" t="n"/>
      <c r="H1214" s="48" t="n"/>
      <c r="I1214" s="49" t="n"/>
      <c r="J1214" s="50" t="n"/>
      <c r="K1214" s="48" t="n"/>
      <c r="L1214" s="51">
        <f>IF(A1214="","",DATE(YEAR(A1214),MONTH(A1214),1))</f>
        <v/>
      </c>
      <c r="M1214" s="52">
        <f>IF(OR(A1214="",NOT(ISNUMBER(I1214))),"",IF(G1214=Lists!$B$5,I1214/2,IF(G1214=Lists!$B$6,I1214,0)))</f>
        <v/>
      </c>
      <c r="N1214" s="52">
        <f>IF(OR(A1214="",NOT(ISNUMBER(I1214))),"",IF(G1214=Lists!$B$5,I1214/2,IF(G1214=Lists!$B$7,I1214,0)))</f>
        <v/>
      </c>
      <c r="O1214" s="53">
        <f>IF(COUNTA(A1214:K1214)=0,"",IF(OR(A1214="",B1214="",C1214="",D1214="",E1214="",F1214="",G1214="",NOT(ISNUMBER(I1214))),"Incomplete",IF(COUNTIF(Lists!$H$4:$AA$4,C1214)=0,"Check category",IF(COUNTIF(INDEX(Lists!$H$6:$AA$45,0,MATCH(C1214,Lists!$H$4:$AA$4,0)),D1214)=0,"Check sub-category","OK"))))</f>
        <v/>
      </c>
      <c r="P1214">
        <f>IF(ISNUMBER(I1214),I1214+ROW()/10000000,"")</f>
        <v/>
      </c>
      <c r="Q1214">
        <f>IF(AND(ISNUMBER(P1214),ISNUMBER(A1214)),IF(AND(A1214&gt;=Dashboard!$Q$3,A1214&lt;=Dashboard!$Q$4,OR(J1214&lt;&gt;"Yes",Dashboard!$Q$15="Yes")),P1214,""),"")</f>
        <v/>
      </c>
    </row>
    <row r="1215">
      <c r="A1215" s="47" t="n"/>
      <c r="B1215" s="48" t="n"/>
      <c r="C1215" s="48" t="n"/>
      <c r="D1215" s="48" t="n"/>
      <c r="E1215" s="48" t="n"/>
      <c r="F1215" s="48" t="n"/>
      <c r="G1215" s="48" t="n"/>
      <c r="H1215" s="48" t="n"/>
      <c r="I1215" s="49" t="n"/>
      <c r="J1215" s="50" t="n"/>
      <c r="K1215" s="48" t="n"/>
      <c r="L1215" s="51">
        <f>IF(A1215="","",DATE(YEAR(A1215),MONTH(A1215),1))</f>
        <v/>
      </c>
      <c r="M1215" s="52">
        <f>IF(OR(A1215="",NOT(ISNUMBER(I1215))),"",IF(G1215=Lists!$B$5,I1215/2,IF(G1215=Lists!$B$6,I1215,0)))</f>
        <v/>
      </c>
      <c r="N1215" s="52">
        <f>IF(OR(A1215="",NOT(ISNUMBER(I1215))),"",IF(G1215=Lists!$B$5,I1215/2,IF(G1215=Lists!$B$7,I1215,0)))</f>
        <v/>
      </c>
      <c r="O1215" s="53">
        <f>IF(COUNTA(A1215:K1215)=0,"",IF(OR(A1215="",B1215="",C1215="",D1215="",E1215="",F1215="",G1215="",NOT(ISNUMBER(I1215))),"Incomplete",IF(COUNTIF(Lists!$H$4:$AA$4,C1215)=0,"Check category",IF(COUNTIF(INDEX(Lists!$H$6:$AA$45,0,MATCH(C1215,Lists!$H$4:$AA$4,0)),D1215)=0,"Check sub-category","OK"))))</f>
        <v/>
      </c>
      <c r="P1215">
        <f>IF(ISNUMBER(I1215),I1215+ROW()/10000000,"")</f>
        <v/>
      </c>
      <c r="Q1215">
        <f>IF(AND(ISNUMBER(P1215),ISNUMBER(A1215)),IF(AND(A1215&gt;=Dashboard!$Q$3,A1215&lt;=Dashboard!$Q$4,OR(J1215&lt;&gt;"Yes",Dashboard!$Q$15="Yes")),P1215,""),"")</f>
        <v/>
      </c>
    </row>
    <row r="1216">
      <c r="A1216" s="47" t="n"/>
      <c r="B1216" s="48" t="n"/>
      <c r="C1216" s="48" t="n"/>
      <c r="D1216" s="48" t="n"/>
      <c r="E1216" s="48" t="n"/>
      <c r="F1216" s="48" t="n"/>
      <c r="G1216" s="48" t="n"/>
      <c r="H1216" s="48" t="n"/>
      <c r="I1216" s="49" t="n"/>
      <c r="J1216" s="50" t="n"/>
      <c r="K1216" s="48" t="n"/>
      <c r="L1216" s="51">
        <f>IF(A1216="","",DATE(YEAR(A1216),MONTH(A1216),1))</f>
        <v/>
      </c>
      <c r="M1216" s="52">
        <f>IF(OR(A1216="",NOT(ISNUMBER(I1216))),"",IF(G1216=Lists!$B$5,I1216/2,IF(G1216=Lists!$B$6,I1216,0)))</f>
        <v/>
      </c>
      <c r="N1216" s="52">
        <f>IF(OR(A1216="",NOT(ISNUMBER(I1216))),"",IF(G1216=Lists!$B$5,I1216/2,IF(G1216=Lists!$B$7,I1216,0)))</f>
        <v/>
      </c>
      <c r="O1216" s="53">
        <f>IF(COUNTA(A1216:K1216)=0,"",IF(OR(A1216="",B1216="",C1216="",D1216="",E1216="",F1216="",G1216="",NOT(ISNUMBER(I1216))),"Incomplete",IF(COUNTIF(Lists!$H$4:$AA$4,C1216)=0,"Check category",IF(COUNTIF(INDEX(Lists!$H$6:$AA$45,0,MATCH(C1216,Lists!$H$4:$AA$4,0)),D1216)=0,"Check sub-category","OK"))))</f>
        <v/>
      </c>
      <c r="P1216">
        <f>IF(ISNUMBER(I1216),I1216+ROW()/10000000,"")</f>
        <v/>
      </c>
      <c r="Q1216">
        <f>IF(AND(ISNUMBER(P1216),ISNUMBER(A1216)),IF(AND(A1216&gt;=Dashboard!$Q$3,A1216&lt;=Dashboard!$Q$4,OR(J1216&lt;&gt;"Yes",Dashboard!$Q$15="Yes")),P1216,""),"")</f>
        <v/>
      </c>
    </row>
    <row r="1217">
      <c r="A1217" s="47" t="n"/>
      <c r="B1217" s="48" t="n"/>
      <c r="C1217" s="48" t="n"/>
      <c r="D1217" s="48" t="n"/>
      <c r="E1217" s="48" t="n"/>
      <c r="F1217" s="48" t="n"/>
      <c r="G1217" s="48" t="n"/>
      <c r="H1217" s="48" t="n"/>
      <c r="I1217" s="49" t="n"/>
      <c r="J1217" s="50" t="n"/>
      <c r="K1217" s="48" t="n"/>
      <c r="L1217" s="51">
        <f>IF(A1217="","",DATE(YEAR(A1217),MONTH(A1217),1))</f>
        <v/>
      </c>
      <c r="M1217" s="52">
        <f>IF(OR(A1217="",NOT(ISNUMBER(I1217))),"",IF(G1217=Lists!$B$5,I1217/2,IF(G1217=Lists!$B$6,I1217,0)))</f>
        <v/>
      </c>
      <c r="N1217" s="52">
        <f>IF(OR(A1217="",NOT(ISNUMBER(I1217))),"",IF(G1217=Lists!$B$5,I1217/2,IF(G1217=Lists!$B$7,I1217,0)))</f>
        <v/>
      </c>
      <c r="O1217" s="53">
        <f>IF(COUNTA(A1217:K1217)=0,"",IF(OR(A1217="",B1217="",C1217="",D1217="",E1217="",F1217="",G1217="",NOT(ISNUMBER(I1217))),"Incomplete",IF(COUNTIF(Lists!$H$4:$AA$4,C1217)=0,"Check category",IF(COUNTIF(INDEX(Lists!$H$6:$AA$45,0,MATCH(C1217,Lists!$H$4:$AA$4,0)),D1217)=0,"Check sub-category","OK"))))</f>
        <v/>
      </c>
      <c r="P1217">
        <f>IF(ISNUMBER(I1217),I1217+ROW()/10000000,"")</f>
        <v/>
      </c>
      <c r="Q1217">
        <f>IF(AND(ISNUMBER(P1217),ISNUMBER(A1217)),IF(AND(A1217&gt;=Dashboard!$Q$3,A1217&lt;=Dashboard!$Q$4,OR(J1217&lt;&gt;"Yes",Dashboard!$Q$15="Yes")),P1217,""),"")</f>
        <v/>
      </c>
    </row>
    <row r="1218">
      <c r="A1218" s="47" t="n"/>
      <c r="B1218" s="48" t="n"/>
      <c r="C1218" s="48" t="n"/>
      <c r="D1218" s="48" t="n"/>
      <c r="E1218" s="48" t="n"/>
      <c r="F1218" s="48" t="n"/>
      <c r="G1218" s="48" t="n"/>
      <c r="H1218" s="48" t="n"/>
      <c r="I1218" s="49" t="n"/>
      <c r="J1218" s="50" t="n"/>
      <c r="K1218" s="48" t="n"/>
      <c r="L1218" s="51">
        <f>IF(A1218="","",DATE(YEAR(A1218),MONTH(A1218),1))</f>
        <v/>
      </c>
      <c r="M1218" s="52">
        <f>IF(OR(A1218="",NOT(ISNUMBER(I1218))),"",IF(G1218=Lists!$B$5,I1218/2,IF(G1218=Lists!$B$6,I1218,0)))</f>
        <v/>
      </c>
      <c r="N1218" s="52">
        <f>IF(OR(A1218="",NOT(ISNUMBER(I1218))),"",IF(G1218=Lists!$B$5,I1218/2,IF(G1218=Lists!$B$7,I1218,0)))</f>
        <v/>
      </c>
      <c r="O1218" s="53">
        <f>IF(COUNTA(A1218:K1218)=0,"",IF(OR(A1218="",B1218="",C1218="",D1218="",E1218="",F1218="",G1218="",NOT(ISNUMBER(I1218))),"Incomplete",IF(COUNTIF(Lists!$H$4:$AA$4,C1218)=0,"Check category",IF(COUNTIF(INDEX(Lists!$H$6:$AA$45,0,MATCH(C1218,Lists!$H$4:$AA$4,0)),D1218)=0,"Check sub-category","OK"))))</f>
        <v/>
      </c>
      <c r="P1218">
        <f>IF(ISNUMBER(I1218),I1218+ROW()/10000000,"")</f>
        <v/>
      </c>
      <c r="Q1218">
        <f>IF(AND(ISNUMBER(P1218),ISNUMBER(A1218)),IF(AND(A1218&gt;=Dashboard!$Q$3,A1218&lt;=Dashboard!$Q$4,OR(J1218&lt;&gt;"Yes",Dashboard!$Q$15="Yes")),P1218,""),"")</f>
        <v/>
      </c>
    </row>
    <row r="1219">
      <c r="A1219" s="47" t="n"/>
      <c r="B1219" s="48" t="n"/>
      <c r="C1219" s="48" t="n"/>
      <c r="D1219" s="48" t="n"/>
      <c r="E1219" s="48" t="n"/>
      <c r="F1219" s="48" t="n"/>
      <c r="G1219" s="48" t="n"/>
      <c r="H1219" s="48" t="n"/>
      <c r="I1219" s="49" t="n"/>
      <c r="J1219" s="50" t="n"/>
      <c r="K1219" s="48" t="n"/>
      <c r="L1219" s="51">
        <f>IF(A1219="","",DATE(YEAR(A1219),MONTH(A1219),1))</f>
        <v/>
      </c>
      <c r="M1219" s="52">
        <f>IF(OR(A1219="",NOT(ISNUMBER(I1219))),"",IF(G1219=Lists!$B$5,I1219/2,IF(G1219=Lists!$B$6,I1219,0)))</f>
        <v/>
      </c>
      <c r="N1219" s="52">
        <f>IF(OR(A1219="",NOT(ISNUMBER(I1219))),"",IF(G1219=Lists!$B$5,I1219/2,IF(G1219=Lists!$B$7,I1219,0)))</f>
        <v/>
      </c>
      <c r="O1219" s="53">
        <f>IF(COUNTA(A1219:K1219)=0,"",IF(OR(A1219="",B1219="",C1219="",D1219="",E1219="",F1219="",G1219="",NOT(ISNUMBER(I1219))),"Incomplete",IF(COUNTIF(Lists!$H$4:$AA$4,C1219)=0,"Check category",IF(COUNTIF(INDEX(Lists!$H$6:$AA$45,0,MATCH(C1219,Lists!$H$4:$AA$4,0)),D1219)=0,"Check sub-category","OK"))))</f>
        <v/>
      </c>
      <c r="P1219">
        <f>IF(ISNUMBER(I1219),I1219+ROW()/10000000,"")</f>
        <v/>
      </c>
      <c r="Q1219">
        <f>IF(AND(ISNUMBER(P1219),ISNUMBER(A1219)),IF(AND(A1219&gt;=Dashboard!$Q$3,A1219&lt;=Dashboard!$Q$4,OR(J1219&lt;&gt;"Yes",Dashboard!$Q$15="Yes")),P1219,""),"")</f>
        <v/>
      </c>
    </row>
    <row r="1220">
      <c r="A1220" s="47" t="n"/>
      <c r="B1220" s="48" t="n"/>
      <c r="C1220" s="48" t="n"/>
      <c r="D1220" s="48" t="n"/>
      <c r="E1220" s="48" t="n"/>
      <c r="F1220" s="48" t="n"/>
      <c r="G1220" s="48" t="n"/>
      <c r="H1220" s="48" t="n"/>
      <c r="I1220" s="49" t="n"/>
      <c r="J1220" s="50" t="n"/>
      <c r="K1220" s="48" t="n"/>
      <c r="L1220" s="51">
        <f>IF(A1220="","",DATE(YEAR(A1220),MONTH(A1220),1))</f>
        <v/>
      </c>
      <c r="M1220" s="52">
        <f>IF(OR(A1220="",NOT(ISNUMBER(I1220))),"",IF(G1220=Lists!$B$5,I1220/2,IF(G1220=Lists!$B$6,I1220,0)))</f>
        <v/>
      </c>
      <c r="N1220" s="52">
        <f>IF(OR(A1220="",NOT(ISNUMBER(I1220))),"",IF(G1220=Lists!$B$5,I1220/2,IF(G1220=Lists!$B$7,I1220,0)))</f>
        <v/>
      </c>
      <c r="O1220" s="53">
        <f>IF(COUNTA(A1220:K1220)=0,"",IF(OR(A1220="",B1220="",C1220="",D1220="",E1220="",F1220="",G1220="",NOT(ISNUMBER(I1220))),"Incomplete",IF(COUNTIF(Lists!$H$4:$AA$4,C1220)=0,"Check category",IF(COUNTIF(INDEX(Lists!$H$6:$AA$45,0,MATCH(C1220,Lists!$H$4:$AA$4,0)),D1220)=0,"Check sub-category","OK"))))</f>
        <v/>
      </c>
      <c r="P1220">
        <f>IF(ISNUMBER(I1220),I1220+ROW()/10000000,"")</f>
        <v/>
      </c>
      <c r="Q1220">
        <f>IF(AND(ISNUMBER(P1220),ISNUMBER(A1220)),IF(AND(A1220&gt;=Dashboard!$Q$3,A1220&lt;=Dashboard!$Q$4,OR(J1220&lt;&gt;"Yes",Dashboard!$Q$15="Yes")),P1220,""),"")</f>
        <v/>
      </c>
    </row>
    <row r="1221">
      <c r="A1221" s="47" t="n"/>
      <c r="B1221" s="48" t="n"/>
      <c r="C1221" s="48" t="n"/>
      <c r="D1221" s="48" t="n"/>
      <c r="E1221" s="48" t="n"/>
      <c r="F1221" s="48" t="n"/>
      <c r="G1221" s="48" t="n"/>
      <c r="H1221" s="48" t="n"/>
      <c r="I1221" s="49" t="n"/>
      <c r="J1221" s="50" t="n"/>
      <c r="K1221" s="48" t="n"/>
      <c r="L1221" s="51">
        <f>IF(A1221="","",DATE(YEAR(A1221),MONTH(A1221),1))</f>
        <v/>
      </c>
      <c r="M1221" s="52">
        <f>IF(OR(A1221="",NOT(ISNUMBER(I1221))),"",IF(G1221=Lists!$B$5,I1221/2,IF(G1221=Lists!$B$6,I1221,0)))</f>
        <v/>
      </c>
      <c r="N1221" s="52">
        <f>IF(OR(A1221="",NOT(ISNUMBER(I1221))),"",IF(G1221=Lists!$B$5,I1221/2,IF(G1221=Lists!$B$7,I1221,0)))</f>
        <v/>
      </c>
      <c r="O1221" s="53">
        <f>IF(COUNTA(A1221:K1221)=0,"",IF(OR(A1221="",B1221="",C1221="",D1221="",E1221="",F1221="",G1221="",NOT(ISNUMBER(I1221))),"Incomplete",IF(COUNTIF(Lists!$H$4:$AA$4,C1221)=0,"Check category",IF(COUNTIF(INDEX(Lists!$H$6:$AA$45,0,MATCH(C1221,Lists!$H$4:$AA$4,0)),D1221)=0,"Check sub-category","OK"))))</f>
        <v/>
      </c>
      <c r="P1221">
        <f>IF(ISNUMBER(I1221),I1221+ROW()/10000000,"")</f>
        <v/>
      </c>
      <c r="Q1221">
        <f>IF(AND(ISNUMBER(P1221),ISNUMBER(A1221)),IF(AND(A1221&gt;=Dashboard!$Q$3,A1221&lt;=Dashboard!$Q$4,OR(J1221&lt;&gt;"Yes",Dashboard!$Q$15="Yes")),P1221,""),"")</f>
        <v/>
      </c>
    </row>
    <row r="1222">
      <c r="A1222" s="47" t="n"/>
      <c r="B1222" s="48" t="n"/>
      <c r="C1222" s="48" t="n"/>
      <c r="D1222" s="48" t="n"/>
      <c r="E1222" s="48" t="n"/>
      <c r="F1222" s="48" t="n"/>
      <c r="G1222" s="48" t="n"/>
      <c r="H1222" s="48" t="n"/>
      <c r="I1222" s="49" t="n"/>
      <c r="J1222" s="50" t="n"/>
      <c r="K1222" s="48" t="n"/>
      <c r="L1222" s="51">
        <f>IF(A1222="","",DATE(YEAR(A1222),MONTH(A1222),1))</f>
        <v/>
      </c>
      <c r="M1222" s="52">
        <f>IF(OR(A1222="",NOT(ISNUMBER(I1222))),"",IF(G1222=Lists!$B$5,I1222/2,IF(G1222=Lists!$B$6,I1222,0)))</f>
        <v/>
      </c>
      <c r="N1222" s="52">
        <f>IF(OR(A1222="",NOT(ISNUMBER(I1222))),"",IF(G1222=Lists!$B$5,I1222/2,IF(G1222=Lists!$B$7,I1222,0)))</f>
        <v/>
      </c>
      <c r="O1222" s="53">
        <f>IF(COUNTA(A1222:K1222)=0,"",IF(OR(A1222="",B1222="",C1222="",D1222="",E1222="",F1222="",G1222="",NOT(ISNUMBER(I1222))),"Incomplete",IF(COUNTIF(Lists!$H$4:$AA$4,C1222)=0,"Check category",IF(COUNTIF(INDEX(Lists!$H$6:$AA$45,0,MATCH(C1222,Lists!$H$4:$AA$4,0)),D1222)=0,"Check sub-category","OK"))))</f>
        <v/>
      </c>
      <c r="P1222">
        <f>IF(ISNUMBER(I1222),I1222+ROW()/10000000,"")</f>
        <v/>
      </c>
      <c r="Q1222">
        <f>IF(AND(ISNUMBER(P1222),ISNUMBER(A1222)),IF(AND(A1222&gt;=Dashboard!$Q$3,A1222&lt;=Dashboard!$Q$4,OR(J1222&lt;&gt;"Yes",Dashboard!$Q$15="Yes")),P1222,""),"")</f>
        <v/>
      </c>
    </row>
    <row r="1223">
      <c r="A1223" s="47" t="n"/>
      <c r="B1223" s="48" t="n"/>
      <c r="C1223" s="48" t="n"/>
      <c r="D1223" s="48" t="n"/>
      <c r="E1223" s="48" t="n"/>
      <c r="F1223" s="48" t="n"/>
      <c r="G1223" s="48" t="n"/>
      <c r="H1223" s="48" t="n"/>
      <c r="I1223" s="49" t="n"/>
      <c r="J1223" s="50" t="n"/>
      <c r="K1223" s="48" t="n"/>
      <c r="L1223" s="51">
        <f>IF(A1223="","",DATE(YEAR(A1223),MONTH(A1223),1))</f>
        <v/>
      </c>
      <c r="M1223" s="52">
        <f>IF(OR(A1223="",NOT(ISNUMBER(I1223))),"",IF(G1223=Lists!$B$5,I1223/2,IF(G1223=Lists!$B$6,I1223,0)))</f>
        <v/>
      </c>
      <c r="N1223" s="52">
        <f>IF(OR(A1223="",NOT(ISNUMBER(I1223))),"",IF(G1223=Lists!$B$5,I1223/2,IF(G1223=Lists!$B$7,I1223,0)))</f>
        <v/>
      </c>
      <c r="O1223" s="53">
        <f>IF(COUNTA(A1223:K1223)=0,"",IF(OR(A1223="",B1223="",C1223="",D1223="",E1223="",F1223="",G1223="",NOT(ISNUMBER(I1223))),"Incomplete",IF(COUNTIF(Lists!$H$4:$AA$4,C1223)=0,"Check category",IF(COUNTIF(INDEX(Lists!$H$6:$AA$45,0,MATCH(C1223,Lists!$H$4:$AA$4,0)),D1223)=0,"Check sub-category","OK"))))</f>
        <v/>
      </c>
      <c r="P1223">
        <f>IF(ISNUMBER(I1223),I1223+ROW()/10000000,"")</f>
        <v/>
      </c>
      <c r="Q1223">
        <f>IF(AND(ISNUMBER(P1223),ISNUMBER(A1223)),IF(AND(A1223&gt;=Dashboard!$Q$3,A1223&lt;=Dashboard!$Q$4,OR(J1223&lt;&gt;"Yes",Dashboard!$Q$15="Yes")),P1223,""),"")</f>
        <v/>
      </c>
    </row>
    <row r="1224">
      <c r="A1224" s="47" t="n"/>
      <c r="B1224" s="48" t="n"/>
      <c r="C1224" s="48" t="n"/>
      <c r="D1224" s="48" t="n"/>
      <c r="E1224" s="48" t="n"/>
      <c r="F1224" s="48" t="n"/>
      <c r="G1224" s="48" t="n"/>
      <c r="H1224" s="48" t="n"/>
      <c r="I1224" s="49" t="n"/>
      <c r="J1224" s="50" t="n"/>
      <c r="K1224" s="48" t="n"/>
      <c r="L1224" s="51">
        <f>IF(A1224="","",DATE(YEAR(A1224),MONTH(A1224),1))</f>
        <v/>
      </c>
      <c r="M1224" s="52">
        <f>IF(OR(A1224="",NOT(ISNUMBER(I1224))),"",IF(G1224=Lists!$B$5,I1224/2,IF(G1224=Lists!$B$6,I1224,0)))</f>
        <v/>
      </c>
      <c r="N1224" s="52">
        <f>IF(OR(A1224="",NOT(ISNUMBER(I1224))),"",IF(G1224=Lists!$B$5,I1224/2,IF(G1224=Lists!$B$7,I1224,0)))</f>
        <v/>
      </c>
      <c r="O1224" s="53">
        <f>IF(COUNTA(A1224:K1224)=0,"",IF(OR(A1224="",B1224="",C1224="",D1224="",E1224="",F1224="",G1224="",NOT(ISNUMBER(I1224))),"Incomplete",IF(COUNTIF(Lists!$H$4:$AA$4,C1224)=0,"Check category",IF(COUNTIF(INDEX(Lists!$H$6:$AA$45,0,MATCH(C1224,Lists!$H$4:$AA$4,0)),D1224)=0,"Check sub-category","OK"))))</f>
        <v/>
      </c>
      <c r="P1224">
        <f>IF(ISNUMBER(I1224),I1224+ROW()/10000000,"")</f>
        <v/>
      </c>
      <c r="Q1224">
        <f>IF(AND(ISNUMBER(P1224),ISNUMBER(A1224)),IF(AND(A1224&gt;=Dashboard!$Q$3,A1224&lt;=Dashboard!$Q$4,OR(J1224&lt;&gt;"Yes",Dashboard!$Q$15="Yes")),P1224,""),"")</f>
        <v/>
      </c>
    </row>
    <row r="1225">
      <c r="A1225" s="47" t="n"/>
      <c r="B1225" s="48" t="n"/>
      <c r="C1225" s="48" t="n"/>
      <c r="D1225" s="48" t="n"/>
      <c r="E1225" s="48" t="n"/>
      <c r="F1225" s="48" t="n"/>
      <c r="G1225" s="48" t="n"/>
      <c r="H1225" s="48" t="n"/>
      <c r="I1225" s="49" t="n"/>
      <c r="J1225" s="50" t="n"/>
      <c r="K1225" s="48" t="n"/>
      <c r="L1225" s="51">
        <f>IF(A1225="","",DATE(YEAR(A1225),MONTH(A1225),1))</f>
        <v/>
      </c>
      <c r="M1225" s="52">
        <f>IF(OR(A1225="",NOT(ISNUMBER(I1225))),"",IF(G1225=Lists!$B$5,I1225/2,IF(G1225=Lists!$B$6,I1225,0)))</f>
        <v/>
      </c>
      <c r="N1225" s="52">
        <f>IF(OR(A1225="",NOT(ISNUMBER(I1225))),"",IF(G1225=Lists!$B$5,I1225/2,IF(G1225=Lists!$B$7,I1225,0)))</f>
        <v/>
      </c>
      <c r="O1225" s="53">
        <f>IF(COUNTA(A1225:K1225)=0,"",IF(OR(A1225="",B1225="",C1225="",D1225="",E1225="",F1225="",G1225="",NOT(ISNUMBER(I1225))),"Incomplete",IF(COUNTIF(Lists!$H$4:$AA$4,C1225)=0,"Check category",IF(COUNTIF(INDEX(Lists!$H$6:$AA$45,0,MATCH(C1225,Lists!$H$4:$AA$4,0)),D1225)=0,"Check sub-category","OK"))))</f>
        <v/>
      </c>
      <c r="P1225">
        <f>IF(ISNUMBER(I1225),I1225+ROW()/10000000,"")</f>
        <v/>
      </c>
      <c r="Q1225">
        <f>IF(AND(ISNUMBER(P1225),ISNUMBER(A1225)),IF(AND(A1225&gt;=Dashboard!$Q$3,A1225&lt;=Dashboard!$Q$4,OR(J1225&lt;&gt;"Yes",Dashboard!$Q$15="Yes")),P1225,""),"")</f>
        <v/>
      </c>
    </row>
    <row r="1226">
      <c r="A1226" s="47" t="n"/>
      <c r="B1226" s="48" t="n"/>
      <c r="C1226" s="48" t="n"/>
      <c r="D1226" s="48" t="n"/>
      <c r="E1226" s="48" t="n"/>
      <c r="F1226" s="48" t="n"/>
      <c r="G1226" s="48" t="n"/>
      <c r="H1226" s="48" t="n"/>
      <c r="I1226" s="49" t="n"/>
      <c r="J1226" s="50" t="n"/>
      <c r="K1226" s="48" t="n"/>
      <c r="L1226" s="51">
        <f>IF(A1226="","",DATE(YEAR(A1226),MONTH(A1226),1))</f>
        <v/>
      </c>
      <c r="M1226" s="52">
        <f>IF(OR(A1226="",NOT(ISNUMBER(I1226))),"",IF(G1226=Lists!$B$5,I1226/2,IF(G1226=Lists!$B$6,I1226,0)))</f>
        <v/>
      </c>
      <c r="N1226" s="52">
        <f>IF(OR(A1226="",NOT(ISNUMBER(I1226))),"",IF(G1226=Lists!$B$5,I1226/2,IF(G1226=Lists!$B$7,I1226,0)))</f>
        <v/>
      </c>
      <c r="O1226" s="53">
        <f>IF(COUNTA(A1226:K1226)=0,"",IF(OR(A1226="",B1226="",C1226="",D1226="",E1226="",F1226="",G1226="",NOT(ISNUMBER(I1226))),"Incomplete",IF(COUNTIF(Lists!$H$4:$AA$4,C1226)=0,"Check category",IF(COUNTIF(INDEX(Lists!$H$6:$AA$45,0,MATCH(C1226,Lists!$H$4:$AA$4,0)),D1226)=0,"Check sub-category","OK"))))</f>
        <v/>
      </c>
      <c r="P1226">
        <f>IF(ISNUMBER(I1226),I1226+ROW()/10000000,"")</f>
        <v/>
      </c>
      <c r="Q1226">
        <f>IF(AND(ISNUMBER(P1226),ISNUMBER(A1226)),IF(AND(A1226&gt;=Dashboard!$Q$3,A1226&lt;=Dashboard!$Q$4,OR(J1226&lt;&gt;"Yes",Dashboard!$Q$15="Yes")),P1226,""),"")</f>
        <v/>
      </c>
    </row>
    <row r="1227">
      <c r="A1227" s="47" t="n"/>
      <c r="B1227" s="48" t="n"/>
      <c r="C1227" s="48" t="n"/>
      <c r="D1227" s="48" t="n"/>
      <c r="E1227" s="48" t="n"/>
      <c r="F1227" s="48" t="n"/>
      <c r="G1227" s="48" t="n"/>
      <c r="H1227" s="48" t="n"/>
      <c r="I1227" s="49" t="n"/>
      <c r="J1227" s="50" t="n"/>
      <c r="K1227" s="48" t="n"/>
      <c r="L1227" s="51">
        <f>IF(A1227="","",DATE(YEAR(A1227),MONTH(A1227),1))</f>
        <v/>
      </c>
      <c r="M1227" s="52">
        <f>IF(OR(A1227="",NOT(ISNUMBER(I1227))),"",IF(G1227=Lists!$B$5,I1227/2,IF(G1227=Lists!$B$6,I1227,0)))</f>
        <v/>
      </c>
      <c r="N1227" s="52">
        <f>IF(OR(A1227="",NOT(ISNUMBER(I1227))),"",IF(G1227=Lists!$B$5,I1227/2,IF(G1227=Lists!$B$7,I1227,0)))</f>
        <v/>
      </c>
      <c r="O1227" s="53">
        <f>IF(COUNTA(A1227:K1227)=0,"",IF(OR(A1227="",B1227="",C1227="",D1227="",E1227="",F1227="",G1227="",NOT(ISNUMBER(I1227))),"Incomplete",IF(COUNTIF(Lists!$H$4:$AA$4,C1227)=0,"Check category",IF(COUNTIF(INDEX(Lists!$H$6:$AA$45,0,MATCH(C1227,Lists!$H$4:$AA$4,0)),D1227)=0,"Check sub-category","OK"))))</f>
        <v/>
      </c>
      <c r="P1227">
        <f>IF(ISNUMBER(I1227),I1227+ROW()/10000000,"")</f>
        <v/>
      </c>
      <c r="Q1227">
        <f>IF(AND(ISNUMBER(P1227),ISNUMBER(A1227)),IF(AND(A1227&gt;=Dashboard!$Q$3,A1227&lt;=Dashboard!$Q$4,OR(J1227&lt;&gt;"Yes",Dashboard!$Q$15="Yes")),P1227,""),"")</f>
        <v/>
      </c>
    </row>
    <row r="1228">
      <c r="A1228" s="47" t="n"/>
      <c r="B1228" s="48" t="n"/>
      <c r="C1228" s="48" t="n"/>
      <c r="D1228" s="48" t="n"/>
      <c r="E1228" s="48" t="n"/>
      <c r="F1228" s="48" t="n"/>
      <c r="G1228" s="48" t="n"/>
      <c r="H1228" s="48" t="n"/>
      <c r="I1228" s="49" t="n"/>
      <c r="J1228" s="50" t="n"/>
      <c r="K1228" s="48" t="n"/>
      <c r="L1228" s="51">
        <f>IF(A1228="","",DATE(YEAR(A1228),MONTH(A1228),1))</f>
        <v/>
      </c>
      <c r="M1228" s="52">
        <f>IF(OR(A1228="",NOT(ISNUMBER(I1228))),"",IF(G1228=Lists!$B$5,I1228/2,IF(G1228=Lists!$B$6,I1228,0)))</f>
        <v/>
      </c>
      <c r="N1228" s="52">
        <f>IF(OR(A1228="",NOT(ISNUMBER(I1228))),"",IF(G1228=Lists!$B$5,I1228/2,IF(G1228=Lists!$B$7,I1228,0)))</f>
        <v/>
      </c>
      <c r="O1228" s="53">
        <f>IF(COUNTA(A1228:K1228)=0,"",IF(OR(A1228="",B1228="",C1228="",D1228="",E1228="",F1228="",G1228="",NOT(ISNUMBER(I1228))),"Incomplete",IF(COUNTIF(Lists!$H$4:$AA$4,C1228)=0,"Check category",IF(COUNTIF(INDEX(Lists!$H$6:$AA$45,0,MATCH(C1228,Lists!$H$4:$AA$4,0)),D1228)=0,"Check sub-category","OK"))))</f>
        <v/>
      </c>
      <c r="P1228">
        <f>IF(ISNUMBER(I1228),I1228+ROW()/10000000,"")</f>
        <v/>
      </c>
      <c r="Q1228">
        <f>IF(AND(ISNUMBER(P1228),ISNUMBER(A1228)),IF(AND(A1228&gt;=Dashboard!$Q$3,A1228&lt;=Dashboard!$Q$4,OR(J1228&lt;&gt;"Yes",Dashboard!$Q$15="Yes")),P1228,""),"")</f>
        <v/>
      </c>
    </row>
    <row r="1229">
      <c r="A1229" s="47" t="n"/>
      <c r="B1229" s="48" t="n"/>
      <c r="C1229" s="48" t="n"/>
      <c r="D1229" s="48" t="n"/>
      <c r="E1229" s="48" t="n"/>
      <c r="F1229" s="48" t="n"/>
      <c r="G1229" s="48" t="n"/>
      <c r="H1229" s="48" t="n"/>
      <c r="I1229" s="49" t="n"/>
      <c r="J1229" s="50" t="n"/>
      <c r="K1229" s="48" t="n"/>
      <c r="L1229" s="51">
        <f>IF(A1229="","",DATE(YEAR(A1229),MONTH(A1229),1))</f>
        <v/>
      </c>
      <c r="M1229" s="52">
        <f>IF(OR(A1229="",NOT(ISNUMBER(I1229))),"",IF(G1229=Lists!$B$5,I1229/2,IF(G1229=Lists!$B$6,I1229,0)))</f>
        <v/>
      </c>
      <c r="N1229" s="52">
        <f>IF(OR(A1229="",NOT(ISNUMBER(I1229))),"",IF(G1229=Lists!$B$5,I1229/2,IF(G1229=Lists!$B$7,I1229,0)))</f>
        <v/>
      </c>
      <c r="O1229" s="53">
        <f>IF(COUNTA(A1229:K1229)=0,"",IF(OR(A1229="",B1229="",C1229="",D1229="",E1229="",F1229="",G1229="",NOT(ISNUMBER(I1229))),"Incomplete",IF(COUNTIF(Lists!$H$4:$AA$4,C1229)=0,"Check category",IF(COUNTIF(INDEX(Lists!$H$6:$AA$45,0,MATCH(C1229,Lists!$H$4:$AA$4,0)),D1229)=0,"Check sub-category","OK"))))</f>
        <v/>
      </c>
      <c r="P1229">
        <f>IF(ISNUMBER(I1229),I1229+ROW()/10000000,"")</f>
        <v/>
      </c>
      <c r="Q1229">
        <f>IF(AND(ISNUMBER(P1229),ISNUMBER(A1229)),IF(AND(A1229&gt;=Dashboard!$Q$3,A1229&lt;=Dashboard!$Q$4,OR(J1229&lt;&gt;"Yes",Dashboard!$Q$15="Yes")),P1229,""),"")</f>
        <v/>
      </c>
    </row>
    <row r="1230">
      <c r="A1230" s="47" t="n"/>
      <c r="B1230" s="48" t="n"/>
      <c r="C1230" s="48" t="n"/>
      <c r="D1230" s="48" t="n"/>
      <c r="E1230" s="48" t="n"/>
      <c r="F1230" s="48" t="n"/>
      <c r="G1230" s="48" t="n"/>
      <c r="H1230" s="48" t="n"/>
      <c r="I1230" s="49" t="n"/>
      <c r="J1230" s="50" t="n"/>
      <c r="K1230" s="48" t="n"/>
      <c r="L1230" s="51">
        <f>IF(A1230="","",DATE(YEAR(A1230),MONTH(A1230),1))</f>
        <v/>
      </c>
      <c r="M1230" s="52">
        <f>IF(OR(A1230="",NOT(ISNUMBER(I1230))),"",IF(G1230=Lists!$B$5,I1230/2,IF(G1230=Lists!$B$6,I1230,0)))</f>
        <v/>
      </c>
      <c r="N1230" s="52">
        <f>IF(OR(A1230="",NOT(ISNUMBER(I1230))),"",IF(G1230=Lists!$B$5,I1230/2,IF(G1230=Lists!$B$7,I1230,0)))</f>
        <v/>
      </c>
      <c r="O1230" s="53">
        <f>IF(COUNTA(A1230:K1230)=0,"",IF(OR(A1230="",B1230="",C1230="",D1230="",E1230="",F1230="",G1230="",NOT(ISNUMBER(I1230))),"Incomplete",IF(COUNTIF(Lists!$H$4:$AA$4,C1230)=0,"Check category",IF(COUNTIF(INDEX(Lists!$H$6:$AA$45,0,MATCH(C1230,Lists!$H$4:$AA$4,0)),D1230)=0,"Check sub-category","OK"))))</f>
        <v/>
      </c>
      <c r="P1230">
        <f>IF(ISNUMBER(I1230),I1230+ROW()/10000000,"")</f>
        <v/>
      </c>
      <c r="Q1230">
        <f>IF(AND(ISNUMBER(P1230),ISNUMBER(A1230)),IF(AND(A1230&gt;=Dashboard!$Q$3,A1230&lt;=Dashboard!$Q$4,OR(J1230&lt;&gt;"Yes",Dashboard!$Q$15="Yes")),P1230,""),"")</f>
        <v/>
      </c>
    </row>
    <row r="1231">
      <c r="A1231" s="47" t="n"/>
      <c r="B1231" s="48" t="n"/>
      <c r="C1231" s="48" t="n"/>
      <c r="D1231" s="48" t="n"/>
      <c r="E1231" s="48" t="n"/>
      <c r="F1231" s="48" t="n"/>
      <c r="G1231" s="48" t="n"/>
      <c r="H1231" s="48" t="n"/>
      <c r="I1231" s="49" t="n"/>
      <c r="J1231" s="50" t="n"/>
      <c r="K1231" s="48" t="n"/>
      <c r="L1231" s="51">
        <f>IF(A1231="","",DATE(YEAR(A1231),MONTH(A1231),1))</f>
        <v/>
      </c>
      <c r="M1231" s="52">
        <f>IF(OR(A1231="",NOT(ISNUMBER(I1231))),"",IF(G1231=Lists!$B$5,I1231/2,IF(G1231=Lists!$B$6,I1231,0)))</f>
        <v/>
      </c>
      <c r="N1231" s="52">
        <f>IF(OR(A1231="",NOT(ISNUMBER(I1231))),"",IF(G1231=Lists!$B$5,I1231/2,IF(G1231=Lists!$B$7,I1231,0)))</f>
        <v/>
      </c>
      <c r="O1231" s="53">
        <f>IF(COUNTA(A1231:K1231)=0,"",IF(OR(A1231="",B1231="",C1231="",D1231="",E1231="",F1231="",G1231="",NOT(ISNUMBER(I1231))),"Incomplete",IF(COUNTIF(Lists!$H$4:$AA$4,C1231)=0,"Check category",IF(COUNTIF(INDEX(Lists!$H$6:$AA$45,0,MATCH(C1231,Lists!$H$4:$AA$4,0)),D1231)=0,"Check sub-category","OK"))))</f>
        <v/>
      </c>
      <c r="P1231">
        <f>IF(ISNUMBER(I1231),I1231+ROW()/10000000,"")</f>
        <v/>
      </c>
      <c r="Q1231">
        <f>IF(AND(ISNUMBER(P1231),ISNUMBER(A1231)),IF(AND(A1231&gt;=Dashboard!$Q$3,A1231&lt;=Dashboard!$Q$4,OR(J1231&lt;&gt;"Yes",Dashboard!$Q$15="Yes")),P1231,""),"")</f>
        <v/>
      </c>
    </row>
    <row r="1232">
      <c r="A1232" s="47" t="n"/>
      <c r="B1232" s="48" t="n"/>
      <c r="C1232" s="48" t="n"/>
      <c r="D1232" s="48" t="n"/>
      <c r="E1232" s="48" t="n"/>
      <c r="F1232" s="48" t="n"/>
      <c r="G1232" s="48" t="n"/>
      <c r="H1232" s="48" t="n"/>
      <c r="I1232" s="49" t="n"/>
      <c r="J1232" s="50" t="n"/>
      <c r="K1232" s="48" t="n"/>
      <c r="L1232" s="51">
        <f>IF(A1232="","",DATE(YEAR(A1232),MONTH(A1232),1))</f>
        <v/>
      </c>
      <c r="M1232" s="52">
        <f>IF(OR(A1232="",NOT(ISNUMBER(I1232))),"",IF(G1232=Lists!$B$5,I1232/2,IF(G1232=Lists!$B$6,I1232,0)))</f>
        <v/>
      </c>
      <c r="N1232" s="52">
        <f>IF(OR(A1232="",NOT(ISNUMBER(I1232))),"",IF(G1232=Lists!$B$5,I1232/2,IF(G1232=Lists!$B$7,I1232,0)))</f>
        <v/>
      </c>
      <c r="O1232" s="53">
        <f>IF(COUNTA(A1232:K1232)=0,"",IF(OR(A1232="",B1232="",C1232="",D1232="",E1232="",F1232="",G1232="",NOT(ISNUMBER(I1232))),"Incomplete",IF(COUNTIF(Lists!$H$4:$AA$4,C1232)=0,"Check category",IF(COUNTIF(INDEX(Lists!$H$6:$AA$45,0,MATCH(C1232,Lists!$H$4:$AA$4,0)),D1232)=0,"Check sub-category","OK"))))</f>
        <v/>
      </c>
      <c r="P1232">
        <f>IF(ISNUMBER(I1232),I1232+ROW()/10000000,"")</f>
        <v/>
      </c>
      <c r="Q1232">
        <f>IF(AND(ISNUMBER(P1232),ISNUMBER(A1232)),IF(AND(A1232&gt;=Dashboard!$Q$3,A1232&lt;=Dashboard!$Q$4,OR(J1232&lt;&gt;"Yes",Dashboard!$Q$15="Yes")),P1232,""),"")</f>
        <v/>
      </c>
    </row>
    <row r="1233">
      <c r="A1233" s="47" t="n"/>
      <c r="B1233" s="48" t="n"/>
      <c r="C1233" s="48" t="n"/>
      <c r="D1233" s="48" t="n"/>
      <c r="E1233" s="48" t="n"/>
      <c r="F1233" s="48" t="n"/>
      <c r="G1233" s="48" t="n"/>
      <c r="H1233" s="48" t="n"/>
      <c r="I1233" s="49" t="n"/>
      <c r="J1233" s="50" t="n"/>
      <c r="K1233" s="48" t="n"/>
      <c r="L1233" s="51">
        <f>IF(A1233="","",DATE(YEAR(A1233),MONTH(A1233),1))</f>
        <v/>
      </c>
      <c r="M1233" s="52">
        <f>IF(OR(A1233="",NOT(ISNUMBER(I1233))),"",IF(G1233=Lists!$B$5,I1233/2,IF(G1233=Lists!$B$6,I1233,0)))</f>
        <v/>
      </c>
      <c r="N1233" s="52">
        <f>IF(OR(A1233="",NOT(ISNUMBER(I1233))),"",IF(G1233=Lists!$B$5,I1233/2,IF(G1233=Lists!$B$7,I1233,0)))</f>
        <v/>
      </c>
      <c r="O1233" s="53">
        <f>IF(COUNTA(A1233:K1233)=0,"",IF(OR(A1233="",B1233="",C1233="",D1233="",E1233="",F1233="",G1233="",NOT(ISNUMBER(I1233))),"Incomplete",IF(COUNTIF(Lists!$H$4:$AA$4,C1233)=0,"Check category",IF(COUNTIF(INDEX(Lists!$H$6:$AA$45,0,MATCH(C1233,Lists!$H$4:$AA$4,0)),D1233)=0,"Check sub-category","OK"))))</f>
        <v/>
      </c>
      <c r="P1233">
        <f>IF(ISNUMBER(I1233),I1233+ROW()/10000000,"")</f>
        <v/>
      </c>
      <c r="Q1233">
        <f>IF(AND(ISNUMBER(P1233),ISNUMBER(A1233)),IF(AND(A1233&gt;=Dashboard!$Q$3,A1233&lt;=Dashboard!$Q$4,OR(J1233&lt;&gt;"Yes",Dashboard!$Q$15="Yes")),P1233,""),"")</f>
        <v/>
      </c>
    </row>
    <row r="1234">
      <c r="A1234" s="47" t="n"/>
      <c r="B1234" s="48" t="n"/>
      <c r="C1234" s="48" t="n"/>
      <c r="D1234" s="48" t="n"/>
      <c r="E1234" s="48" t="n"/>
      <c r="F1234" s="48" t="n"/>
      <c r="G1234" s="48" t="n"/>
      <c r="H1234" s="48" t="n"/>
      <c r="I1234" s="49" t="n"/>
      <c r="J1234" s="50" t="n"/>
      <c r="K1234" s="48" t="n"/>
      <c r="L1234" s="51">
        <f>IF(A1234="","",DATE(YEAR(A1234),MONTH(A1234),1))</f>
        <v/>
      </c>
      <c r="M1234" s="52">
        <f>IF(OR(A1234="",NOT(ISNUMBER(I1234))),"",IF(G1234=Lists!$B$5,I1234/2,IF(G1234=Lists!$B$6,I1234,0)))</f>
        <v/>
      </c>
      <c r="N1234" s="52">
        <f>IF(OR(A1234="",NOT(ISNUMBER(I1234))),"",IF(G1234=Lists!$B$5,I1234/2,IF(G1234=Lists!$B$7,I1234,0)))</f>
        <v/>
      </c>
      <c r="O1234" s="53">
        <f>IF(COUNTA(A1234:K1234)=0,"",IF(OR(A1234="",B1234="",C1234="",D1234="",E1234="",F1234="",G1234="",NOT(ISNUMBER(I1234))),"Incomplete",IF(COUNTIF(Lists!$H$4:$AA$4,C1234)=0,"Check category",IF(COUNTIF(INDEX(Lists!$H$6:$AA$45,0,MATCH(C1234,Lists!$H$4:$AA$4,0)),D1234)=0,"Check sub-category","OK"))))</f>
        <v/>
      </c>
      <c r="P1234">
        <f>IF(ISNUMBER(I1234),I1234+ROW()/10000000,"")</f>
        <v/>
      </c>
      <c r="Q1234">
        <f>IF(AND(ISNUMBER(P1234),ISNUMBER(A1234)),IF(AND(A1234&gt;=Dashboard!$Q$3,A1234&lt;=Dashboard!$Q$4,OR(J1234&lt;&gt;"Yes",Dashboard!$Q$15="Yes")),P1234,""),"")</f>
        <v/>
      </c>
    </row>
    <row r="1235">
      <c r="A1235" s="47" t="n"/>
      <c r="B1235" s="48" t="n"/>
      <c r="C1235" s="48" t="n"/>
      <c r="D1235" s="48" t="n"/>
      <c r="E1235" s="48" t="n"/>
      <c r="F1235" s="48" t="n"/>
      <c r="G1235" s="48" t="n"/>
      <c r="H1235" s="48" t="n"/>
      <c r="I1235" s="49" t="n"/>
      <c r="J1235" s="50" t="n"/>
      <c r="K1235" s="48" t="n"/>
      <c r="L1235" s="51">
        <f>IF(A1235="","",DATE(YEAR(A1235),MONTH(A1235),1))</f>
        <v/>
      </c>
      <c r="M1235" s="52">
        <f>IF(OR(A1235="",NOT(ISNUMBER(I1235))),"",IF(G1235=Lists!$B$5,I1235/2,IF(G1235=Lists!$B$6,I1235,0)))</f>
        <v/>
      </c>
      <c r="N1235" s="52">
        <f>IF(OR(A1235="",NOT(ISNUMBER(I1235))),"",IF(G1235=Lists!$B$5,I1235/2,IF(G1235=Lists!$B$7,I1235,0)))</f>
        <v/>
      </c>
      <c r="O1235" s="53">
        <f>IF(COUNTA(A1235:K1235)=0,"",IF(OR(A1235="",B1235="",C1235="",D1235="",E1235="",F1235="",G1235="",NOT(ISNUMBER(I1235))),"Incomplete",IF(COUNTIF(Lists!$H$4:$AA$4,C1235)=0,"Check category",IF(COUNTIF(INDEX(Lists!$H$6:$AA$45,0,MATCH(C1235,Lists!$H$4:$AA$4,0)),D1235)=0,"Check sub-category","OK"))))</f>
        <v/>
      </c>
      <c r="P1235">
        <f>IF(ISNUMBER(I1235),I1235+ROW()/10000000,"")</f>
        <v/>
      </c>
      <c r="Q1235">
        <f>IF(AND(ISNUMBER(P1235),ISNUMBER(A1235)),IF(AND(A1235&gt;=Dashboard!$Q$3,A1235&lt;=Dashboard!$Q$4,OR(J1235&lt;&gt;"Yes",Dashboard!$Q$15="Yes")),P1235,""),"")</f>
        <v/>
      </c>
    </row>
    <row r="1236">
      <c r="A1236" s="47" t="n"/>
      <c r="B1236" s="48" t="n"/>
      <c r="C1236" s="48" t="n"/>
      <c r="D1236" s="48" t="n"/>
      <c r="E1236" s="48" t="n"/>
      <c r="F1236" s="48" t="n"/>
      <c r="G1236" s="48" t="n"/>
      <c r="H1236" s="48" t="n"/>
      <c r="I1236" s="49" t="n"/>
      <c r="J1236" s="50" t="n"/>
      <c r="K1236" s="48" t="n"/>
      <c r="L1236" s="51">
        <f>IF(A1236="","",DATE(YEAR(A1236),MONTH(A1236),1))</f>
        <v/>
      </c>
      <c r="M1236" s="52">
        <f>IF(OR(A1236="",NOT(ISNUMBER(I1236))),"",IF(G1236=Lists!$B$5,I1236/2,IF(G1236=Lists!$B$6,I1236,0)))</f>
        <v/>
      </c>
      <c r="N1236" s="52">
        <f>IF(OR(A1236="",NOT(ISNUMBER(I1236))),"",IF(G1236=Lists!$B$5,I1236/2,IF(G1236=Lists!$B$7,I1236,0)))</f>
        <v/>
      </c>
      <c r="O1236" s="53">
        <f>IF(COUNTA(A1236:K1236)=0,"",IF(OR(A1236="",B1236="",C1236="",D1236="",E1236="",F1236="",G1236="",NOT(ISNUMBER(I1236))),"Incomplete",IF(COUNTIF(Lists!$H$4:$AA$4,C1236)=0,"Check category",IF(COUNTIF(INDEX(Lists!$H$6:$AA$45,0,MATCH(C1236,Lists!$H$4:$AA$4,0)),D1236)=0,"Check sub-category","OK"))))</f>
        <v/>
      </c>
      <c r="P1236">
        <f>IF(ISNUMBER(I1236),I1236+ROW()/10000000,"")</f>
        <v/>
      </c>
      <c r="Q1236">
        <f>IF(AND(ISNUMBER(P1236),ISNUMBER(A1236)),IF(AND(A1236&gt;=Dashboard!$Q$3,A1236&lt;=Dashboard!$Q$4,OR(J1236&lt;&gt;"Yes",Dashboard!$Q$15="Yes")),P1236,""),"")</f>
        <v/>
      </c>
    </row>
    <row r="1237">
      <c r="A1237" s="47" t="n"/>
      <c r="B1237" s="48" t="n"/>
      <c r="C1237" s="48" t="n"/>
      <c r="D1237" s="48" t="n"/>
      <c r="E1237" s="48" t="n"/>
      <c r="F1237" s="48" t="n"/>
      <c r="G1237" s="48" t="n"/>
      <c r="H1237" s="48" t="n"/>
      <c r="I1237" s="49" t="n"/>
      <c r="J1237" s="50" t="n"/>
      <c r="K1237" s="48" t="n"/>
      <c r="L1237" s="51">
        <f>IF(A1237="","",DATE(YEAR(A1237),MONTH(A1237),1))</f>
        <v/>
      </c>
      <c r="M1237" s="52">
        <f>IF(OR(A1237="",NOT(ISNUMBER(I1237))),"",IF(G1237=Lists!$B$5,I1237/2,IF(G1237=Lists!$B$6,I1237,0)))</f>
        <v/>
      </c>
      <c r="N1237" s="52">
        <f>IF(OR(A1237="",NOT(ISNUMBER(I1237))),"",IF(G1237=Lists!$B$5,I1237/2,IF(G1237=Lists!$B$7,I1237,0)))</f>
        <v/>
      </c>
      <c r="O1237" s="53">
        <f>IF(COUNTA(A1237:K1237)=0,"",IF(OR(A1237="",B1237="",C1237="",D1237="",E1237="",F1237="",G1237="",NOT(ISNUMBER(I1237))),"Incomplete",IF(COUNTIF(Lists!$H$4:$AA$4,C1237)=0,"Check category",IF(COUNTIF(INDEX(Lists!$H$6:$AA$45,0,MATCH(C1237,Lists!$H$4:$AA$4,0)),D1237)=0,"Check sub-category","OK"))))</f>
        <v/>
      </c>
      <c r="P1237">
        <f>IF(ISNUMBER(I1237),I1237+ROW()/10000000,"")</f>
        <v/>
      </c>
      <c r="Q1237">
        <f>IF(AND(ISNUMBER(P1237),ISNUMBER(A1237)),IF(AND(A1237&gt;=Dashboard!$Q$3,A1237&lt;=Dashboard!$Q$4,OR(J1237&lt;&gt;"Yes",Dashboard!$Q$15="Yes")),P1237,""),"")</f>
        <v/>
      </c>
    </row>
    <row r="1238">
      <c r="A1238" s="47" t="n"/>
      <c r="B1238" s="48" t="n"/>
      <c r="C1238" s="48" t="n"/>
      <c r="D1238" s="48" t="n"/>
      <c r="E1238" s="48" t="n"/>
      <c r="F1238" s="48" t="n"/>
      <c r="G1238" s="48" t="n"/>
      <c r="H1238" s="48" t="n"/>
      <c r="I1238" s="49" t="n"/>
      <c r="J1238" s="50" t="n"/>
      <c r="K1238" s="48" t="n"/>
      <c r="L1238" s="51">
        <f>IF(A1238="","",DATE(YEAR(A1238),MONTH(A1238),1))</f>
        <v/>
      </c>
      <c r="M1238" s="52">
        <f>IF(OR(A1238="",NOT(ISNUMBER(I1238))),"",IF(G1238=Lists!$B$5,I1238/2,IF(G1238=Lists!$B$6,I1238,0)))</f>
        <v/>
      </c>
      <c r="N1238" s="52">
        <f>IF(OR(A1238="",NOT(ISNUMBER(I1238))),"",IF(G1238=Lists!$B$5,I1238/2,IF(G1238=Lists!$B$7,I1238,0)))</f>
        <v/>
      </c>
      <c r="O1238" s="53">
        <f>IF(COUNTA(A1238:K1238)=0,"",IF(OR(A1238="",B1238="",C1238="",D1238="",E1238="",F1238="",G1238="",NOT(ISNUMBER(I1238))),"Incomplete",IF(COUNTIF(Lists!$H$4:$AA$4,C1238)=0,"Check category",IF(COUNTIF(INDEX(Lists!$H$6:$AA$45,0,MATCH(C1238,Lists!$H$4:$AA$4,0)),D1238)=0,"Check sub-category","OK"))))</f>
        <v/>
      </c>
      <c r="P1238">
        <f>IF(ISNUMBER(I1238),I1238+ROW()/10000000,"")</f>
        <v/>
      </c>
      <c r="Q1238">
        <f>IF(AND(ISNUMBER(P1238),ISNUMBER(A1238)),IF(AND(A1238&gt;=Dashboard!$Q$3,A1238&lt;=Dashboard!$Q$4,OR(J1238&lt;&gt;"Yes",Dashboard!$Q$15="Yes")),P1238,""),"")</f>
        <v/>
      </c>
    </row>
    <row r="1239">
      <c r="A1239" s="47" t="n"/>
      <c r="B1239" s="48" t="n"/>
      <c r="C1239" s="48" t="n"/>
      <c r="D1239" s="48" t="n"/>
      <c r="E1239" s="48" t="n"/>
      <c r="F1239" s="48" t="n"/>
      <c r="G1239" s="48" t="n"/>
      <c r="H1239" s="48" t="n"/>
      <c r="I1239" s="49" t="n"/>
      <c r="J1239" s="50" t="n"/>
      <c r="K1239" s="48" t="n"/>
      <c r="L1239" s="51">
        <f>IF(A1239="","",DATE(YEAR(A1239),MONTH(A1239),1))</f>
        <v/>
      </c>
      <c r="M1239" s="52">
        <f>IF(OR(A1239="",NOT(ISNUMBER(I1239))),"",IF(G1239=Lists!$B$5,I1239/2,IF(G1239=Lists!$B$6,I1239,0)))</f>
        <v/>
      </c>
      <c r="N1239" s="52">
        <f>IF(OR(A1239="",NOT(ISNUMBER(I1239))),"",IF(G1239=Lists!$B$5,I1239/2,IF(G1239=Lists!$B$7,I1239,0)))</f>
        <v/>
      </c>
      <c r="O1239" s="53">
        <f>IF(COUNTA(A1239:K1239)=0,"",IF(OR(A1239="",B1239="",C1239="",D1239="",E1239="",F1239="",G1239="",NOT(ISNUMBER(I1239))),"Incomplete",IF(COUNTIF(Lists!$H$4:$AA$4,C1239)=0,"Check category",IF(COUNTIF(INDEX(Lists!$H$6:$AA$45,0,MATCH(C1239,Lists!$H$4:$AA$4,0)),D1239)=0,"Check sub-category","OK"))))</f>
        <v/>
      </c>
      <c r="P1239">
        <f>IF(ISNUMBER(I1239),I1239+ROW()/10000000,"")</f>
        <v/>
      </c>
      <c r="Q1239">
        <f>IF(AND(ISNUMBER(P1239),ISNUMBER(A1239)),IF(AND(A1239&gt;=Dashboard!$Q$3,A1239&lt;=Dashboard!$Q$4,OR(J1239&lt;&gt;"Yes",Dashboard!$Q$15="Yes")),P1239,""),"")</f>
        <v/>
      </c>
    </row>
    <row r="1240">
      <c r="A1240" s="47" t="n"/>
      <c r="B1240" s="48" t="n"/>
      <c r="C1240" s="48" t="n"/>
      <c r="D1240" s="48" t="n"/>
      <c r="E1240" s="48" t="n"/>
      <c r="F1240" s="48" t="n"/>
      <c r="G1240" s="48" t="n"/>
      <c r="H1240" s="48" t="n"/>
      <c r="I1240" s="49" t="n"/>
      <c r="J1240" s="50" t="n"/>
      <c r="K1240" s="48" t="n"/>
      <c r="L1240" s="51">
        <f>IF(A1240="","",DATE(YEAR(A1240),MONTH(A1240),1))</f>
        <v/>
      </c>
      <c r="M1240" s="52">
        <f>IF(OR(A1240="",NOT(ISNUMBER(I1240))),"",IF(G1240=Lists!$B$5,I1240/2,IF(G1240=Lists!$B$6,I1240,0)))</f>
        <v/>
      </c>
      <c r="N1240" s="52">
        <f>IF(OR(A1240="",NOT(ISNUMBER(I1240))),"",IF(G1240=Lists!$B$5,I1240/2,IF(G1240=Lists!$B$7,I1240,0)))</f>
        <v/>
      </c>
      <c r="O1240" s="53">
        <f>IF(COUNTA(A1240:K1240)=0,"",IF(OR(A1240="",B1240="",C1240="",D1240="",E1240="",F1240="",G1240="",NOT(ISNUMBER(I1240))),"Incomplete",IF(COUNTIF(Lists!$H$4:$AA$4,C1240)=0,"Check category",IF(COUNTIF(INDEX(Lists!$H$6:$AA$45,0,MATCH(C1240,Lists!$H$4:$AA$4,0)),D1240)=0,"Check sub-category","OK"))))</f>
        <v/>
      </c>
      <c r="P1240">
        <f>IF(ISNUMBER(I1240),I1240+ROW()/10000000,"")</f>
        <v/>
      </c>
      <c r="Q1240">
        <f>IF(AND(ISNUMBER(P1240),ISNUMBER(A1240)),IF(AND(A1240&gt;=Dashboard!$Q$3,A1240&lt;=Dashboard!$Q$4,OR(J1240&lt;&gt;"Yes",Dashboard!$Q$15="Yes")),P1240,""),"")</f>
        <v/>
      </c>
    </row>
    <row r="1241">
      <c r="A1241" s="47" t="n"/>
      <c r="B1241" s="48" t="n"/>
      <c r="C1241" s="48" t="n"/>
      <c r="D1241" s="48" t="n"/>
      <c r="E1241" s="48" t="n"/>
      <c r="F1241" s="48" t="n"/>
      <c r="G1241" s="48" t="n"/>
      <c r="H1241" s="48" t="n"/>
      <c r="I1241" s="49" t="n"/>
      <c r="J1241" s="50" t="n"/>
      <c r="K1241" s="48" t="n"/>
      <c r="L1241" s="51">
        <f>IF(A1241="","",DATE(YEAR(A1241),MONTH(A1241),1))</f>
        <v/>
      </c>
      <c r="M1241" s="52">
        <f>IF(OR(A1241="",NOT(ISNUMBER(I1241))),"",IF(G1241=Lists!$B$5,I1241/2,IF(G1241=Lists!$B$6,I1241,0)))</f>
        <v/>
      </c>
      <c r="N1241" s="52">
        <f>IF(OR(A1241="",NOT(ISNUMBER(I1241))),"",IF(G1241=Lists!$B$5,I1241/2,IF(G1241=Lists!$B$7,I1241,0)))</f>
        <v/>
      </c>
      <c r="O1241" s="53">
        <f>IF(COUNTA(A1241:K1241)=0,"",IF(OR(A1241="",B1241="",C1241="",D1241="",E1241="",F1241="",G1241="",NOT(ISNUMBER(I1241))),"Incomplete",IF(COUNTIF(Lists!$H$4:$AA$4,C1241)=0,"Check category",IF(COUNTIF(INDEX(Lists!$H$6:$AA$45,0,MATCH(C1241,Lists!$H$4:$AA$4,0)),D1241)=0,"Check sub-category","OK"))))</f>
        <v/>
      </c>
      <c r="P1241">
        <f>IF(ISNUMBER(I1241),I1241+ROW()/10000000,"")</f>
        <v/>
      </c>
      <c r="Q1241">
        <f>IF(AND(ISNUMBER(P1241),ISNUMBER(A1241)),IF(AND(A1241&gt;=Dashboard!$Q$3,A1241&lt;=Dashboard!$Q$4,OR(J1241&lt;&gt;"Yes",Dashboard!$Q$15="Yes")),P1241,""),"")</f>
        <v/>
      </c>
    </row>
    <row r="1242">
      <c r="A1242" s="47" t="n"/>
      <c r="B1242" s="48" t="n"/>
      <c r="C1242" s="48" t="n"/>
      <c r="D1242" s="48" t="n"/>
      <c r="E1242" s="48" t="n"/>
      <c r="F1242" s="48" t="n"/>
      <c r="G1242" s="48" t="n"/>
      <c r="H1242" s="48" t="n"/>
      <c r="I1242" s="49" t="n"/>
      <c r="J1242" s="50" t="n"/>
      <c r="K1242" s="48" t="n"/>
      <c r="L1242" s="51">
        <f>IF(A1242="","",DATE(YEAR(A1242),MONTH(A1242),1))</f>
        <v/>
      </c>
      <c r="M1242" s="52">
        <f>IF(OR(A1242="",NOT(ISNUMBER(I1242))),"",IF(G1242=Lists!$B$5,I1242/2,IF(G1242=Lists!$B$6,I1242,0)))</f>
        <v/>
      </c>
      <c r="N1242" s="52">
        <f>IF(OR(A1242="",NOT(ISNUMBER(I1242))),"",IF(G1242=Lists!$B$5,I1242/2,IF(G1242=Lists!$B$7,I1242,0)))</f>
        <v/>
      </c>
      <c r="O1242" s="53">
        <f>IF(COUNTA(A1242:K1242)=0,"",IF(OR(A1242="",B1242="",C1242="",D1242="",E1242="",F1242="",G1242="",NOT(ISNUMBER(I1242))),"Incomplete",IF(COUNTIF(Lists!$H$4:$AA$4,C1242)=0,"Check category",IF(COUNTIF(INDEX(Lists!$H$6:$AA$45,0,MATCH(C1242,Lists!$H$4:$AA$4,0)),D1242)=0,"Check sub-category","OK"))))</f>
        <v/>
      </c>
      <c r="P1242">
        <f>IF(ISNUMBER(I1242),I1242+ROW()/10000000,"")</f>
        <v/>
      </c>
      <c r="Q1242">
        <f>IF(AND(ISNUMBER(P1242),ISNUMBER(A1242)),IF(AND(A1242&gt;=Dashboard!$Q$3,A1242&lt;=Dashboard!$Q$4,OR(J1242&lt;&gt;"Yes",Dashboard!$Q$15="Yes")),P1242,""),"")</f>
        <v/>
      </c>
    </row>
    <row r="1243">
      <c r="A1243" s="47" t="n"/>
      <c r="B1243" s="48" t="n"/>
      <c r="C1243" s="48" t="n"/>
      <c r="D1243" s="48" t="n"/>
      <c r="E1243" s="48" t="n"/>
      <c r="F1243" s="48" t="n"/>
      <c r="G1243" s="48" t="n"/>
      <c r="H1243" s="48" t="n"/>
      <c r="I1243" s="49" t="n"/>
      <c r="J1243" s="50" t="n"/>
      <c r="K1243" s="48" t="n"/>
      <c r="L1243" s="51">
        <f>IF(A1243="","",DATE(YEAR(A1243),MONTH(A1243),1))</f>
        <v/>
      </c>
      <c r="M1243" s="52">
        <f>IF(OR(A1243="",NOT(ISNUMBER(I1243))),"",IF(G1243=Lists!$B$5,I1243/2,IF(G1243=Lists!$B$6,I1243,0)))</f>
        <v/>
      </c>
      <c r="N1243" s="52">
        <f>IF(OR(A1243="",NOT(ISNUMBER(I1243))),"",IF(G1243=Lists!$B$5,I1243/2,IF(G1243=Lists!$B$7,I1243,0)))</f>
        <v/>
      </c>
      <c r="O1243" s="53">
        <f>IF(COUNTA(A1243:K1243)=0,"",IF(OR(A1243="",B1243="",C1243="",D1243="",E1243="",F1243="",G1243="",NOT(ISNUMBER(I1243))),"Incomplete",IF(COUNTIF(Lists!$H$4:$AA$4,C1243)=0,"Check category",IF(COUNTIF(INDEX(Lists!$H$6:$AA$45,0,MATCH(C1243,Lists!$H$4:$AA$4,0)),D1243)=0,"Check sub-category","OK"))))</f>
        <v/>
      </c>
      <c r="P1243">
        <f>IF(ISNUMBER(I1243),I1243+ROW()/10000000,"")</f>
        <v/>
      </c>
      <c r="Q1243">
        <f>IF(AND(ISNUMBER(P1243),ISNUMBER(A1243)),IF(AND(A1243&gt;=Dashboard!$Q$3,A1243&lt;=Dashboard!$Q$4,OR(J1243&lt;&gt;"Yes",Dashboard!$Q$15="Yes")),P1243,""),"")</f>
        <v/>
      </c>
    </row>
    <row r="1244">
      <c r="A1244" s="47" t="n"/>
      <c r="B1244" s="48" t="n"/>
      <c r="C1244" s="48" t="n"/>
      <c r="D1244" s="48" t="n"/>
      <c r="E1244" s="48" t="n"/>
      <c r="F1244" s="48" t="n"/>
      <c r="G1244" s="48" t="n"/>
      <c r="H1244" s="48" t="n"/>
      <c r="I1244" s="49" t="n"/>
      <c r="J1244" s="50" t="n"/>
      <c r="K1244" s="48" t="n"/>
      <c r="L1244" s="51">
        <f>IF(A1244="","",DATE(YEAR(A1244),MONTH(A1244),1))</f>
        <v/>
      </c>
      <c r="M1244" s="52">
        <f>IF(OR(A1244="",NOT(ISNUMBER(I1244))),"",IF(G1244=Lists!$B$5,I1244/2,IF(G1244=Lists!$B$6,I1244,0)))</f>
        <v/>
      </c>
      <c r="N1244" s="52">
        <f>IF(OR(A1244="",NOT(ISNUMBER(I1244))),"",IF(G1244=Lists!$B$5,I1244/2,IF(G1244=Lists!$B$7,I1244,0)))</f>
        <v/>
      </c>
      <c r="O1244" s="53">
        <f>IF(COUNTA(A1244:K1244)=0,"",IF(OR(A1244="",B1244="",C1244="",D1244="",E1244="",F1244="",G1244="",NOT(ISNUMBER(I1244))),"Incomplete",IF(COUNTIF(Lists!$H$4:$AA$4,C1244)=0,"Check category",IF(COUNTIF(INDEX(Lists!$H$6:$AA$45,0,MATCH(C1244,Lists!$H$4:$AA$4,0)),D1244)=0,"Check sub-category","OK"))))</f>
        <v/>
      </c>
      <c r="P1244">
        <f>IF(ISNUMBER(I1244),I1244+ROW()/10000000,"")</f>
        <v/>
      </c>
      <c r="Q1244">
        <f>IF(AND(ISNUMBER(P1244),ISNUMBER(A1244)),IF(AND(A1244&gt;=Dashboard!$Q$3,A1244&lt;=Dashboard!$Q$4,OR(J1244&lt;&gt;"Yes",Dashboard!$Q$15="Yes")),P1244,""),"")</f>
        <v/>
      </c>
    </row>
    <row r="1245">
      <c r="A1245" s="47" t="n"/>
      <c r="B1245" s="48" t="n"/>
      <c r="C1245" s="48" t="n"/>
      <c r="D1245" s="48" t="n"/>
      <c r="E1245" s="48" t="n"/>
      <c r="F1245" s="48" t="n"/>
      <c r="G1245" s="48" t="n"/>
      <c r="H1245" s="48" t="n"/>
      <c r="I1245" s="49" t="n"/>
      <c r="J1245" s="50" t="n"/>
      <c r="K1245" s="48" t="n"/>
      <c r="L1245" s="51">
        <f>IF(A1245="","",DATE(YEAR(A1245),MONTH(A1245),1))</f>
        <v/>
      </c>
      <c r="M1245" s="52">
        <f>IF(OR(A1245="",NOT(ISNUMBER(I1245))),"",IF(G1245=Lists!$B$5,I1245/2,IF(G1245=Lists!$B$6,I1245,0)))</f>
        <v/>
      </c>
      <c r="N1245" s="52">
        <f>IF(OR(A1245="",NOT(ISNUMBER(I1245))),"",IF(G1245=Lists!$B$5,I1245/2,IF(G1245=Lists!$B$7,I1245,0)))</f>
        <v/>
      </c>
      <c r="O1245" s="53">
        <f>IF(COUNTA(A1245:K1245)=0,"",IF(OR(A1245="",B1245="",C1245="",D1245="",E1245="",F1245="",G1245="",NOT(ISNUMBER(I1245))),"Incomplete",IF(COUNTIF(Lists!$H$4:$AA$4,C1245)=0,"Check category",IF(COUNTIF(INDEX(Lists!$H$6:$AA$45,0,MATCH(C1245,Lists!$H$4:$AA$4,0)),D1245)=0,"Check sub-category","OK"))))</f>
        <v/>
      </c>
      <c r="P1245">
        <f>IF(ISNUMBER(I1245),I1245+ROW()/10000000,"")</f>
        <v/>
      </c>
      <c r="Q1245">
        <f>IF(AND(ISNUMBER(P1245),ISNUMBER(A1245)),IF(AND(A1245&gt;=Dashboard!$Q$3,A1245&lt;=Dashboard!$Q$4,OR(J1245&lt;&gt;"Yes",Dashboard!$Q$15="Yes")),P1245,""),"")</f>
        <v/>
      </c>
    </row>
    <row r="1246">
      <c r="A1246" s="47" t="n"/>
      <c r="B1246" s="48" t="n"/>
      <c r="C1246" s="48" t="n"/>
      <c r="D1246" s="48" t="n"/>
      <c r="E1246" s="48" t="n"/>
      <c r="F1246" s="48" t="n"/>
      <c r="G1246" s="48" t="n"/>
      <c r="H1246" s="48" t="n"/>
      <c r="I1246" s="49" t="n"/>
      <c r="J1246" s="50" t="n"/>
      <c r="K1246" s="48" t="n"/>
      <c r="L1246" s="51">
        <f>IF(A1246="","",DATE(YEAR(A1246),MONTH(A1246),1))</f>
        <v/>
      </c>
      <c r="M1246" s="52">
        <f>IF(OR(A1246="",NOT(ISNUMBER(I1246))),"",IF(G1246=Lists!$B$5,I1246/2,IF(G1246=Lists!$B$6,I1246,0)))</f>
        <v/>
      </c>
      <c r="N1246" s="52">
        <f>IF(OR(A1246="",NOT(ISNUMBER(I1246))),"",IF(G1246=Lists!$B$5,I1246/2,IF(G1246=Lists!$B$7,I1246,0)))</f>
        <v/>
      </c>
      <c r="O1246" s="53">
        <f>IF(COUNTA(A1246:K1246)=0,"",IF(OR(A1246="",B1246="",C1246="",D1246="",E1246="",F1246="",G1246="",NOT(ISNUMBER(I1246))),"Incomplete",IF(COUNTIF(Lists!$H$4:$AA$4,C1246)=0,"Check category",IF(COUNTIF(INDEX(Lists!$H$6:$AA$45,0,MATCH(C1246,Lists!$H$4:$AA$4,0)),D1246)=0,"Check sub-category","OK"))))</f>
        <v/>
      </c>
      <c r="P1246">
        <f>IF(ISNUMBER(I1246),I1246+ROW()/10000000,"")</f>
        <v/>
      </c>
      <c r="Q1246">
        <f>IF(AND(ISNUMBER(P1246),ISNUMBER(A1246)),IF(AND(A1246&gt;=Dashboard!$Q$3,A1246&lt;=Dashboard!$Q$4,OR(J1246&lt;&gt;"Yes",Dashboard!$Q$15="Yes")),P1246,""),"")</f>
        <v/>
      </c>
    </row>
    <row r="1247">
      <c r="A1247" s="47" t="n"/>
      <c r="B1247" s="48" t="n"/>
      <c r="C1247" s="48" t="n"/>
      <c r="D1247" s="48" t="n"/>
      <c r="E1247" s="48" t="n"/>
      <c r="F1247" s="48" t="n"/>
      <c r="G1247" s="48" t="n"/>
      <c r="H1247" s="48" t="n"/>
      <c r="I1247" s="49" t="n"/>
      <c r="J1247" s="50" t="n"/>
      <c r="K1247" s="48" t="n"/>
      <c r="L1247" s="51">
        <f>IF(A1247="","",DATE(YEAR(A1247),MONTH(A1247),1))</f>
        <v/>
      </c>
      <c r="M1247" s="52">
        <f>IF(OR(A1247="",NOT(ISNUMBER(I1247))),"",IF(G1247=Lists!$B$5,I1247/2,IF(G1247=Lists!$B$6,I1247,0)))</f>
        <v/>
      </c>
      <c r="N1247" s="52">
        <f>IF(OR(A1247="",NOT(ISNUMBER(I1247))),"",IF(G1247=Lists!$B$5,I1247/2,IF(G1247=Lists!$B$7,I1247,0)))</f>
        <v/>
      </c>
      <c r="O1247" s="53">
        <f>IF(COUNTA(A1247:K1247)=0,"",IF(OR(A1247="",B1247="",C1247="",D1247="",E1247="",F1247="",G1247="",NOT(ISNUMBER(I1247))),"Incomplete",IF(COUNTIF(Lists!$H$4:$AA$4,C1247)=0,"Check category",IF(COUNTIF(INDEX(Lists!$H$6:$AA$45,0,MATCH(C1247,Lists!$H$4:$AA$4,0)),D1247)=0,"Check sub-category","OK"))))</f>
        <v/>
      </c>
      <c r="P1247">
        <f>IF(ISNUMBER(I1247),I1247+ROW()/10000000,"")</f>
        <v/>
      </c>
      <c r="Q1247">
        <f>IF(AND(ISNUMBER(P1247),ISNUMBER(A1247)),IF(AND(A1247&gt;=Dashboard!$Q$3,A1247&lt;=Dashboard!$Q$4,OR(J1247&lt;&gt;"Yes",Dashboard!$Q$15="Yes")),P1247,""),"")</f>
        <v/>
      </c>
    </row>
    <row r="1248">
      <c r="A1248" s="47" t="n"/>
      <c r="B1248" s="48" t="n"/>
      <c r="C1248" s="48" t="n"/>
      <c r="D1248" s="48" t="n"/>
      <c r="E1248" s="48" t="n"/>
      <c r="F1248" s="48" t="n"/>
      <c r="G1248" s="48" t="n"/>
      <c r="H1248" s="48" t="n"/>
      <c r="I1248" s="49" t="n"/>
      <c r="J1248" s="50" t="n"/>
      <c r="K1248" s="48" t="n"/>
      <c r="L1248" s="51">
        <f>IF(A1248="","",DATE(YEAR(A1248),MONTH(A1248),1))</f>
        <v/>
      </c>
      <c r="M1248" s="52">
        <f>IF(OR(A1248="",NOT(ISNUMBER(I1248))),"",IF(G1248=Lists!$B$5,I1248/2,IF(G1248=Lists!$B$6,I1248,0)))</f>
        <v/>
      </c>
      <c r="N1248" s="52">
        <f>IF(OR(A1248="",NOT(ISNUMBER(I1248))),"",IF(G1248=Lists!$B$5,I1248/2,IF(G1248=Lists!$B$7,I1248,0)))</f>
        <v/>
      </c>
      <c r="O1248" s="53">
        <f>IF(COUNTA(A1248:K1248)=0,"",IF(OR(A1248="",B1248="",C1248="",D1248="",E1248="",F1248="",G1248="",NOT(ISNUMBER(I1248))),"Incomplete",IF(COUNTIF(Lists!$H$4:$AA$4,C1248)=0,"Check category",IF(COUNTIF(INDEX(Lists!$H$6:$AA$45,0,MATCH(C1248,Lists!$H$4:$AA$4,0)),D1248)=0,"Check sub-category","OK"))))</f>
        <v/>
      </c>
      <c r="P1248">
        <f>IF(ISNUMBER(I1248),I1248+ROW()/10000000,"")</f>
        <v/>
      </c>
      <c r="Q1248">
        <f>IF(AND(ISNUMBER(P1248),ISNUMBER(A1248)),IF(AND(A1248&gt;=Dashboard!$Q$3,A1248&lt;=Dashboard!$Q$4,OR(J1248&lt;&gt;"Yes",Dashboard!$Q$15="Yes")),P1248,""),"")</f>
        <v/>
      </c>
    </row>
    <row r="1249">
      <c r="A1249" s="47" t="n"/>
      <c r="B1249" s="48" t="n"/>
      <c r="C1249" s="48" t="n"/>
      <c r="D1249" s="48" t="n"/>
      <c r="E1249" s="48" t="n"/>
      <c r="F1249" s="48" t="n"/>
      <c r="G1249" s="48" t="n"/>
      <c r="H1249" s="48" t="n"/>
      <c r="I1249" s="49" t="n"/>
      <c r="J1249" s="50" t="n"/>
      <c r="K1249" s="48" t="n"/>
      <c r="L1249" s="51">
        <f>IF(A1249="","",DATE(YEAR(A1249),MONTH(A1249),1))</f>
        <v/>
      </c>
      <c r="M1249" s="52">
        <f>IF(OR(A1249="",NOT(ISNUMBER(I1249))),"",IF(G1249=Lists!$B$5,I1249/2,IF(G1249=Lists!$B$6,I1249,0)))</f>
        <v/>
      </c>
      <c r="N1249" s="52">
        <f>IF(OR(A1249="",NOT(ISNUMBER(I1249))),"",IF(G1249=Lists!$B$5,I1249/2,IF(G1249=Lists!$B$7,I1249,0)))</f>
        <v/>
      </c>
      <c r="O1249" s="53">
        <f>IF(COUNTA(A1249:K1249)=0,"",IF(OR(A1249="",B1249="",C1249="",D1249="",E1249="",F1249="",G1249="",NOT(ISNUMBER(I1249))),"Incomplete",IF(COUNTIF(Lists!$H$4:$AA$4,C1249)=0,"Check category",IF(COUNTIF(INDEX(Lists!$H$6:$AA$45,0,MATCH(C1249,Lists!$H$4:$AA$4,0)),D1249)=0,"Check sub-category","OK"))))</f>
        <v/>
      </c>
      <c r="P1249">
        <f>IF(ISNUMBER(I1249),I1249+ROW()/10000000,"")</f>
        <v/>
      </c>
      <c r="Q1249">
        <f>IF(AND(ISNUMBER(P1249),ISNUMBER(A1249)),IF(AND(A1249&gt;=Dashboard!$Q$3,A1249&lt;=Dashboard!$Q$4,OR(J1249&lt;&gt;"Yes",Dashboard!$Q$15="Yes")),P1249,""),"")</f>
        <v/>
      </c>
    </row>
    <row r="1250">
      <c r="A1250" s="47" t="n"/>
      <c r="B1250" s="48" t="n"/>
      <c r="C1250" s="48" t="n"/>
      <c r="D1250" s="48" t="n"/>
      <c r="E1250" s="48" t="n"/>
      <c r="F1250" s="48" t="n"/>
      <c r="G1250" s="48" t="n"/>
      <c r="H1250" s="48" t="n"/>
      <c r="I1250" s="49" t="n"/>
      <c r="J1250" s="50" t="n"/>
      <c r="K1250" s="48" t="n"/>
      <c r="L1250" s="51">
        <f>IF(A1250="","",DATE(YEAR(A1250),MONTH(A1250),1))</f>
        <v/>
      </c>
      <c r="M1250" s="52">
        <f>IF(OR(A1250="",NOT(ISNUMBER(I1250))),"",IF(G1250=Lists!$B$5,I1250/2,IF(G1250=Lists!$B$6,I1250,0)))</f>
        <v/>
      </c>
      <c r="N1250" s="52">
        <f>IF(OR(A1250="",NOT(ISNUMBER(I1250))),"",IF(G1250=Lists!$B$5,I1250/2,IF(G1250=Lists!$B$7,I1250,0)))</f>
        <v/>
      </c>
      <c r="O1250" s="53">
        <f>IF(COUNTA(A1250:K1250)=0,"",IF(OR(A1250="",B1250="",C1250="",D1250="",E1250="",F1250="",G1250="",NOT(ISNUMBER(I1250))),"Incomplete",IF(COUNTIF(Lists!$H$4:$AA$4,C1250)=0,"Check category",IF(COUNTIF(INDEX(Lists!$H$6:$AA$45,0,MATCH(C1250,Lists!$H$4:$AA$4,0)),D1250)=0,"Check sub-category","OK"))))</f>
        <v/>
      </c>
      <c r="P1250">
        <f>IF(ISNUMBER(I1250),I1250+ROW()/10000000,"")</f>
        <v/>
      </c>
      <c r="Q1250">
        <f>IF(AND(ISNUMBER(P1250),ISNUMBER(A1250)),IF(AND(A1250&gt;=Dashboard!$Q$3,A1250&lt;=Dashboard!$Q$4,OR(J1250&lt;&gt;"Yes",Dashboard!$Q$15="Yes")),P1250,""),"")</f>
        <v/>
      </c>
    </row>
    <row r="1251">
      <c r="A1251" s="47" t="n"/>
      <c r="B1251" s="48" t="n"/>
      <c r="C1251" s="48" t="n"/>
      <c r="D1251" s="48" t="n"/>
      <c r="E1251" s="48" t="n"/>
      <c r="F1251" s="48" t="n"/>
      <c r="G1251" s="48" t="n"/>
      <c r="H1251" s="48" t="n"/>
      <c r="I1251" s="49" t="n"/>
      <c r="J1251" s="50" t="n"/>
      <c r="K1251" s="48" t="n"/>
      <c r="L1251" s="51">
        <f>IF(A1251="","",DATE(YEAR(A1251),MONTH(A1251),1))</f>
        <v/>
      </c>
      <c r="M1251" s="52">
        <f>IF(OR(A1251="",NOT(ISNUMBER(I1251))),"",IF(G1251=Lists!$B$5,I1251/2,IF(G1251=Lists!$B$6,I1251,0)))</f>
        <v/>
      </c>
      <c r="N1251" s="52">
        <f>IF(OR(A1251="",NOT(ISNUMBER(I1251))),"",IF(G1251=Lists!$B$5,I1251/2,IF(G1251=Lists!$B$7,I1251,0)))</f>
        <v/>
      </c>
      <c r="O1251" s="53">
        <f>IF(COUNTA(A1251:K1251)=0,"",IF(OR(A1251="",B1251="",C1251="",D1251="",E1251="",F1251="",G1251="",NOT(ISNUMBER(I1251))),"Incomplete",IF(COUNTIF(Lists!$H$4:$AA$4,C1251)=0,"Check category",IF(COUNTIF(INDEX(Lists!$H$6:$AA$45,0,MATCH(C1251,Lists!$H$4:$AA$4,0)),D1251)=0,"Check sub-category","OK"))))</f>
        <v/>
      </c>
      <c r="P1251">
        <f>IF(ISNUMBER(I1251),I1251+ROW()/10000000,"")</f>
        <v/>
      </c>
      <c r="Q1251">
        <f>IF(AND(ISNUMBER(P1251),ISNUMBER(A1251)),IF(AND(A1251&gt;=Dashboard!$Q$3,A1251&lt;=Dashboard!$Q$4,OR(J1251&lt;&gt;"Yes",Dashboard!$Q$15="Yes")),P1251,""),"")</f>
        <v/>
      </c>
    </row>
    <row r="1252">
      <c r="A1252" s="47" t="n"/>
      <c r="B1252" s="48" t="n"/>
      <c r="C1252" s="48" t="n"/>
      <c r="D1252" s="48" t="n"/>
      <c r="E1252" s="48" t="n"/>
      <c r="F1252" s="48" t="n"/>
      <c r="G1252" s="48" t="n"/>
      <c r="H1252" s="48" t="n"/>
      <c r="I1252" s="49" t="n"/>
      <c r="J1252" s="50" t="n"/>
      <c r="K1252" s="48" t="n"/>
      <c r="L1252" s="51">
        <f>IF(A1252="","",DATE(YEAR(A1252),MONTH(A1252),1))</f>
        <v/>
      </c>
      <c r="M1252" s="52">
        <f>IF(OR(A1252="",NOT(ISNUMBER(I1252))),"",IF(G1252=Lists!$B$5,I1252/2,IF(G1252=Lists!$B$6,I1252,0)))</f>
        <v/>
      </c>
      <c r="N1252" s="52">
        <f>IF(OR(A1252="",NOT(ISNUMBER(I1252))),"",IF(G1252=Lists!$B$5,I1252/2,IF(G1252=Lists!$B$7,I1252,0)))</f>
        <v/>
      </c>
      <c r="O1252" s="53">
        <f>IF(COUNTA(A1252:K1252)=0,"",IF(OR(A1252="",B1252="",C1252="",D1252="",E1252="",F1252="",G1252="",NOT(ISNUMBER(I1252))),"Incomplete",IF(COUNTIF(Lists!$H$4:$AA$4,C1252)=0,"Check category",IF(COUNTIF(INDEX(Lists!$H$6:$AA$45,0,MATCH(C1252,Lists!$H$4:$AA$4,0)),D1252)=0,"Check sub-category","OK"))))</f>
        <v/>
      </c>
      <c r="P1252">
        <f>IF(ISNUMBER(I1252),I1252+ROW()/10000000,"")</f>
        <v/>
      </c>
      <c r="Q1252">
        <f>IF(AND(ISNUMBER(P1252),ISNUMBER(A1252)),IF(AND(A1252&gt;=Dashboard!$Q$3,A1252&lt;=Dashboard!$Q$4,OR(J1252&lt;&gt;"Yes",Dashboard!$Q$15="Yes")),P1252,""),"")</f>
        <v/>
      </c>
    </row>
    <row r="1253">
      <c r="A1253" s="47" t="n"/>
      <c r="B1253" s="48" t="n"/>
      <c r="C1253" s="48" t="n"/>
      <c r="D1253" s="48" t="n"/>
      <c r="E1253" s="48" t="n"/>
      <c r="F1253" s="48" t="n"/>
      <c r="G1253" s="48" t="n"/>
      <c r="H1253" s="48" t="n"/>
      <c r="I1253" s="49" t="n"/>
      <c r="J1253" s="50" t="n"/>
      <c r="K1253" s="48" t="n"/>
      <c r="L1253" s="51">
        <f>IF(A1253="","",DATE(YEAR(A1253),MONTH(A1253),1))</f>
        <v/>
      </c>
      <c r="M1253" s="52">
        <f>IF(OR(A1253="",NOT(ISNUMBER(I1253))),"",IF(G1253=Lists!$B$5,I1253/2,IF(G1253=Lists!$B$6,I1253,0)))</f>
        <v/>
      </c>
      <c r="N1253" s="52">
        <f>IF(OR(A1253="",NOT(ISNUMBER(I1253))),"",IF(G1253=Lists!$B$5,I1253/2,IF(G1253=Lists!$B$7,I1253,0)))</f>
        <v/>
      </c>
      <c r="O1253" s="53">
        <f>IF(COUNTA(A1253:K1253)=0,"",IF(OR(A1253="",B1253="",C1253="",D1253="",E1253="",F1253="",G1253="",NOT(ISNUMBER(I1253))),"Incomplete",IF(COUNTIF(Lists!$H$4:$AA$4,C1253)=0,"Check category",IF(COUNTIF(INDEX(Lists!$H$6:$AA$45,0,MATCH(C1253,Lists!$H$4:$AA$4,0)),D1253)=0,"Check sub-category","OK"))))</f>
        <v/>
      </c>
      <c r="P1253">
        <f>IF(ISNUMBER(I1253),I1253+ROW()/10000000,"")</f>
        <v/>
      </c>
      <c r="Q1253">
        <f>IF(AND(ISNUMBER(P1253),ISNUMBER(A1253)),IF(AND(A1253&gt;=Dashboard!$Q$3,A1253&lt;=Dashboard!$Q$4,OR(J1253&lt;&gt;"Yes",Dashboard!$Q$15="Yes")),P1253,""),"")</f>
        <v/>
      </c>
    </row>
    <row r="1254">
      <c r="A1254" s="47" t="n"/>
      <c r="B1254" s="48" t="n"/>
      <c r="C1254" s="48" t="n"/>
      <c r="D1254" s="48" t="n"/>
      <c r="E1254" s="48" t="n"/>
      <c r="F1254" s="48" t="n"/>
      <c r="G1254" s="48" t="n"/>
      <c r="H1254" s="48" t="n"/>
      <c r="I1254" s="49" t="n"/>
      <c r="J1254" s="50" t="n"/>
      <c r="K1254" s="48" t="n"/>
      <c r="L1254" s="51">
        <f>IF(A1254="","",DATE(YEAR(A1254),MONTH(A1254),1))</f>
        <v/>
      </c>
      <c r="M1254" s="52">
        <f>IF(OR(A1254="",NOT(ISNUMBER(I1254))),"",IF(G1254=Lists!$B$5,I1254/2,IF(G1254=Lists!$B$6,I1254,0)))</f>
        <v/>
      </c>
      <c r="N1254" s="52">
        <f>IF(OR(A1254="",NOT(ISNUMBER(I1254))),"",IF(G1254=Lists!$B$5,I1254/2,IF(G1254=Lists!$B$7,I1254,0)))</f>
        <v/>
      </c>
      <c r="O1254" s="53">
        <f>IF(COUNTA(A1254:K1254)=0,"",IF(OR(A1254="",B1254="",C1254="",D1254="",E1254="",F1254="",G1254="",NOT(ISNUMBER(I1254))),"Incomplete",IF(COUNTIF(Lists!$H$4:$AA$4,C1254)=0,"Check category",IF(COUNTIF(INDEX(Lists!$H$6:$AA$45,0,MATCH(C1254,Lists!$H$4:$AA$4,0)),D1254)=0,"Check sub-category","OK"))))</f>
        <v/>
      </c>
      <c r="P1254">
        <f>IF(ISNUMBER(I1254),I1254+ROW()/10000000,"")</f>
        <v/>
      </c>
      <c r="Q1254">
        <f>IF(AND(ISNUMBER(P1254),ISNUMBER(A1254)),IF(AND(A1254&gt;=Dashboard!$Q$3,A1254&lt;=Dashboard!$Q$4,OR(J1254&lt;&gt;"Yes",Dashboard!$Q$15="Yes")),P1254,""),"")</f>
        <v/>
      </c>
    </row>
    <row r="1255">
      <c r="A1255" s="47" t="n"/>
      <c r="B1255" s="48" t="n"/>
      <c r="C1255" s="48" t="n"/>
      <c r="D1255" s="48" t="n"/>
      <c r="E1255" s="48" t="n"/>
      <c r="F1255" s="48" t="n"/>
      <c r="G1255" s="48" t="n"/>
      <c r="H1255" s="48" t="n"/>
      <c r="I1255" s="49" t="n"/>
      <c r="J1255" s="50" t="n"/>
      <c r="K1255" s="48" t="n"/>
      <c r="L1255" s="51">
        <f>IF(A1255="","",DATE(YEAR(A1255),MONTH(A1255),1))</f>
        <v/>
      </c>
      <c r="M1255" s="52">
        <f>IF(OR(A1255="",NOT(ISNUMBER(I1255))),"",IF(G1255=Lists!$B$5,I1255/2,IF(G1255=Lists!$B$6,I1255,0)))</f>
        <v/>
      </c>
      <c r="N1255" s="52">
        <f>IF(OR(A1255="",NOT(ISNUMBER(I1255))),"",IF(G1255=Lists!$B$5,I1255/2,IF(G1255=Lists!$B$7,I1255,0)))</f>
        <v/>
      </c>
      <c r="O1255" s="53">
        <f>IF(COUNTA(A1255:K1255)=0,"",IF(OR(A1255="",B1255="",C1255="",D1255="",E1255="",F1255="",G1255="",NOT(ISNUMBER(I1255))),"Incomplete",IF(COUNTIF(Lists!$H$4:$AA$4,C1255)=0,"Check category",IF(COUNTIF(INDEX(Lists!$H$6:$AA$45,0,MATCH(C1255,Lists!$H$4:$AA$4,0)),D1255)=0,"Check sub-category","OK"))))</f>
        <v/>
      </c>
      <c r="P1255">
        <f>IF(ISNUMBER(I1255),I1255+ROW()/10000000,"")</f>
        <v/>
      </c>
      <c r="Q1255">
        <f>IF(AND(ISNUMBER(P1255),ISNUMBER(A1255)),IF(AND(A1255&gt;=Dashboard!$Q$3,A1255&lt;=Dashboard!$Q$4,OR(J1255&lt;&gt;"Yes",Dashboard!$Q$15="Yes")),P1255,""),"")</f>
        <v/>
      </c>
    </row>
    <row r="1256">
      <c r="A1256" s="47" t="n"/>
      <c r="B1256" s="48" t="n"/>
      <c r="C1256" s="48" t="n"/>
      <c r="D1256" s="48" t="n"/>
      <c r="E1256" s="48" t="n"/>
      <c r="F1256" s="48" t="n"/>
      <c r="G1256" s="48" t="n"/>
      <c r="H1256" s="48" t="n"/>
      <c r="I1256" s="49" t="n"/>
      <c r="J1256" s="50" t="n"/>
      <c r="K1256" s="48" t="n"/>
      <c r="L1256" s="51">
        <f>IF(A1256="","",DATE(YEAR(A1256),MONTH(A1256),1))</f>
        <v/>
      </c>
      <c r="M1256" s="52">
        <f>IF(OR(A1256="",NOT(ISNUMBER(I1256))),"",IF(G1256=Lists!$B$5,I1256/2,IF(G1256=Lists!$B$6,I1256,0)))</f>
        <v/>
      </c>
      <c r="N1256" s="52">
        <f>IF(OR(A1256="",NOT(ISNUMBER(I1256))),"",IF(G1256=Lists!$B$5,I1256/2,IF(G1256=Lists!$B$7,I1256,0)))</f>
        <v/>
      </c>
      <c r="O1256" s="53">
        <f>IF(COUNTA(A1256:K1256)=0,"",IF(OR(A1256="",B1256="",C1256="",D1256="",E1256="",F1256="",G1256="",NOT(ISNUMBER(I1256))),"Incomplete",IF(COUNTIF(Lists!$H$4:$AA$4,C1256)=0,"Check category",IF(COUNTIF(INDEX(Lists!$H$6:$AA$45,0,MATCH(C1256,Lists!$H$4:$AA$4,0)),D1256)=0,"Check sub-category","OK"))))</f>
        <v/>
      </c>
      <c r="P1256">
        <f>IF(ISNUMBER(I1256),I1256+ROW()/10000000,"")</f>
        <v/>
      </c>
      <c r="Q1256">
        <f>IF(AND(ISNUMBER(P1256),ISNUMBER(A1256)),IF(AND(A1256&gt;=Dashboard!$Q$3,A1256&lt;=Dashboard!$Q$4,OR(J1256&lt;&gt;"Yes",Dashboard!$Q$15="Yes")),P1256,""),"")</f>
        <v/>
      </c>
    </row>
    <row r="1257">
      <c r="A1257" s="47" t="n"/>
      <c r="B1257" s="48" t="n"/>
      <c r="C1257" s="48" t="n"/>
      <c r="D1257" s="48" t="n"/>
      <c r="E1257" s="48" t="n"/>
      <c r="F1257" s="48" t="n"/>
      <c r="G1257" s="48" t="n"/>
      <c r="H1257" s="48" t="n"/>
      <c r="I1257" s="49" t="n"/>
      <c r="J1257" s="50" t="n"/>
      <c r="K1257" s="48" t="n"/>
      <c r="L1257" s="51">
        <f>IF(A1257="","",DATE(YEAR(A1257),MONTH(A1257),1))</f>
        <v/>
      </c>
      <c r="M1257" s="52">
        <f>IF(OR(A1257="",NOT(ISNUMBER(I1257))),"",IF(G1257=Lists!$B$5,I1257/2,IF(G1257=Lists!$B$6,I1257,0)))</f>
        <v/>
      </c>
      <c r="N1257" s="52">
        <f>IF(OR(A1257="",NOT(ISNUMBER(I1257))),"",IF(G1257=Lists!$B$5,I1257/2,IF(G1257=Lists!$B$7,I1257,0)))</f>
        <v/>
      </c>
      <c r="O1257" s="53">
        <f>IF(COUNTA(A1257:K1257)=0,"",IF(OR(A1257="",B1257="",C1257="",D1257="",E1257="",F1257="",G1257="",NOT(ISNUMBER(I1257))),"Incomplete",IF(COUNTIF(Lists!$H$4:$AA$4,C1257)=0,"Check category",IF(COUNTIF(INDEX(Lists!$H$6:$AA$45,0,MATCH(C1257,Lists!$H$4:$AA$4,0)),D1257)=0,"Check sub-category","OK"))))</f>
        <v/>
      </c>
      <c r="P1257">
        <f>IF(ISNUMBER(I1257),I1257+ROW()/10000000,"")</f>
        <v/>
      </c>
      <c r="Q1257">
        <f>IF(AND(ISNUMBER(P1257),ISNUMBER(A1257)),IF(AND(A1257&gt;=Dashboard!$Q$3,A1257&lt;=Dashboard!$Q$4,OR(J1257&lt;&gt;"Yes",Dashboard!$Q$15="Yes")),P1257,""),"")</f>
        <v/>
      </c>
    </row>
    <row r="1258">
      <c r="A1258" s="47" t="n"/>
      <c r="B1258" s="48" t="n"/>
      <c r="C1258" s="48" t="n"/>
      <c r="D1258" s="48" t="n"/>
      <c r="E1258" s="48" t="n"/>
      <c r="F1258" s="48" t="n"/>
      <c r="G1258" s="48" t="n"/>
      <c r="H1258" s="48" t="n"/>
      <c r="I1258" s="49" t="n"/>
      <c r="J1258" s="50" t="n"/>
      <c r="K1258" s="48" t="n"/>
      <c r="L1258" s="51">
        <f>IF(A1258="","",DATE(YEAR(A1258),MONTH(A1258),1))</f>
        <v/>
      </c>
      <c r="M1258" s="52">
        <f>IF(OR(A1258="",NOT(ISNUMBER(I1258))),"",IF(G1258=Lists!$B$5,I1258/2,IF(G1258=Lists!$B$6,I1258,0)))</f>
        <v/>
      </c>
      <c r="N1258" s="52">
        <f>IF(OR(A1258="",NOT(ISNUMBER(I1258))),"",IF(G1258=Lists!$B$5,I1258/2,IF(G1258=Lists!$B$7,I1258,0)))</f>
        <v/>
      </c>
      <c r="O1258" s="53">
        <f>IF(COUNTA(A1258:K1258)=0,"",IF(OR(A1258="",B1258="",C1258="",D1258="",E1258="",F1258="",G1258="",NOT(ISNUMBER(I1258))),"Incomplete",IF(COUNTIF(Lists!$H$4:$AA$4,C1258)=0,"Check category",IF(COUNTIF(INDEX(Lists!$H$6:$AA$45,0,MATCH(C1258,Lists!$H$4:$AA$4,0)),D1258)=0,"Check sub-category","OK"))))</f>
        <v/>
      </c>
      <c r="P1258">
        <f>IF(ISNUMBER(I1258),I1258+ROW()/10000000,"")</f>
        <v/>
      </c>
      <c r="Q1258">
        <f>IF(AND(ISNUMBER(P1258),ISNUMBER(A1258)),IF(AND(A1258&gt;=Dashboard!$Q$3,A1258&lt;=Dashboard!$Q$4,OR(J1258&lt;&gt;"Yes",Dashboard!$Q$15="Yes")),P1258,""),"")</f>
        <v/>
      </c>
    </row>
    <row r="1259">
      <c r="A1259" s="47" t="n"/>
      <c r="B1259" s="48" t="n"/>
      <c r="C1259" s="48" t="n"/>
      <c r="D1259" s="48" t="n"/>
      <c r="E1259" s="48" t="n"/>
      <c r="F1259" s="48" t="n"/>
      <c r="G1259" s="48" t="n"/>
      <c r="H1259" s="48" t="n"/>
      <c r="I1259" s="49" t="n"/>
      <c r="J1259" s="50" t="n"/>
      <c r="K1259" s="48" t="n"/>
      <c r="L1259" s="51">
        <f>IF(A1259="","",DATE(YEAR(A1259),MONTH(A1259),1))</f>
        <v/>
      </c>
      <c r="M1259" s="52">
        <f>IF(OR(A1259="",NOT(ISNUMBER(I1259))),"",IF(G1259=Lists!$B$5,I1259/2,IF(G1259=Lists!$B$6,I1259,0)))</f>
        <v/>
      </c>
      <c r="N1259" s="52">
        <f>IF(OR(A1259="",NOT(ISNUMBER(I1259))),"",IF(G1259=Lists!$B$5,I1259/2,IF(G1259=Lists!$B$7,I1259,0)))</f>
        <v/>
      </c>
      <c r="O1259" s="53">
        <f>IF(COUNTA(A1259:K1259)=0,"",IF(OR(A1259="",B1259="",C1259="",D1259="",E1259="",F1259="",G1259="",NOT(ISNUMBER(I1259))),"Incomplete",IF(COUNTIF(Lists!$H$4:$AA$4,C1259)=0,"Check category",IF(COUNTIF(INDEX(Lists!$H$6:$AA$45,0,MATCH(C1259,Lists!$H$4:$AA$4,0)),D1259)=0,"Check sub-category","OK"))))</f>
        <v/>
      </c>
      <c r="P1259">
        <f>IF(ISNUMBER(I1259),I1259+ROW()/10000000,"")</f>
        <v/>
      </c>
      <c r="Q1259">
        <f>IF(AND(ISNUMBER(P1259),ISNUMBER(A1259)),IF(AND(A1259&gt;=Dashboard!$Q$3,A1259&lt;=Dashboard!$Q$4,OR(J1259&lt;&gt;"Yes",Dashboard!$Q$15="Yes")),P1259,""),"")</f>
        <v/>
      </c>
    </row>
    <row r="1260">
      <c r="A1260" s="47" t="n"/>
      <c r="B1260" s="48" t="n"/>
      <c r="C1260" s="48" t="n"/>
      <c r="D1260" s="48" t="n"/>
      <c r="E1260" s="48" t="n"/>
      <c r="F1260" s="48" t="n"/>
      <c r="G1260" s="48" t="n"/>
      <c r="H1260" s="48" t="n"/>
      <c r="I1260" s="49" t="n"/>
      <c r="J1260" s="50" t="n"/>
      <c r="K1260" s="48" t="n"/>
      <c r="L1260" s="51">
        <f>IF(A1260="","",DATE(YEAR(A1260),MONTH(A1260),1))</f>
        <v/>
      </c>
      <c r="M1260" s="52">
        <f>IF(OR(A1260="",NOT(ISNUMBER(I1260))),"",IF(G1260=Lists!$B$5,I1260/2,IF(G1260=Lists!$B$6,I1260,0)))</f>
        <v/>
      </c>
      <c r="N1260" s="52">
        <f>IF(OR(A1260="",NOT(ISNUMBER(I1260))),"",IF(G1260=Lists!$B$5,I1260/2,IF(G1260=Lists!$B$7,I1260,0)))</f>
        <v/>
      </c>
      <c r="O1260" s="53">
        <f>IF(COUNTA(A1260:K1260)=0,"",IF(OR(A1260="",B1260="",C1260="",D1260="",E1260="",F1260="",G1260="",NOT(ISNUMBER(I1260))),"Incomplete",IF(COUNTIF(Lists!$H$4:$AA$4,C1260)=0,"Check category",IF(COUNTIF(INDEX(Lists!$H$6:$AA$45,0,MATCH(C1260,Lists!$H$4:$AA$4,0)),D1260)=0,"Check sub-category","OK"))))</f>
        <v/>
      </c>
      <c r="P1260">
        <f>IF(ISNUMBER(I1260),I1260+ROW()/10000000,"")</f>
        <v/>
      </c>
      <c r="Q1260">
        <f>IF(AND(ISNUMBER(P1260),ISNUMBER(A1260)),IF(AND(A1260&gt;=Dashboard!$Q$3,A1260&lt;=Dashboard!$Q$4,OR(J1260&lt;&gt;"Yes",Dashboard!$Q$15="Yes")),P1260,""),"")</f>
        <v/>
      </c>
    </row>
    <row r="1261">
      <c r="A1261" s="47" t="n"/>
      <c r="B1261" s="48" t="n"/>
      <c r="C1261" s="48" t="n"/>
      <c r="D1261" s="48" t="n"/>
      <c r="E1261" s="48" t="n"/>
      <c r="F1261" s="48" t="n"/>
      <c r="G1261" s="48" t="n"/>
      <c r="H1261" s="48" t="n"/>
      <c r="I1261" s="49" t="n"/>
      <c r="J1261" s="50" t="n"/>
      <c r="K1261" s="48" t="n"/>
      <c r="L1261" s="51">
        <f>IF(A1261="","",DATE(YEAR(A1261),MONTH(A1261),1))</f>
        <v/>
      </c>
      <c r="M1261" s="52">
        <f>IF(OR(A1261="",NOT(ISNUMBER(I1261))),"",IF(G1261=Lists!$B$5,I1261/2,IF(G1261=Lists!$B$6,I1261,0)))</f>
        <v/>
      </c>
      <c r="N1261" s="52">
        <f>IF(OR(A1261="",NOT(ISNUMBER(I1261))),"",IF(G1261=Lists!$B$5,I1261/2,IF(G1261=Lists!$B$7,I1261,0)))</f>
        <v/>
      </c>
      <c r="O1261" s="53">
        <f>IF(COUNTA(A1261:K1261)=0,"",IF(OR(A1261="",B1261="",C1261="",D1261="",E1261="",F1261="",G1261="",NOT(ISNUMBER(I1261))),"Incomplete",IF(COUNTIF(Lists!$H$4:$AA$4,C1261)=0,"Check category",IF(COUNTIF(INDEX(Lists!$H$6:$AA$45,0,MATCH(C1261,Lists!$H$4:$AA$4,0)),D1261)=0,"Check sub-category","OK"))))</f>
        <v/>
      </c>
      <c r="P1261">
        <f>IF(ISNUMBER(I1261),I1261+ROW()/10000000,"")</f>
        <v/>
      </c>
      <c r="Q1261">
        <f>IF(AND(ISNUMBER(P1261),ISNUMBER(A1261)),IF(AND(A1261&gt;=Dashboard!$Q$3,A1261&lt;=Dashboard!$Q$4,OR(J1261&lt;&gt;"Yes",Dashboard!$Q$15="Yes")),P1261,""),"")</f>
        <v/>
      </c>
    </row>
    <row r="1262">
      <c r="A1262" s="47" t="n"/>
      <c r="B1262" s="48" t="n"/>
      <c r="C1262" s="48" t="n"/>
      <c r="D1262" s="48" t="n"/>
      <c r="E1262" s="48" t="n"/>
      <c r="F1262" s="48" t="n"/>
      <c r="G1262" s="48" t="n"/>
      <c r="H1262" s="48" t="n"/>
      <c r="I1262" s="49" t="n"/>
      <c r="J1262" s="50" t="n"/>
      <c r="K1262" s="48" t="n"/>
      <c r="L1262" s="51">
        <f>IF(A1262="","",DATE(YEAR(A1262),MONTH(A1262),1))</f>
        <v/>
      </c>
      <c r="M1262" s="52">
        <f>IF(OR(A1262="",NOT(ISNUMBER(I1262))),"",IF(G1262=Lists!$B$5,I1262/2,IF(G1262=Lists!$B$6,I1262,0)))</f>
        <v/>
      </c>
      <c r="N1262" s="52">
        <f>IF(OR(A1262="",NOT(ISNUMBER(I1262))),"",IF(G1262=Lists!$B$5,I1262/2,IF(G1262=Lists!$B$7,I1262,0)))</f>
        <v/>
      </c>
      <c r="O1262" s="53">
        <f>IF(COUNTA(A1262:K1262)=0,"",IF(OR(A1262="",B1262="",C1262="",D1262="",E1262="",F1262="",G1262="",NOT(ISNUMBER(I1262))),"Incomplete",IF(COUNTIF(Lists!$H$4:$AA$4,C1262)=0,"Check category",IF(COUNTIF(INDEX(Lists!$H$6:$AA$45,0,MATCH(C1262,Lists!$H$4:$AA$4,0)),D1262)=0,"Check sub-category","OK"))))</f>
        <v/>
      </c>
      <c r="P1262">
        <f>IF(ISNUMBER(I1262),I1262+ROW()/10000000,"")</f>
        <v/>
      </c>
      <c r="Q1262">
        <f>IF(AND(ISNUMBER(P1262),ISNUMBER(A1262)),IF(AND(A1262&gt;=Dashboard!$Q$3,A1262&lt;=Dashboard!$Q$4,OR(J1262&lt;&gt;"Yes",Dashboard!$Q$15="Yes")),P1262,""),"")</f>
        <v/>
      </c>
    </row>
    <row r="1263">
      <c r="A1263" s="47" t="n"/>
      <c r="B1263" s="48" t="n"/>
      <c r="C1263" s="48" t="n"/>
      <c r="D1263" s="48" t="n"/>
      <c r="E1263" s="48" t="n"/>
      <c r="F1263" s="48" t="n"/>
      <c r="G1263" s="48" t="n"/>
      <c r="H1263" s="48" t="n"/>
      <c r="I1263" s="49" t="n"/>
      <c r="J1263" s="50" t="n"/>
      <c r="K1263" s="48" t="n"/>
      <c r="L1263" s="51">
        <f>IF(A1263="","",DATE(YEAR(A1263),MONTH(A1263),1))</f>
        <v/>
      </c>
      <c r="M1263" s="52">
        <f>IF(OR(A1263="",NOT(ISNUMBER(I1263))),"",IF(G1263=Lists!$B$5,I1263/2,IF(G1263=Lists!$B$6,I1263,0)))</f>
        <v/>
      </c>
      <c r="N1263" s="52">
        <f>IF(OR(A1263="",NOT(ISNUMBER(I1263))),"",IF(G1263=Lists!$B$5,I1263/2,IF(G1263=Lists!$B$7,I1263,0)))</f>
        <v/>
      </c>
      <c r="O1263" s="53">
        <f>IF(COUNTA(A1263:K1263)=0,"",IF(OR(A1263="",B1263="",C1263="",D1263="",E1263="",F1263="",G1263="",NOT(ISNUMBER(I1263))),"Incomplete",IF(COUNTIF(Lists!$H$4:$AA$4,C1263)=0,"Check category",IF(COUNTIF(INDEX(Lists!$H$6:$AA$45,0,MATCH(C1263,Lists!$H$4:$AA$4,0)),D1263)=0,"Check sub-category","OK"))))</f>
        <v/>
      </c>
      <c r="P1263">
        <f>IF(ISNUMBER(I1263),I1263+ROW()/10000000,"")</f>
        <v/>
      </c>
      <c r="Q1263">
        <f>IF(AND(ISNUMBER(P1263),ISNUMBER(A1263)),IF(AND(A1263&gt;=Dashboard!$Q$3,A1263&lt;=Dashboard!$Q$4,OR(J1263&lt;&gt;"Yes",Dashboard!$Q$15="Yes")),P1263,""),"")</f>
        <v/>
      </c>
    </row>
    <row r="1264">
      <c r="A1264" s="47" t="n"/>
      <c r="B1264" s="48" t="n"/>
      <c r="C1264" s="48" t="n"/>
      <c r="D1264" s="48" t="n"/>
      <c r="E1264" s="48" t="n"/>
      <c r="F1264" s="48" t="n"/>
      <c r="G1264" s="48" t="n"/>
      <c r="H1264" s="48" t="n"/>
      <c r="I1264" s="49" t="n"/>
      <c r="J1264" s="50" t="n"/>
      <c r="K1264" s="48" t="n"/>
      <c r="L1264" s="51">
        <f>IF(A1264="","",DATE(YEAR(A1264),MONTH(A1264),1))</f>
        <v/>
      </c>
      <c r="M1264" s="52">
        <f>IF(OR(A1264="",NOT(ISNUMBER(I1264))),"",IF(G1264=Lists!$B$5,I1264/2,IF(G1264=Lists!$B$6,I1264,0)))</f>
        <v/>
      </c>
      <c r="N1264" s="52">
        <f>IF(OR(A1264="",NOT(ISNUMBER(I1264))),"",IF(G1264=Lists!$B$5,I1264/2,IF(G1264=Lists!$B$7,I1264,0)))</f>
        <v/>
      </c>
      <c r="O1264" s="53">
        <f>IF(COUNTA(A1264:K1264)=0,"",IF(OR(A1264="",B1264="",C1264="",D1264="",E1264="",F1264="",G1264="",NOT(ISNUMBER(I1264))),"Incomplete",IF(COUNTIF(Lists!$H$4:$AA$4,C1264)=0,"Check category",IF(COUNTIF(INDEX(Lists!$H$6:$AA$45,0,MATCH(C1264,Lists!$H$4:$AA$4,0)),D1264)=0,"Check sub-category","OK"))))</f>
        <v/>
      </c>
      <c r="P1264">
        <f>IF(ISNUMBER(I1264),I1264+ROW()/10000000,"")</f>
        <v/>
      </c>
      <c r="Q1264">
        <f>IF(AND(ISNUMBER(P1264),ISNUMBER(A1264)),IF(AND(A1264&gt;=Dashboard!$Q$3,A1264&lt;=Dashboard!$Q$4,OR(J1264&lt;&gt;"Yes",Dashboard!$Q$15="Yes")),P1264,""),"")</f>
        <v/>
      </c>
    </row>
    <row r="1265">
      <c r="A1265" s="47" t="n"/>
      <c r="B1265" s="48" t="n"/>
      <c r="C1265" s="48" t="n"/>
      <c r="D1265" s="48" t="n"/>
      <c r="E1265" s="48" t="n"/>
      <c r="F1265" s="48" t="n"/>
      <c r="G1265" s="48" t="n"/>
      <c r="H1265" s="48" t="n"/>
      <c r="I1265" s="49" t="n"/>
      <c r="J1265" s="50" t="n"/>
      <c r="K1265" s="48" t="n"/>
      <c r="L1265" s="51">
        <f>IF(A1265="","",DATE(YEAR(A1265),MONTH(A1265),1))</f>
        <v/>
      </c>
      <c r="M1265" s="52">
        <f>IF(OR(A1265="",NOT(ISNUMBER(I1265))),"",IF(G1265=Lists!$B$5,I1265/2,IF(G1265=Lists!$B$6,I1265,0)))</f>
        <v/>
      </c>
      <c r="N1265" s="52">
        <f>IF(OR(A1265="",NOT(ISNUMBER(I1265))),"",IF(G1265=Lists!$B$5,I1265/2,IF(G1265=Lists!$B$7,I1265,0)))</f>
        <v/>
      </c>
      <c r="O1265" s="53">
        <f>IF(COUNTA(A1265:K1265)=0,"",IF(OR(A1265="",B1265="",C1265="",D1265="",E1265="",F1265="",G1265="",NOT(ISNUMBER(I1265))),"Incomplete",IF(COUNTIF(Lists!$H$4:$AA$4,C1265)=0,"Check category",IF(COUNTIF(INDEX(Lists!$H$6:$AA$45,0,MATCH(C1265,Lists!$H$4:$AA$4,0)),D1265)=0,"Check sub-category","OK"))))</f>
        <v/>
      </c>
      <c r="P1265">
        <f>IF(ISNUMBER(I1265),I1265+ROW()/10000000,"")</f>
        <v/>
      </c>
      <c r="Q1265">
        <f>IF(AND(ISNUMBER(P1265),ISNUMBER(A1265)),IF(AND(A1265&gt;=Dashboard!$Q$3,A1265&lt;=Dashboard!$Q$4,OR(J1265&lt;&gt;"Yes",Dashboard!$Q$15="Yes")),P1265,""),"")</f>
        <v/>
      </c>
    </row>
    <row r="1266">
      <c r="A1266" s="47" t="n"/>
      <c r="B1266" s="48" t="n"/>
      <c r="C1266" s="48" t="n"/>
      <c r="D1266" s="48" t="n"/>
      <c r="E1266" s="48" t="n"/>
      <c r="F1266" s="48" t="n"/>
      <c r="G1266" s="48" t="n"/>
      <c r="H1266" s="48" t="n"/>
      <c r="I1266" s="49" t="n"/>
      <c r="J1266" s="50" t="n"/>
      <c r="K1266" s="48" t="n"/>
      <c r="L1266" s="51">
        <f>IF(A1266="","",DATE(YEAR(A1266),MONTH(A1266),1))</f>
        <v/>
      </c>
      <c r="M1266" s="52">
        <f>IF(OR(A1266="",NOT(ISNUMBER(I1266))),"",IF(G1266=Lists!$B$5,I1266/2,IF(G1266=Lists!$B$6,I1266,0)))</f>
        <v/>
      </c>
      <c r="N1266" s="52">
        <f>IF(OR(A1266="",NOT(ISNUMBER(I1266))),"",IF(G1266=Lists!$B$5,I1266/2,IF(G1266=Lists!$B$7,I1266,0)))</f>
        <v/>
      </c>
      <c r="O1266" s="53">
        <f>IF(COUNTA(A1266:K1266)=0,"",IF(OR(A1266="",B1266="",C1266="",D1266="",E1266="",F1266="",G1266="",NOT(ISNUMBER(I1266))),"Incomplete",IF(COUNTIF(Lists!$H$4:$AA$4,C1266)=0,"Check category",IF(COUNTIF(INDEX(Lists!$H$6:$AA$45,0,MATCH(C1266,Lists!$H$4:$AA$4,0)),D1266)=0,"Check sub-category","OK"))))</f>
        <v/>
      </c>
      <c r="P1266">
        <f>IF(ISNUMBER(I1266),I1266+ROW()/10000000,"")</f>
        <v/>
      </c>
      <c r="Q1266">
        <f>IF(AND(ISNUMBER(P1266),ISNUMBER(A1266)),IF(AND(A1266&gt;=Dashboard!$Q$3,A1266&lt;=Dashboard!$Q$4,OR(J1266&lt;&gt;"Yes",Dashboard!$Q$15="Yes")),P1266,""),"")</f>
        <v/>
      </c>
    </row>
    <row r="1267">
      <c r="A1267" s="47" t="n"/>
      <c r="B1267" s="48" t="n"/>
      <c r="C1267" s="48" t="n"/>
      <c r="D1267" s="48" t="n"/>
      <c r="E1267" s="48" t="n"/>
      <c r="F1267" s="48" t="n"/>
      <c r="G1267" s="48" t="n"/>
      <c r="H1267" s="48" t="n"/>
      <c r="I1267" s="49" t="n"/>
      <c r="J1267" s="50" t="n"/>
      <c r="K1267" s="48" t="n"/>
      <c r="L1267" s="51">
        <f>IF(A1267="","",DATE(YEAR(A1267),MONTH(A1267),1))</f>
        <v/>
      </c>
      <c r="M1267" s="52">
        <f>IF(OR(A1267="",NOT(ISNUMBER(I1267))),"",IF(G1267=Lists!$B$5,I1267/2,IF(G1267=Lists!$B$6,I1267,0)))</f>
        <v/>
      </c>
      <c r="N1267" s="52">
        <f>IF(OR(A1267="",NOT(ISNUMBER(I1267))),"",IF(G1267=Lists!$B$5,I1267/2,IF(G1267=Lists!$B$7,I1267,0)))</f>
        <v/>
      </c>
      <c r="O1267" s="53">
        <f>IF(COUNTA(A1267:K1267)=0,"",IF(OR(A1267="",B1267="",C1267="",D1267="",E1267="",F1267="",G1267="",NOT(ISNUMBER(I1267))),"Incomplete",IF(COUNTIF(Lists!$H$4:$AA$4,C1267)=0,"Check category",IF(COUNTIF(INDEX(Lists!$H$6:$AA$45,0,MATCH(C1267,Lists!$H$4:$AA$4,0)),D1267)=0,"Check sub-category","OK"))))</f>
        <v/>
      </c>
      <c r="P1267">
        <f>IF(ISNUMBER(I1267),I1267+ROW()/10000000,"")</f>
        <v/>
      </c>
      <c r="Q1267">
        <f>IF(AND(ISNUMBER(P1267),ISNUMBER(A1267)),IF(AND(A1267&gt;=Dashboard!$Q$3,A1267&lt;=Dashboard!$Q$4,OR(J1267&lt;&gt;"Yes",Dashboard!$Q$15="Yes")),P1267,""),"")</f>
        <v/>
      </c>
    </row>
    <row r="1268">
      <c r="A1268" s="47" t="n"/>
      <c r="B1268" s="48" t="n"/>
      <c r="C1268" s="48" t="n"/>
      <c r="D1268" s="48" t="n"/>
      <c r="E1268" s="48" t="n"/>
      <c r="F1268" s="48" t="n"/>
      <c r="G1268" s="48" t="n"/>
      <c r="H1268" s="48" t="n"/>
      <c r="I1268" s="49" t="n"/>
      <c r="J1268" s="50" t="n"/>
      <c r="K1268" s="48" t="n"/>
      <c r="L1268" s="51">
        <f>IF(A1268="","",DATE(YEAR(A1268),MONTH(A1268),1))</f>
        <v/>
      </c>
      <c r="M1268" s="52">
        <f>IF(OR(A1268="",NOT(ISNUMBER(I1268))),"",IF(G1268=Lists!$B$5,I1268/2,IF(G1268=Lists!$B$6,I1268,0)))</f>
        <v/>
      </c>
      <c r="N1268" s="52">
        <f>IF(OR(A1268="",NOT(ISNUMBER(I1268))),"",IF(G1268=Lists!$B$5,I1268/2,IF(G1268=Lists!$B$7,I1268,0)))</f>
        <v/>
      </c>
      <c r="O1268" s="53">
        <f>IF(COUNTA(A1268:K1268)=0,"",IF(OR(A1268="",B1268="",C1268="",D1268="",E1268="",F1268="",G1268="",NOT(ISNUMBER(I1268))),"Incomplete",IF(COUNTIF(Lists!$H$4:$AA$4,C1268)=0,"Check category",IF(COUNTIF(INDEX(Lists!$H$6:$AA$45,0,MATCH(C1268,Lists!$H$4:$AA$4,0)),D1268)=0,"Check sub-category","OK"))))</f>
        <v/>
      </c>
      <c r="P1268">
        <f>IF(ISNUMBER(I1268),I1268+ROW()/10000000,"")</f>
        <v/>
      </c>
      <c r="Q1268">
        <f>IF(AND(ISNUMBER(P1268),ISNUMBER(A1268)),IF(AND(A1268&gt;=Dashboard!$Q$3,A1268&lt;=Dashboard!$Q$4,OR(J1268&lt;&gt;"Yes",Dashboard!$Q$15="Yes")),P1268,""),"")</f>
        <v/>
      </c>
    </row>
    <row r="1269">
      <c r="A1269" s="47" t="n"/>
      <c r="B1269" s="48" t="n"/>
      <c r="C1269" s="48" t="n"/>
      <c r="D1269" s="48" t="n"/>
      <c r="E1269" s="48" t="n"/>
      <c r="F1269" s="48" t="n"/>
      <c r="G1269" s="48" t="n"/>
      <c r="H1269" s="48" t="n"/>
      <c r="I1269" s="49" t="n"/>
      <c r="J1269" s="50" t="n"/>
      <c r="K1269" s="48" t="n"/>
      <c r="L1269" s="51">
        <f>IF(A1269="","",DATE(YEAR(A1269),MONTH(A1269),1))</f>
        <v/>
      </c>
      <c r="M1269" s="52">
        <f>IF(OR(A1269="",NOT(ISNUMBER(I1269))),"",IF(G1269=Lists!$B$5,I1269/2,IF(G1269=Lists!$B$6,I1269,0)))</f>
        <v/>
      </c>
      <c r="N1269" s="52">
        <f>IF(OR(A1269="",NOT(ISNUMBER(I1269))),"",IF(G1269=Lists!$B$5,I1269/2,IF(G1269=Lists!$B$7,I1269,0)))</f>
        <v/>
      </c>
      <c r="O1269" s="53">
        <f>IF(COUNTA(A1269:K1269)=0,"",IF(OR(A1269="",B1269="",C1269="",D1269="",E1269="",F1269="",G1269="",NOT(ISNUMBER(I1269))),"Incomplete",IF(COUNTIF(Lists!$H$4:$AA$4,C1269)=0,"Check category",IF(COUNTIF(INDEX(Lists!$H$6:$AA$45,0,MATCH(C1269,Lists!$H$4:$AA$4,0)),D1269)=0,"Check sub-category","OK"))))</f>
        <v/>
      </c>
      <c r="P1269">
        <f>IF(ISNUMBER(I1269),I1269+ROW()/10000000,"")</f>
        <v/>
      </c>
      <c r="Q1269">
        <f>IF(AND(ISNUMBER(P1269),ISNUMBER(A1269)),IF(AND(A1269&gt;=Dashboard!$Q$3,A1269&lt;=Dashboard!$Q$4,OR(J1269&lt;&gt;"Yes",Dashboard!$Q$15="Yes")),P1269,""),"")</f>
        <v/>
      </c>
    </row>
    <row r="1270">
      <c r="A1270" s="47" t="n"/>
      <c r="B1270" s="48" t="n"/>
      <c r="C1270" s="48" t="n"/>
      <c r="D1270" s="48" t="n"/>
      <c r="E1270" s="48" t="n"/>
      <c r="F1270" s="48" t="n"/>
      <c r="G1270" s="48" t="n"/>
      <c r="H1270" s="48" t="n"/>
      <c r="I1270" s="49" t="n"/>
      <c r="J1270" s="50" t="n"/>
      <c r="K1270" s="48" t="n"/>
      <c r="L1270" s="51">
        <f>IF(A1270="","",DATE(YEAR(A1270),MONTH(A1270),1))</f>
        <v/>
      </c>
      <c r="M1270" s="52">
        <f>IF(OR(A1270="",NOT(ISNUMBER(I1270))),"",IF(G1270=Lists!$B$5,I1270/2,IF(G1270=Lists!$B$6,I1270,0)))</f>
        <v/>
      </c>
      <c r="N1270" s="52">
        <f>IF(OR(A1270="",NOT(ISNUMBER(I1270))),"",IF(G1270=Lists!$B$5,I1270/2,IF(G1270=Lists!$B$7,I1270,0)))</f>
        <v/>
      </c>
      <c r="O1270" s="53">
        <f>IF(COUNTA(A1270:K1270)=0,"",IF(OR(A1270="",B1270="",C1270="",D1270="",E1270="",F1270="",G1270="",NOT(ISNUMBER(I1270))),"Incomplete",IF(COUNTIF(Lists!$H$4:$AA$4,C1270)=0,"Check category",IF(COUNTIF(INDEX(Lists!$H$6:$AA$45,0,MATCH(C1270,Lists!$H$4:$AA$4,0)),D1270)=0,"Check sub-category","OK"))))</f>
        <v/>
      </c>
      <c r="P1270">
        <f>IF(ISNUMBER(I1270),I1270+ROW()/10000000,"")</f>
        <v/>
      </c>
      <c r="Q1270">
        <f>IF(AND(ISNUMBER(P1270),ISNUMBER(A1270)),IF(AND(A1270&gt;=Dashboard!$Q$3,A1270&lt;=Dashboard!$Q$4,OR(J1270&lt;&gt;"Yes",Dashboard!$Q$15="Yes")),P1270,""),"")</f>
        <v/>
      </c>
    </row>
    <row r="1271">
      <c r="A1271" s="47" t="n"/>
      <c r="B1271" s="48" t="n"/>
      <c r="C1271" s="48" t="n"/>
      <c r="D1271" s="48" t="n"/>
      <c r="E1271" s="48" t="n"/>
      <c r="F1271" s="48" t="n"/>
      <c r="G1271" s="48" t="n"/>
      <c r="H1271" s="48" t="n"/>
      <c r="I1271" s="49" t="n"/>
      <c r="J1271" s="50" t="n"/>
      <c r="K1271" s="48" t="n"/>
      <c r="L1271" s="51">
        <f>IF(A1271="","",DATE(YEAR(A1271),MONTH(A1271),1))</f>
        <v/>
      </c>
      <c r="M1271" s="52">
        <f>IF(OR(A1271="",NOT(ISNUMBER(I1271))),"",IF(G1271=Lists!$B$5,I1271/2,IF(G1271=Lists!$B$6,I1271,0)))</f>
        <v/>
      </c>
      <c r="N1271" s="52">
        <f>IF(OR(A1271="",NOT(ISNUMBER(I1271))),"",IF(G1271=Lists!$B$5,I1271/2,IF(G1271=Lists!$B$7,I1271,0)))</f>
        <v/>
      </c>
      <c r="O1271" s="53">
        <f>IF(COUNTA(A1271:K1271)=0,"",IF(OR(A1271="",B1271="",C1271="",D1271="",E1271="",F1271="",G1271="",NOT(ISNUMBER(I1271))),"Incomplete",IF(COUNTIF(Lists!$H$4:$AA$4,C1271)=0,"Check category",IF(COUNTIF(INDEX(Lists!$H$6:$AA$45,0,MATCH(C1271,Lists!$H$4:$AA$4,0)),D1271)=0,"Check sub-category","OK"))))</f>
        <v/>
      </c>
      <c r="P1271">
        <f>IF(ISNUMBER(I1271),I1271+ROW()/10000000,"")</f>
        <v/>
      </c>
      <c r="Q1271">
        <f>IF(AND(ISNUMBER(P1271),ISNUMBER(A1271)),IF(AND(A1271&gt;=Dashboard!$Q$3,A1271&lt;=Dashboard!$Q$4,OR(J1271&lt;&gt;"Yes",Dashboard!$Q$15="Yes")),P1271,""),"")</f>
        <v/>
      </c>
    </row>
    <row r="1272">
      <c r="A1272" s="47" t="n"/>
      <c r="B1272" s="48" t="n"/>
      <c r="C1272" s="48" t="n"/>
      <c r="D1272" s="48" t="n"/>
      <c r="E1272" s="48" t="n"/>
      <c r="F1272" s="48" t="n"/>
      <c r="G1272" s="48" t="n"/>
      <c r="H1272" s="48" t="n"/>
      <c r="I1272" s="49" t="n"/>
      <c r="J1272" s="50" t="n"/>
      <c r="K1272" s="48" t="n"/>
      <c r="L1272" s="51">
        <f>IF(A1272="","",DATE(YEAR(A1272),MONTH(A1272),1))</f>
        <v/>
      </c>
      <c r="M1272" s="52">
        <f>IF(OR(A1272="",NOT(ISNUMBER(I1272))),"",IF(G1272=Lists!$B$5,I1272/2,IF(G1272=Lists!$B$6,I1272,0)))</f>
        <v/>
      </c>
      <c r="N1272" s="52">
        <f>IF(OR(A1272="",NOT(ISNUMBER(I1272))),"",IF(G1272=Lists!$B$5,I1272/2,IF(G1272=Lists!$B$7,I1272,0)))</f>
        <v/>
      </c>
      <c r="O1272" s="53">
        <f>IF(COUNTA(A1272:K1272)=0,"",IF(OR(A1272="",B1272="",C1272="",D1272="",E1272="",F1272="",G1272="",NOT(ISNUMBER(I1272))),"Incomplete",IF(COUNTIF(Lists!$H$4:$AA$4,C1272)=0,"Check category",IF(COUNTIF(INDEX(Lists!$H$6:$AA$45,0,MATCH(C1272,Lists!$H$4:$AA$4,0)),D1272)=0,"Check sub-category","OK"))))</f>
        <v/>
      </c>
      <c r="P1272">
        <f>IF(ISNUMBER(I1272),I1272+ROW()/10000000,"")</f>
        <v/>
      </c>
      <c r="Q1272">
        <f>IF(AND(ISNUMBER(P1272),ISNUMBER(A1272)),IF(AND(A1272&gt;=Dashboard!$Q$3,A1272&lt;=Dashboard!$Q$4,OR(J1272&lt;&gt;"Yes",Dashboard!$Q$15="Yes")),P1272,""),"")</f>
        <v/>
      </c>
    </row>
    <row r="1273">
      <c r="A1273" s="47" t="n"/>
      <c r="B1273" s="48" t="n"/>
      <c r="C1273" s="48" t="n"/>
      <c r="D1273" s="48" t="n"/>
      <c r="E1273" s="48" t="n"/>
      <c r="F1273" s="48" t="n"/>
      <c r="G1273" s="48" t="n"/>
      <c r="H1273" s="48" t="n"/>
      <c r="I1273" s="49" t="n"/>
      <c r="J1273" s="50" t="n"/>
      <c r="K1273" s="48" t="n"/>
      <c r="L1273" s="51">
        <f>IF(A1273="","",DATE(YEAR(A1273),MONTH(A1273),1))</f>
        <v/>
      </c>
      <c r="M1273" s="52">
        <f>IF(OR(A1273="",NOT(ISNUMBER(I1273))),"",IF(G1273=Lists!$B$5,I1273/2,IF(G1273=Lists!$B$6,I1273,0)))</f>
        <v/>
      </c>
      <c r="N1273" s="52">
        <f>IF(OR(A1273="",NOT(ISNUMBER(I1273))),"",IF(G1273=Lists!$B$5,I1273/2,IF(G1273=Lists!$B$7,I1273,0)))</f>
        <v/>
      </c>
      <c r="O1273" s="53">
        <f>IF(COUNTA(A1273:K1273)=0,"",IF(OR(A1273="",B1273="",C1273="",D1273="",E1273="",F1273="",G1273="",NOT(ISNUMBER(I1273))),"Incomplete",IF(COUNTIF(Lists!$H$4:$AA$4,C1273)=0,"Check category",IF(COUNTIF(INDEX(Lists!$H$6:$AA$45,0,MATCH(C1273,Lists!$H$4:$AA$4,0)),D1273)=0,"Check sub-category","OK"))))</f>
        <v/>
      </c>
      <c r="P1273">
        <f>IF(ISNUMBER(I1273),I1273+ROW()/10000000,"")</f>
        <v/>
      </c>
      <c r="Q1273">
        <f>IF(AND(ISNUMBER(P1273),ISNUMBER(A1273)),IF(AND(A1273&gt;=Dashboard!$Q$3,A1273&lt;=Dashboard!$Q$4,OR(J1273&lt;&gt;"Yes",Dashboard!$Q$15="Yes")),P1273,""),"")</f>
        <v/>
      </c>
    </row>
    <row r="1274">
      <c r="A1274" s="47" t="n"/>
      <c r="B1274" s="48" t="n"/>
      <c r="C1274" s="48" t="n"/>
      <c r="D1274" s="48" t="n"/>
      <c r="E1274" s="48" t="n"/>
      <c r="F1274" s="48" t="n"/>
      <c r="G1274" s="48" t="n"/>
      <c r="H1274" s="48" t="n"/>
      <c r="I1274" s="49" t="n"/>
      <c r="J1274" s="50" t="n"/>
      <c r="K1274" s="48" t="n"/>
      <c r="L1274" s="51">
        <f>IF(A1274="","",DATE(YEAR(A1274),MONTH(A1274),1))</f>
        <v/>
      </c>
      <c r="M1274" s="52">
        <f>IF(OR(A1274="",NOT(ISNUMBER(I1274))),"",IF(G1274=Lists!$B$5,I1274/2,IF(G1274=Lists!$B$6,I1274,0)))</f>
        <v/>
      </c>
      <c r="N1274" s="52">
        <f>IF(OR(A1274="",NOT(ISNUMBER(I1274))),"",IF(G1274=Lists!$B$5,I1274/2,IF(G1274=Lists!$B$7,I1274,0)))</f>
        <v/>
      </c>
      <c r="O1274" s="53">
        <f>IF(COUNTA(A1274:K1274)=0,"",IF(OR(A1274="",B1274="",C1274="",D1274="",E1274="",F1274="",G1274="",NOT(ISNUMBER(I1274))),"Incomplete",IF(COUNTIF(Lists!$H$4:$AA$4,C1274)=0,"Check category",IF(COUNTIF(INDEX(Lists!$H$6:$AA$45,0,MATCH(C1274,Lists!$H$4:$AA$4,0)),D1274)=0,"Check sub-category","OK"))))</f>
        <v/>
      </c>
      <c r="P1274">
        <f>IF(ISNUMBER(I1274),I1274+ROW()/10000000,"")</f>
        <v/>
      </c>
      <c r="Q1274">
        <f>IF(AND(ISNUMBER(P1274),ISNUMBER(A1274)),IF(AND(A1274&gt;=Dashboard!$Q$3,A1274&lt;=Dashboard!$Q$4,OR(J1274&lt;&gt;"Yes",Dashboard!$Q$15="Yes")),P1274,""),"")</f>
        <v/>
      </c>
    </row>
    <row r="1275">
      <c r="A1275" s="47" t="n"/>
      <c r="B1275" s="48" t="n"/>
      <c r="C1275" s="48" t="n"/>
      <c r="D1275" s="48" t="n"/>
      <c r="E1275" s="48" t="n"/>
      <c r="F1275" s="48" t="n"/>
      <c r="G1275" s="48" t="n"/>
      <c r="H1275" s="48" t="n"/>
      <c r="I1275" s="49" t="n"/>
      <c r="J1275" s="50" t="n"/>
      <c r="K1275" s="48" t="n"/>
      <c r="L1275" s="51">
        <f>IF(A1275="","",DATE(YEAR(A1275),MONTH(A1275),1))</f>
        <v/>
      </c>
      <c r="M1275" s="52">
        <f>IF(OR(A1275="",NOT(ISNUMBER(I1275))),"",IF(G1275=Lists!$B$5,I1275/2,IF(G1275=Lists!$B$6,I1275,0)))</f>
        <v/>
      </c>
      <c r="N1275" s="52">
        <f>IF(OR(A1275="",NOT(ISNUMBER(I1275))),"",IF(G1275=Lists!$B$5,I1275/2,IF(G1275=Lists!$B$7,I1275,0)))</f>
        <v/>
      </c>
      <c r="O1275" s="53">
        <f>IF(COUNTA(A1275:K1275)=0,"",IF(OR(A1275="",B1275="",C1275="",D1275="",E1275="",F1275="",G1275="",NOT(ISNUMBER(I1275))),"Incomplete",IF(COUNTIF(Lists!$H$4:$AA$4,C1275)=0,"Check category",IF(COUNTIF(INDEX(Lists!$H$6:$AA$45,0,MATCH(C1275,Lists!$H$4:$AA$4,0)),D1275)=0,"Check sub-category","OK"))))</f>
        <v/>
      </c>
      <c r="P1275">
        <f>IF(ISNUMBER(I1275),I1275+ROW()/10000000,"")</f>
        <v/>
      </c>
      <c r="Q1275">
        <f>IF(AND(ISNUMBER(P1275),ISNUMBER(A1275)),IF(AND(A1275&gt;=Dashboard!$Q$3,A1275&lt;=Dashboard!$Q$4,OR(J1275&lt;&gt;"Yes",Dashboard!$Q$15="Yes")),P1275,""),"")</f>
        <v/>
      </c>
    </row>
    <row r="1276">
      <c r="A1276" s="47" t="n"/>
      <c r="B1276" s="48" t="n"/>
      <c r="C1276" s="48" t="n"/>
      <c r="D1276" s="48" t="n"/>
      <c r="E1276" s="48" t="n"/>
      <c r="F1276" s="48" t="n"/>
      <c r="G1276" s="48" t="n"/>
      <c r="H1276" s="48" t="n"/>
      <c r="I1276" s="49" t="n"/>
      <c r="J1276" s="50" t="n"/>
      <c r="K1276" s="48" t="n"/>
      <c r="L1276" s="51">
        <f>IF(A1276="","",DATE(YEAR(A1276),MONTH(A1276),1))</f>
        <v/>
      </c>
      <c r="M1276" s="52">
        <f>IF(OR(A1276="",NOT(ISNUMBER(I1276))),"",IF(G1276=Lists!$B$5,I1276/2,IF(G1276=Lists!$B$6,I1276,0)))</f>
        <v/>
      </c>
      <c r="N1276" s="52">
        <f>IF(OR(A1276="",NOT(ISNUMBER(I1276))),"",IF(G1276=Lists!$B$5,I1276/2,IF(G1276=Lists!$B$7,I1276,0)))</f>
        <v/>
      </c>
      <c r="O1276" s="53">
        <f>IF(COUNTA(A1276:K1276)=0,"",IF(OR(A1276="",B1276="",C1276="",D1276="",E1276="",F1276="",G1276="",NOT(ISNUMBER(I1276))),"Incomplete",IF(COUNTIF(Lists!$H$4:$AA$4,C1276)=0,"Check category",IF(COUNTIF(INDEX(Lists!$H$6:$AA$45,0,MATCH(C1276,Lists!$H$4:$AA$4,0)),D1276)=0,"Check sub-category","OK"))))</f>
        <v/>
      </c>
      <c r="P1276">
        <f>IF(ISNUMBER(I1276),I1276+ROW()/10000000,"")</f>
        <v/>
      </c>
      <c r="Q1276">
        <f>IF(AND(ISNUMBER(P1276),ISNUMBER(A1276)),IF(AND(A1276&gt;=Dashboard!$Q$3,A1276&lt;=Dashboard!$Q$4,OR(J1276&lt;&gt;"Yes",Dashboard!$Q$15="Yes")),P1276,""),"")</f>
        <v/>
      </c>
    </row>
    <row r="1277">
      <c r="A1277" s="47" t="n"/>
      <c r="B1277" s="48" t="n"/>
      <c r="C1277" s="48" t="n"/>
      <c r="D1277" s="48" t="n"/>
      <c r="E1277" s="48" t="n"/>
      <c r="F1277" s="48" t="n"/>
      <c r="G1277" s="48" t="n"/>
      <c r="H1277" s="48" t="n"/>
      <c r="I1277" s="49" t="n"/>
      <c r="J1277" s="50" t="n"/>
      <c r="K1277" s="48" t="n"/>
      <c r="L1277" s="51">
        <f>IF(A1277="","",DATE(YEAR(A1277),MONTH(A1277),1))</f>
        <v/>
      </c>
      <c r="M1277" s="52">
        <f>IF(OR(A1277="",NOT(ISNUMBER(I1277))),"",IF(G1277=Lists!$B$5,I1277/2,IF(G1277=Lists!$B$6,I1277,0)))</f>
        <v/>
      </c>
      <c r="N1277" s="52">
        <f>IF(OR(A1277="",NOT(ISNUMBER(I1277))),"",IF(G1277=Lists!$B$5,I1277/2,IF(G1277=Lists!$B$7,I1277,0)))</f>
        <v/>
      </c>
      <c r="O1277" s="53">
        <f>IF(COUNTA(A1277:K1277)=0,"",IF(OR(A1277="",B1277="",C1277="",D1277="",E1277="",F1277="",G1277="",NOT(ISNUMBER(I1277))),"Incomplete",IF(COUNTIF(Lists!$H$4:$AA$4,C1277)=0,"Check category",IF(COUNTIF(INDEX(Lists!$H$6:$AA$45,0,MATCH(C1277,Lists!$H$4:$AA$4,0)),D1277)=0,"Check sub-category","OK"))))</f>
        <v/>
      </c>
      <c r="P1277">
        <f>IF(ISNUMBER(I1277),I1277+ROW()/10000000,"")</f>
        <v/>
      </c>
      <c r="Q1277">
        <f>IF(AND(ISNUMBER(P1277),ISNUMBER(A1277)),IF(AND(A1277&gt;=Dashboard!$Q$3,A1277&lt;=Dashboard!$Q$4,OR(J1277&lt;&gt;"Yes",Dashboard!$Q$15="Yes")),P1277,""),"")</f>
        <v/>
      </c>
    </row>
    <row r="1278">
      <c r="A1278" s="47" t="n"/>
      <c r="B1278" s="48" t="n"/>
      <c r="C1278" s="48" t="n"/>
      <c r="D1278" s="48" t="n"/>
      <c r="E1278" s="48" t="n"/>
      <c r="F1278" s="48" t="n"/>
      <c r="G1278" s="48" t="n"/>
      <c r="H1278" s="48" t="n"/>
      <c r="I1278" s="49" t="n"/>
      <c r="J1278" s="50" t="n"/>
      <c r="K1278" s="48" t="n"/>
      <c r="L1278" s="51">
        <f>IF(A1278="","",DATE(YEAR(A1278),MONTH(A1278),1))</f>
        <v/>
      </c>
      <c r="M1278" s="52">
        <f>IF(OR(A1278="",NOT(ISNUMBER(I1278))),"",IF(G1278=Lists!$B$5,I1278/2,IF(G1278=Lists!$B$6,I1278,0)))</f>
        <v/>
      </c>
      <c r="N1278" s="52">
        <f>IF(OR(A1278="",NOT(ISNUMBER(I1278))),"",IF(G1278=Lists!$B$5,I1278/2,IF(G1278=Lists!$B$7,I1278,0)))</f>
        <v/>
      </c>
      <c r="O1278" s="53">
        <f>IF(COUNTA(A1278:K1278)=0,"",IF(OR(A1278="",B1278="",C1278="",D1278="",E1278="",F1278="",G1278="",NOT(ISNUMBER(I1278))),"Incomplete",IF(COUNTIF(Lists!$H$4:$AA$4,C1278)=0,"Check category",IF(COUNTIF(INDEX(Lists!$H$6:$AA$45,0,MATCH(C1278,Lists!$H$4:$AA$4,0)),D1278)=0,"Check sub-category","OK"))))</f>
        <v/>
      </c>
      <c r="P1278">
        <f>IF(ISNUMBER(I1278),I1278+ROW()/10000000,"")</f>
        <v/>
      </c>
      <c r="Q1278">
        <f>IF(AND(ISNUMBER(P1278),ISNUMBER(A1278)),IF(AND(A1278&gt;=Dashboard!$Q$3,A1278&lt;=Dashboard!$Q$4,OR(J1278&lt;&gt;"Yes",Dashboard!$Q$15="Yes")),P1278,""),"")</f>
        <v/>
      </c>
    </row>
    <row r="1279">
      <c r="A1279" s="47" t="n"/>
      <c r="B1279" s="48" t="n"/>
      <c r="C1279" s="48" t="n"/>
      <c r="D1279" s="48" t="n"/>
      <c r="E1279" s="48" t="n"/>
      <c r="F1279" s="48" t="n"/>
      <c r="G1279" s="48" t="n"/>
      <c r="H1279" s="48" t="n"/>
      <c r="I1279" s="49" t="n"/>
      <c r="J1279" s="50" t="n"/>
      <c r="K1279" s="48" t="n"/>
      <c r="L1279" s="51">
        <f>IF(A1279="","",DATE(YEAR(A1279),MONTH(A1279),1))</f>
        <v/>
      </c>
      <c r="M1279" s="52">
        <f>IF(OR(A1279="",NOT(ISNUMBER(I1279))),"",IF(G1279=Lists!$B$5,I1279/2,IF(G1279=Lists!$B$6,I1279,0)))</f>
        <v/>
      </c>
      <c r="N1279" s="52">
        <f>IF(OR(A1279="",NOT(ISNUMBER(I1279))),"",IF(G1279=Lists!$B$5,I1279/2,IF(G1279=Lists!$B$7,I1279,0)))</f>
        <v/>
      </c>
      <c r="O1279" s="53">
        <f>IF(COUNTA(A1279:K1279)=0,"",IF(OR(A1279="",B1279="",C1279="",D1279="",E1279="",F1279="",G1279="",NOT(ISNUMBER(I1279))),"Incomplete",IF(COUNTIF(Lists!$H$4:$AA$4,C1279)=0,"Check category",IF(COUNTIF(INDEX(Lists!$H$6:$AA$45,0,MATCH(C1279,Lists!$H$4:$AA$4,0)),D1279)=0,"Check sub-category","OK"))))</f>
        <v/>
      </c>
      <c r="P1279">
        <f>IF(ISNUMBER(I1279),I1279+ROW()/10000000,"")</f>
        <v/>
      </c>
      <c r="Q1279">
        <f>IF(AND(ISNUMBER(P1279),ISNUMBER(A1279)),IF(AND(A1279&gt;=Dashboard!$Q$3,A1279&lt;=Dashboard!$Q$4,OR(J1279&lt;&gt;"Yes",Dashboard!$Q$15="Yes")),P1279,""),"")</f>
        <v/>
      </c>
    </row>
    <row r="1280">
      <c r="A1280" s="47" t="n"/>
      <c r="B1280" s="48" t="n"/>
      <c r="C1280" s="48" t="n"/>
      <c r="D1280" s="48" t="n"/>
      <c r="E1280" s="48" t="n"/>
      <c r="F1280" s="48" t="n"/>
      <c r="G1280" s="48" t="n"/>
      <c r="H1280" s="48" t="n"/>
      <c r="I1280" s="49" t="n"/>
      <c r="J1280" s="50" t="n"/>
      <c r="K1280" s="48" t="n"/>
      <c r="L1280" s="51">
        <f>IF(A1280="","",DATE(YEAR(A1280),MONTH(A1280),1))</f>
        <v/>
      </c>
      <c r="M1280" s="52">
        <f>IF(OR(A1280="",NOT(ISNUMBER(I1280))),"",IF(G1280=Lists!$B$5,I1280/2,IF(G1280=Lists!$B$6,I1280,0)))</f>
        <v/>
      </c>
      <c r="N1280" s="52">
        <f>IF(OR(A1280="",NOT(ISNUMBER(I1280))),"",IF(G1280=Lists!$B$5,I1280/2,IF(G1280=Lists!$B$7,I1280,0)))</f>
        <v/>
      </c>
      <c r="O1280" s="53">
        <f>IF(COUNTA(A1280:K1280)=0,"",IF(OR(A1280="",B1280="",C1280="",D1280="",E1280="",F1280="",G1280="",NOT(ISNUMBER(I1280))),"Incomplete",IF(COUNTIF(Lists!$H$4:$AA$4,C1280)=0,"Check category",IF(COUNTIF(INDEX(Lists!$H$6:$AA$45,0,MATCH(C1280,Lists!$H$4:$AA$4,0)),D1280)=0,"Check sub-category","OK"))))</f>
        <v/>
      </c>
      <c r="P1280">
        <f>IF(ISNUMBER(I1280),I1280+ROW()/10000000,"")</f>
        <v/>
      </c>
      <c r="Q1280">
        <f>IF(AND(ISNUMBER(P1280),ISNUMBER(A1280)),IF(AND(A1280&gt;=Dashboard!$Q$3,A1280&lt;=Dashboard!$Q$4,OR(J1280&lt;&gt;"Yes",Dashboard!$Q$15="Yes")),P1280,""),"")</f>
        <v/>
      </c>
    </row>
    <row r="1281">
      <c r="A1281" s="47" t="n"/>
      <c r="B1281" s="48" t="n"/>
      <c r="C1281" s="48" t="n"/>
      <c r="D1281" s="48" t="n"/>
      <c r="E1281" s="48" t="n"/>
      <c r="F1281" s="48" t="n"/>
      <c r="G1281" s="48" t="n"/>
      <c r="H1281" s="48" t="n"/>
      <c r="I1281" s="49" t="n"/>
      <c r="J1281" s="50" t="n"/>
      <c r="K1281" s="48" t="n"/>
      <c r="L1281" s="51">
        <f>IF(A1281="","",DATE(YEAR(A1281),MONTH(A1281),1))</f>
        <v/>
      </c>
      <c r="M1281" s="52">
        <f>IF(OR(A1281="",NOT(ISNUMBER(I1281))),"",IF(G1281=Lists!$B$5,I1281/2,IF(G1281=Lists!$B$6,I1281,0)))</f>
        <v/>
      </c>
      <c r="N1281" s="52">
        <f>IF(OR(A1281="",NOT(ISNUMBER(I1281))),"",IF(G1281=Lists!$B$5,I1281/2,IF(G1281=Lists!$B$7,I1281,0)))</f>
        <v/>
      </c>
      <c r="O1281" s="53">
        <f>IF(COUNTA(A1281:K1281)=0,"",IF(OR(A1281="",B1281="",C1281="",D1281="",E1281="",F1281="",G1281="",NOT(ISNUMBER(I1281))),"Incomplete",IF(COUNTIF(Lists!$H$4:$AA$4,C1281)=0,"Check category",IF(COUNTIF(INDEX(Lists!$H$6:$AA$45,0,MATCH(C1281,Lists!$H$4:$AA$4,0)),D1281)=0,"Check sub-category","OK"))))</f>
        <v/>
      </c>
      <c r="P1281">
        <f>IF(ISNUMBER(I1281),I1281+ROW()/10000000,"")</f>
        <v/>
      </c>
      <c r="Q1281">
        <f>IF(AND(ISNUMBER(P1281),ISNUMBER(A1281)),IF(AND(A1281&gt;=Dashboard!$Q$3,A1281&lt;=Dashboard!$Q$4,OR(J1281&lt;&gt;"Yes",Dashboard!$Q$15="Yes")),P1281,""),"")</f>
        <v/>
      </c>
    </row>
    <row r="1282">
      <c r="A1282" s="47" t="n"/>
      <c r="B1282" s="48" t="n"/>
      <c r="C1282" s="48" t="n"/>
      <c r="D1282" s="48" t="n"/>
      <c r="E1282" s="48" t="n"/>
      <c r="F1282" s="48" t="n"/>
      <c r="G1282" s="48" t="n"/>
      <c r="H1282" s="48" t="n"/>
      <c r="I1282" s="49" t="n"/>
      <c r="J1282" s="50" t="n"/>
      <c r="K1282" s="48" t="n"/>
      <c r="L1282" s="51">
        <f>IF(A1282="","",DATE(YEAR(A1282),MONTH(A1282),1))</f>
        <v/>
      </c>
      <c r="M1282" s="52">
        <f>IF(OR(A1282="",NOT(ISNUMBER(I1282))),"",IF(G1282=Lists!$B$5,I1282/2,IF(G1282=Lists!$B$6,I1282,0)))</f>
        <v/>
      </c>
      <c r="N1282" s="52">
        <f>IF(OR(A1282="",NOT(ISNUMBER(I1282))),"",IF(G1282=Lists!$B$5,I1282/2,IF(G1282=Lists!$B$7,I1282,0)))</f>
        <v/>
      </c>
      <c r="O1282" s="53">
        <f>IF(COUNTA(A1282:K1282)=0,"",IF(OR(A1282="",B1282="",C1282="",D1282="",E1282="",F1282="",G1282="",NOT(ISNUMBER(I1282))),"Incomplete",IF(COUNTIF(Lists!$H$4:$AA$4,C1282)=0,"Check category",IF(COUNTIF(INDEX(Lists!$H$6:$AA$45,0,MATCH(C1282,Lists!$H$4:$AA$4,0)),D1282)=0,"Check sub-category","OK"))))</f>
        <v/>
      </c>
      <c r="P1282">
        <f>IF(ISNUMBER(I1282),I1282+ROW()/10000000,"")</f>
        <v/>
      </c>
      <c r="Q1282">
        <f>IF(AND(ISNUMBER(P1282),ISNUMBER(A1282)),IF(AND(A1282&gt;=Dashboard!$Q$3,A1282&lt;=Dashboard!$Q$4,OR(J1282&lt;&gt;"Yes",Dashboard!$Q$15="Yes")),P1282,""),"")</f>
        <v/>
      </c>
    </row>
    <row r="1283">
      <c r="A1283" s="47" t="n"/>
      <c r="B1283" s="48" t="n"/>
      <c r="C1283" s="48" t="n"/>
      <c r="D1283" s="48" t="n"/>
      <c r="E1283" s="48" t="n"/>
      <c r="F1283" s="48" t="n"/>
      <c r="G1283" s="48" t="n"/>
      <c r="H1283" s="48" t="n"/>
      <c r="I1283" s="49" t="n"/>
      <c r="J1283" s="50" t="n"/>
      <c r="K1283" s="48" t="n"/>
      <c r="L1283" s="51">
        <f>IF(A1283="","",DATE(YEAR(A1283),MONTH(A1283),1))</f>
        <v/>
      </c>
      <c r="M1283" s="52">
        <f>IF(OR(A1283="",NOT(ISNUMBER(I1283))),"",IF(G1283=Lists!$B$5,I1283/2,IF(G1283=Lists!$B$6,I1283,0)))</f>
        <v/>
      </c>
      <c r="N1283" s="52">
        <f>IF(OR(A1283="",NOT(ISNUMBER(I1283))),"",IF(G1283=Lists!$B$5,I1283/2,IF(G1283=Lists!$B$7,I1283,0)))</f>
        <v/>
      </c>
      <c r="O1283" s="53">
        <f>IF(COUNTA(A1283:K1283)=0,"",IF(OR(A1283="",B1283="",C1283="",D1283="",E1283="",F1283="",G1283="",NOT(ISNUMBER(I1283))),"Incomplete",IF(COUNTIF(Lists!$H$4:$AA$4,C1283)=0,"Check category",IF(COUNTIF(INDEX(Lists!$H$6:$AA$45,0,MATCH(C1283,Lists!$H$4:$AA$4,0)),D1283)=0,"Check sub-category","OK"))))</f>
        <v/>
      </c>
      <c r="P1283">
        <f>IF(ISNUMBER(I1283),I1283+ROW()/10000000,"")</f>
        <v/>
      </c>
      <c r="Q1283">
        <f>IF(AND(ISNUMBER(P1283),ISNUMBER(A1283)),IF(AND(A1283&gt;=Dashboard!$Q$3,A1283&lt;=Dashboard!$Q$4,OR(J1283&lt;&gt;"Yes",Dashboard!$Q$15="Yes")),P1283,""),"")</f>
        <v/>
      </c>
    </row>
    <row r="1284">
      <c r="A1284" s="47" t="n"/>
      <c r="B1284" s="48" t="n"/>
      <c r="C1284" s="48" t="n"/>
      <c r="D1284" s="48" t="n"/>
      <c r="E1284" s="48" t="n"/>
      <c r="F1284" s="48" t="n"/>
      <c r="G1284" s="48" t="n"/>
      <c r="H1284" s="48" t="n"/>
      <c r="I1284" s="49" t="n"/>
      <c r="J1284" s="50" t="n"/>
      <c r="K1284" s="48" t="n"/>
      <c r="L1284" s="51">
        <f>IF(A1284="","",DATE(YEAR(A1284),MONTH(A1284),1))</f>
        <v/>
      </c>
      <c r="M1284" s="52">
        <f>IF(OR(A1284="",NOT(ISNUMBER(I1284))),"",IF(G1284=Lists!$B$5,I1284/2,IF(G1284=Lists!$B$6,I1284,0)))</f>
        <v/>
      </c>
      <c r="N1284" s="52">
        <f>IF(OR(A1284="",NOT(ISNUMBER(I1284))),"",IF(G1284=Lists!$B$5,I1284/2,IF(G1284=Lists!$B$7,I1284,0)))</f>
        <v/>
      </c>
      <c r="O1284" s="53">
        <f>IF(COUNTA(A1284:K1284)=0,"",IF(OR(A1284="",B1284="",C1284="",D1284="",E1284="",F1284="",G1284="",NOT(ISNUMBER(I1284))),"Incomplete",IF(COUNTIF(Lists!$H$4:$AA$4,C1284)=0,"Check category",IF(COUNTIF(INDEX(Lists!$H$6:$AA$45,0,MATCH(C1284,Lists!$H$4:$AA$4,0)),D1284)=0,"Check sub-category","OK"))))</f>
        <v/>
      </c>
      <c r="P1284">
        <f>IF(ISNUMBER(I1284),I1284+ROW()/10000000,"")</f>
        <v/>
      </c>
      <c r="Q1284">
        <f>IF(AND(ISNUMBER(P1284),ISNUMBER(A1284)),IF(AND(A1284&gt;=Dashboard!$Q$3,A1284&lt;=Dashboard!$Q$4,OR(J1284&lt;&gt;"Yes",Dashboard!$Q$15="Yes")),P1284,""),"")</f>
        <v/>
      </c>
    </row>
    <row r="1285">
      <c r="A1285" s="47" t="n"/>
      <c r="B1285" s="48" t="n"/>
      <c r="C1285" s="48" t="n"/>
      <c r="D1285" s="48" t="n"/>
      <c r="E1285" s="48" t="n"/>
      <c r="F1285" s="48" t="n"/>
      <c r="G1285" s="48" t="n"/>
      <c r="H1285" s="48" t="n"/>
      <c r="I1285" s="49" t="n"/>
      <c r="J1285" s="50" t="n"/>
      <c r="K1285" s="48" t="n"/>
      <c r="L1285" s="51">
        <f>IF(A1285="","",DATE(YEAR(A1285),MONTH(A1285),1))</f>
        <v/>
      </c>
      <c r="M1285" s="52">
        <f>IF(OR(A1285="",NOT(ISNUMBER(I1285))),"",IF(G1285=Lists!$B$5,I1285/2,IF(G1285=Lists!$B$6,I1285,0)))</f>
        <v/>
      </c>
      <c r="N1285" s="52">
        <f>IF(OR(A1285="",NOT(ISNUMBER(I1285))),"",IF(G1285=Lists!$B$5,I1285/2,IF(G1285=Lists!$B$7,I1285,0)))</f>
        <v/>
      </c>
      <c r="O1285" s="53">
        <f>IF(COUNTA(A1285:K1285)=0,"",IF(OR(A1285="",B1285="",C1285="",D1285="",E1285="",F1285="",G1285="",NOT(ISNUMBER(I1285))),"Incomplete",IF(COUNTIF(Lists!$H$4:$AA$4,C1285)=0,"Check category",IF(COUNTIF(INDEX(Lists!$H$6:$AA$45,0,MATCH(C1285,Lists!$H$4:$AA$4,0)),D1285)=0,"Check sub-category","OK"))))</f>
        <v/>
      </c>
      <c r="P1285">
        <f>IF(ISNUMBER(I1285),I1285+ROW()/10000000,"")</f>
        <v/>
      </c>
      <c r="Q1285">
        <f>IF(AND(ISNUMBER(P1285),ISNUMBER(A1285)),IF(AND(A1285&gt;=Dashboard!$Q$3,A1285&lt;=Dashboard!$Q$4,OR(J1285&lt;&gt;"Yes",Dashboard!$Q$15="Yes")),P1285,""),"")</f>
        <v/>
      </c>
    </row>
    <row r="1286">
      <c r="A1286" s="47" t="n"/>
      <c r="B1286" s="48" t="n"/>
      <c r="C1286" s="48" t="n"/>
      <c r="D1286" s="48" t="n"/>
      <c r="E1286" s="48" t="n"/>
      <c r="F1286" s="48" t="n"/>
      <c r="G1286" s="48" t="n"/>
      <c r="H1286" s="48" t="n"/>
      <c r="I1286" s="49" t="n"/>
      <c r="J1286" s="50" t="n"/>
      <c r="K1286" s="48" t="n"/>
      <c r="L1286" s="51">
        <f>IF(A1286="","",DATE(YEAR(A1286),MONTH(A1286),1))</f>
        <v/>
      </c>
      <c r="M1286" s="52">
        <f>IF(OR(A1286="",NOT(ISNUMBER(I1286))),"",IF(G1286=Lists!$B$5,I1286/2,IF(G1286=Lists!$B$6,I1286,0)))</f>
        <v/>
      </c>
      <c r="N1286" s="52">
        <f>IF(OR(A1286="",NOT(ISNUMBER(I1286))),"",IF(G1286=Lists!$B$5,I1286/2,IF(G1286=Lists!$B$7,I1286,0)))</f>
        <v/>
      </c>
      <c r="O1286" s="53">
        <f>IF(COUNTA(A1286:K1286)=0,"",IF(OR(A1286="",B1286="",C1286="",D1286="",E1286="",F1286="",G1286="",NOT(ISNUMBER(I1286))),"Incomplete",IF(COUNTIF(Lists!$H$4:$AA$4,C1286)=0,"Check category",IF(COUNTIF(INDEX(Lists!$H$6:$AA$45,0,MATCH(C1286,Lists!$H$4:$AA$4,0)),D1286)=0,"Check sub-category","OK"))))</f>
        <v/>
      </c>
      <c r="P1286">
        <f>IF(ISNUMBER(I1286),I1286+ROW()/10000000,"")</f>
        <v/>
      </c>
      <c r="Q1286">
        <f>IF(AND(ISNUMBER(P1286),ISNUMBER(A1286)),IF(AND(A1286&gt;=Dashboard!$Q$3,A1286&lt;=Dashboard!$Q$4,OR(J1286&lt;&gt;"Yes",Dashboard!$Q$15="Yes")),P1286,""),"")</f>
        <v/>
      </c>
    </row>
    <row r="1287">
      <c r="A1287" s="47" t="n"/>
      <c r="B1287" s="48" t="n"/>
      <c r="C1287" s="48" t="n"/>
      <c r="D1287" s="48" t="n"/>
      <c r="E1287" s="48" t="n"/>
      <c r="F1287" s="48" t="n"/>
      <c r="G1287" s="48" t="n"/>
      <c r="H1287" s="48" t="n"/>
      <c r="I1287" s="49" t="n"/>
      <c r="J1287" s="50" t="n"/>
      <c r="K1287" s="48" t="n"/>
      <c r="L1287" s="51">
        <f>IF(A1287="","",DATE(YEAR(A1287),MONTH(A1287),1))</f>
        <v/>
      </c>
      <c r="M1287" s="52">
        <f>IF(OR(A1287="",NOT(ISNUMBER(I1287))),"",IF(G1287=Lists!$B$5,I1287/2,IF(G1287=Lists!$B$6,I1287,0)))</f>
        <v/>
      </c>
      <c r="N1287" s="52">
        <f>IF(OR(A1287="",NOT(ISNUMBER(I1287))),"",IF(G1287=Lists!$B$5,I1287/2,IF(G1287=Lists!$B$7,I1287,0)))</f>
        <v/>
      </c>
      <c r="O1287" s="53">
        <f>IF(COUNTA(A1287:K1287)=0,"",IF(OR(A1287="",B1287="",C1287="",D1287="",E1287="",F1287="",G1287="",NOT(ISNUMBER(I1287))),"Incomplete",IF(COUNTIF(Lists!$H$4:$AA$4,C1287)=0,"Check category",IF(COUNTIF(INDEX(Lists!$H$6:$AA$45,0,MATCH(C1287,Lists!$H$4:$AA$4,0)),D1287)=0,"Check sub-category","OK"))))</f>
        <v/>
      </c>
      <c r="P1287">
        <f>IF(ISNUMBER(I1287),I1287+ROW()/10000000,"")</f>
        <v/>
      </c>
      <c r="Q1287">
        <f>IF(AND(ISNUMBER(P1287),ISNUMBER(A1287)),IF(AND(A1287&gt;=Dashboard!$Q$3,A1287&lt;=Dashboard!$Q$4,OR(J1287&lt;&gt;"Yes",Dashboard!$Q$15="Yes")),P1287,""),"")</f>
        <v/>
      </c>
    </row>
    <row r="1288">
      <c r="A1288" s="47" t="n"/>
      <c r="B1288" s="48" t="n"/>
      <c r="C1288" s="48" t="n"/>
      <c r="D1288" s="48" t="n"/>
      <c r="E1288" s="48" t="n"/>
      <c r="F1288" s="48" t="n"/>
      <c r="G1288" s="48" t="n"/>
      <c r="H1288" s="48" t="n"/>
      <c r="I1288" s="49" t="n"/>
      <c r="J1288" s="50" t="n"/>
      <c r="K1288" s="48" t="n"/>
      <c r="L1288" s="51">
        <f>IF(A1288="","",DATE(YEAR(A1288),MONTH(A1288),1))</f>
        <v/>
      </c>
      <c r="M1288" s="52">
        <f>IF(OR(A1288="",NOT(ISNUMBER(I1288))),"",IF(G1288=Lists!$B$5,I1288/2,IF(G1288=Lists!$B$6,I1288,0)))</f>
        <v/>
      </c>
      <c r="N1288" s="52">
        <f>IF(OR(A1288="",NOT(ISNUMBER(I1288))),"",IF(G1288=Lists!$B$5,I1288/2,IF(G1288=Lists!$B$7,I1288,0)))</f>
        <v/>
      </c>
      <c r="O1288" s="53">
        <f>IF(COUNTA(A1288:K1288)=0,"",IF(OR(A1288="",B1288="",C1288="",D1288="",E1288="",F1288="",G1288="",NOT(ISNUMBER(I1288))),"Incomplete",IF(COUNTIF(Lists!$H$4:$AA$4,C1288)=0,"Check category",IF(COUNTIF(INDEX(Lists!$H$6:$AA$45,0,MATCH(C1288,Lists!$H$4:$AA$4,0)),D1288)=0,"Check sub-category","OK"))))</f>
        <v/>
      </c>
      <c r="P1288">
        <f>IF(ISNUMBER(I1288),I1288+ROW()/10000000,"")</f>
        <v/>
      </c>
      <c r="Q1288">
        <f>IF(AND(ISNUMBER(P1288),ISNUMBER(A1288)),IF(AND(A1288&gt;=Dashboard!$Q$3,A1288&lt;=Dashboard!$Q$4,OR(J1288&lt;&gt;"Yes",Dashboard!$Q$15="Yes")),P1288,""),"")</f>
        <v/>
      </c>
    </row>
    <row r="1289">
      <c r="A1289" s="47" t="n"/>
      <c r="B1289" s="48" t="n"/>
      <c r="C1289" s="48" t="n"/>
      <c r="D1289" s="48" t="n"/>
      <c r="E1289" s="48" t="n"/>
      <c r="F1289" s="48" t="n"/>
      <c r="G1289" s="48" t="n"/>
      <c r="H1289" s="48" t="n"/>
      <c r="I1289" s="49" t="n"/>
      <c r="J1289" s="50" t="n"/>
      <c r="K1289" s="48" t="n"/>
      <c r="L1289" s="51">
        <f>IF(A1289="","",DATE(YEAR(A1289),MONTH(A1289),1))</f>
        <v/>
      </c>
      <c r="M1289" s="52">
        <f>IF(OR(A1289="",NOT(ISNUMBER(I1289))),"",IF(G1289=Lists!$B$5,I1289/2,IF(G1289=Lists!$B$6,I1289,0)))</f>
        <v/>
      </c>
      <c r="N1289" s="52">
        <f>IF(OR(A1289="",NOT(ISNUMBER(I1289))),"",IF(G1289=Lists!$B$5,I1289/2,IF(G1289=Lists!$B$7,I1289,0)))</f>
        <v/>
      </c>
      <c r="O1289" s="53">
        <f>IF(COUNTA(A1289:K1289)=0,"",IF(OR(A1289="",B1289="",C1289="",D1289="",E1289="",F1289="",G1289="",NOT(ISNUMBER(I1289))),"Incomplete",IF(COUNTIF(Lists!$H$4:$AA$4,C1289)=0,"Check category",IF(COUNTIF(INDEX(Lists!$H$6:$AA$45,0,MATCH(C1289,Lists!$H$4:$AA$4,0)),D1289)=0,"Check sub-category","OK"))))</f>
        <v/>
      </c>
      <c r="P1289">
        <f>IF(ISNUMBER(I1289),I1289+ROW()/10000000,"")</f>
        <v/>
      </c>
      <c r="Q1289">
        <f>IF(AND(ISNUMBER(P1289),ISNUMBER(A1289)),IF(AND(A1289&gt;=Dashboard!$Q$3,A1289&lt;=Dashboard!$Q$4,OR(J1289&lt;&gt;"Yes",Dashboard!$Q$15="Yes")),P1289,""),"")</f>
        <v/>
      </c>
    </row>
    <row r="1290">
      <c r="A1290" s="47" t="n"/>
      <c r="B1290" s="48" t="n"/>
      <c r="C1290" s="48" t="n"/>
      <c r="D1290" s="48" t="n"/>
      <c r="E1290" s="48" t="n"/>
      <c r="F1290" s="48" t="n"/>
      <c r="G1290" s="48" t="n"/>
      <c r="H1290" s="48" t="n"/>
      <c r="I1290" s="49" t="n"/>
      <c r="J1290" s="50" t="n"/>
      <c r="K1290" s="48" t="n"/>
      <c r="L1290" s="51">
        <f>IF(A1290="","",DATE(YEAR(A1290),MONTH(A1290),1))</f>
        <v/>
      </c>
      <c r="M1290" s="52">
        <f>IF(OR(A1290="",NOT(ISNUMBER(I1290))),"",IF(G1290=Lists!$B$5,I1290/2,IF(G1290=Lists!$B$6,I1290,0)))</f>
        <v/>
      </c>
      <c r="N1290" s="52">
        <f>IF(OR(A1290="",NOT(ISNUMBER(I1290))),"",IF(G1290=Lists!$B$5,I1290/2,IF(G1290=Lists!$B$7,I1290,0)))</f>
        <v/>
      </c>
      <c r="O1290" s="53">
        <f>IF(COUNTA(A1290:K1290)=0,"",IF(OR(A1290="",B1290="",C1290="",D1290="",E1290="",F1290="",G1290="",NOT(ISNUMBER(I1290))),"Incomplete",IF(COUNTIF(Lists!$H$4:$AA$4,C1290)=0,"Check category",IF(COUNTIF(INDEX(Lists!$H$6:$AA$45,0,MATCH(C1290,Lists!$H$4:$AA$4,0)),D1290)=0,"Check sub-category","OK"))))</f>
        <v/>
      </c>
      <c r="P1290">
        <f>IF(ISNUMBER(I1290),I1290+ROW()/10000000,"")</f>
        <v/>
      </c>
      <c r="Q1290">
        <f>IF(AND(ISNUMBER(P1290),ISNUMBER(A1290)),IF(AND(A1290&gt;=Dashboard!$Q$3,A1290&lt;=Dashboard!$Q$4,OR(J1290&lt;&gt;"Yes",Dashboard!$Q$15="Yes")),P1290,""),"")</f>
        <v/>
      </c>
    </row>
    <row r="1291">
      <c r="A1291" s="47" t="n"/>
      <c r="B1291" s="48" t="n"/>
      <c r="C1291" s="48" t="n"/>
      <c r="D1291" s="48" t="n"/>
      <c r="E1291" s="48" t="n"/>
      <c r="F1291" s="48" t="n"/>
      <c r="G1291" s="48" t="n"/>
      <c r="H1291" s="48" t="n"/>
      <c r="I1291" s="49" t="n"/>
      <c r="J1291" s="50" t="n"/>
      <c r="K1291" s="48" t="n"/>
      <c r="L1291" s="51">
        <f>IF(A1291="","",DATE(YEAR(A1291),MONTH(A1291),1))</f>
        <v/>
      </c>
      <c r="M1291" s="52">
        <f>IF(OR(A1291="",NOT(ISNUMBER(I1291))),"",IF(G1291=Lists!$B$5,I1291/2,IF(G1291=Lists!$B$6,I1291,0)))</f>
        <v/>
      </c>
      <c r="N1291" s="52">
        <f>IF(OR(A1291="",NOT(ISNUMBER(I1291))),"",IF(G1291=Lists!$B$5,I1291/2,IF(G1291=Lists!$B$7,I1291,0)))</f>
        <v/>
      </c>
      <c r="O1291" s="53">
        <f>IF(COUNTA(A1291:K1291)=0,"",IF(OR(A1291="",B1291="",C1291="",D1291="",E1291="",F1291="",G1291="",NOT(ISNUMBER(I1291))),"Incomplete",IF(COUNTIF(Lists!$H$4:$AA$4,C1291)=0,"Check category",IF(COUNTIF(INDEX(Lists!$H$6:$AA$45,0,MATCH(C1291,Lists!$H$4:$AA$4,0)),D1291)=0,"Check sub-category","OK"))))</f>
        <v/>
      </c>
      <c r="P1291">
        <f>IF(ISNUMBER(I1291),I1291+ROW()/10000000,"")</f>
        <v/>
      </c>
      <c r="Q1291">
        <f>IF(AND(ISNUMBER(P1291),ISNUMBER(A1291)),IF(AND(A1291&gt;=Dashboard!$Q$3,A1291&lt;=Dashboard!$Q$4,OR(J1291&lt;&gt;"Yes",Dashboard!$Q$15="Yes")),P1291,""),"")</f>
        <v/>
      </c>
    </row>
    <row r="1292">
      <c r="A1292" s="47" t="n"/>
      <c r="B1292" s="48" t="n"/>
      <c r="C1292" s="48" t="n"/>
      <c r="D1292" s="48" t="n"/>
      <c r="E1292" s="48" t="n"/>
      <c r="F1292" s="48" t="n"/>
      <c r="G1292" s="48" t="n"/>
      <c r="H1292" s="48" t="n"/>
      <c r="I1292" s="49" t="n"/>
      <c r="J1292" s="50" t="n"/>
      <c r="K1292" s="48" t="n"/>
      <c r="L1292" s="51">
        <f>IF(A1292="","",DATE(YEAR(A1292),MONTH(A1292),1))</f>
        <v/>
      </c>
      <c r="M1292" s="52">
        <f>IF(OR(A1292="",NOT(ISNUMBER(I1292))),"",IF(G1292=Lists!$B$5,I1292/2,IF(G1292=Lists!$B$6,I1292,0)))</f>
        <v/>
      </c>
      <c r="N1292" s="52">
        <f>IF(OR(A1292="",NOT(ISNUMBER(I1292))),"",IF(G1292=Lists!$B$5,I1292/2,IF(G1292=Lists!$B$7,I1292,0)))</f>
        <v/>
      </c>
      <c r="O1292" s="53">
        <f>IF(COUNTA(A1292:K1292)=0,"",IF(OR(A1292="",B1292="",C1292="",D1292="",E1292="",F1292="",G1292="",NOT(ISNUMBER(I1292))),"Incomplete",IF(COUNTIF(Lists!$H$4:$AA$4,C1292)=0,"Check category",IF(COUNTIF(INDEX(Lists!$H$6:$AA$45,0,MATCH(C1292,Lists!$H$4:$AA$4,0)),D1292)=0,"Check sub-category","OK"))))</f>
        <v/>
      </c>
      <c r="P1292">
        <f>IF(ISNUMBER(I1292),I1292+ROW()/10000000,"")</f>
        <v/>
      </c>
      <c r="Q1292">
        <f>IF(AND(ISNUMBER(P1292),ISNUMBER(A1292)),IF(AND(A1292&gt;=Dashboard!$Q$3,A1292&lt;=Dashboard!$Q$4,OR(J1292&lt;&gt;"Yes",Dashboard!$Q$15="Yes")),P1292,""),"")</f>
        <v/>
      </c>
    </row>
    <row r="1293">
      <c r="A1293" s="47" t="n"/>
      <c r="B1293" s="48" t="n"/>
      <c r="C1293" s="48" t="n"/>
      <c r="D1293" s="48" t="n"/>
      <c r="E1293" s="48" t="n"/>
      <c r="F1293" s="48" t="n"/>
      <c r="G1293" s="48" t="n"/>
      <c r="H1293" s="48" t="n"/>
      <c r="I1293" s="49" t="n"/>
      <c r="J1293" s="50" t="n"/>
      <c r="K1293" s="48" t="n"/>
      <c r="L1293" s="51">
        <f>IF(A1293="","",DATE(YEAR(A1293),MONTH(A1293),1))</f>
        <v/>
      </c>
      <c r="M1293" s="52">
        <f>IF(OR(A1293="",NOT(ISNUMBER(I1293))),"",IF(G1293=Lists!$B$5,I1293/2,IF(G1293=Lists!$B$6,I1293,0)))</f>
        <v/>
      </c>
      <c r="N1293" s="52">
        <f>IF(OR(A1293="",NOT(ISNUMBER(I1293))),"",IF(G1293=Lists!$B$5,I1293/2,IF(G1293=Lists!$B$7,I1293,0)))</f>
        <v/>
      </c>
      <c r="O1293" s="53">
        <f>IF(COUNTA(A1293:K1293)=0,"",IF(OR(A1293="",B1293="",C1293="",D1293="",E1293="",F1293="",G1293="",NOT(ISNUMBER(I1293))),"Incomplete",IF(COUNTIF(Lists!$H$4:$AA$4,C1293)=0,"Check category",IF(COUNTIF(INDEX(Lists!$H$6:$AA$45,0,MATCH(C1293,Lists!$H$4:$AA$4,0)),D1293)=0,"Check sub-category","OK"))))</f>
        <v/>
      </c>
      <c r="P1293">
        <f>IF(ISNUMBER(I1293),I1293+ROW()/10000000,"")</f>
        <v/>
      </c>
      <c r="Q1293">
        <f>IF(AND(ISNUMBER(P1293),ISNUMBER(A1293)),IF(AND(A1293&gt;=Dashboard!$Q$3,A1293&lt;=Dashboard!$Q$4,OR(J1293&lt;&gt;"Yes",Dashboard!$Q$15="Yes")),P1293,""),"")</f>
        <v/>
      </c>
    </row>
    <row r="1294">
      <c r="A1294" s="47" t="n"/>
      <c r="B1294" s="48" t="n"/>
      <c r="C1294" s="48" t="n"/>
      <c r="D1294" s="48" t="n"/>
      <c r="E1294" s="48" t="n"/>
      <c r="F1294" s="48" t="n"/>
      <c r="G1294" s="48" t="n"/>
      <c r="H1294" s="48" t="n"/>
      <c r="I1294" s="49" t="n"/>
      <c r="J1294" s="50" t="n"/>
      <c r="K1294" s="48" t="n"/>
      <c r="L1294" s="51">
        <f>IF(A1294="","",DATE(YEAR(A1294),MONTH(A1294),1))</f>
        <v/>
      </c>
      <c r="M1294" s="52">
        <f>IF(OR(A1294="",NOT(ISNUMBER(I1294))),"",IF(G1294=Lists!$B$5,I1294/2,IF(G1294=Lists!$B$6,I1294,0)))</f>
        <v/>
      </c>
      <c r="N1294" s="52">
        <f>IF(OR(A1294="",NOT(ISNUMBER(I1294))),"",IF(G1294=Lists!$B$5,I1294/2,IF(G1294=Lists!$B$7,I1294,0)))</f>
        <v/>
      </c>
      <c r="O1294" s="53">
        <f>IF(COUNTA(A1294:K1294)=0,"",IF(OR(A1294="",B1294="",C1294="",D1294="",E1294="",F1294="",G1294="",NOT(ISNUMBER(I1294))),"Incomplete",IF(COUNTIF(Lists!$H$4:$AA$4,C1294)=0,"Check category",IF(COUNTIF(INDEX(Lists!$H$6:$AA$45,0,MATCH(C1294,Lists!$H$4:$AA$4,0)),D1294)=0,"Check sub-category","OK"))))</f>
        <v/>
      </c>
      <c r="P1294">
        <f>IF(ISNUMBER(I1294),I1294+ROW()/10000000,"")</f>
        <v/>
      </c>
      <c r="Q1294">
        <f>IF(AND(ISNUMBER(P1294),ISNUMBER(A1294)),IF(AND(A1294&gt;=Dashboard!$Q$3,A1294&lt;=Dashboard!$Q$4,OR(J1294&lt;&gt;"Yes",Dashboard!$Q$15="Yes")),P1294,""),"")</f>
        <v/>
      </c>
    </row>
    <row r="1295">
      <c r="A1295" s="47" t="n"/>
      <c r="B1295" s="48" t="n"/>
      <c r="C1295" s="48" t="n"/>
      <c r="D1295" s="48" t="n"/>
      <c r="E1295" s="48" t="n"/>
      <c r="F1295" s="48" t="n"/>
      <c r="G1295" s="48" t="n"/>
      <c r="H1295" s="48" t="n"/>
      <c r="I1295" s="49" t="n"/>
      <c r="J1295" s="50" t="n"/>
      <c r="K1295" s="48" t="n"/>
      <c r="L1295" s="51">
        <f>IF(A1295="","",DATE(YEAR(A1295),MONTH(A1295),1))</f>
        <v/>
      </c>
      <c r="M1295" s="52">
        <f>IF(OR(A1295="",NOT(ISNUMBER(I1295))),"",IF(G1295=Lists!$B$5,I1295/2,IF(G1295=Lists!$B$6,I1295,0)))</f>
        <v/>
      </c>
      <c r="N1295" s="52">
        <f>IF(OR(A1295="",NOT(ISNUMBER(I1295))),"",IF(G1295=Lists!$B$5,I1295/2,IF(G1295=Lists!$B$7,I1295,0)))</f>
        <v/>
      </c>
      <c r="O1295" s="53">
        <f>IF(COUNTA(A1295:K1295)=0,"",IF(OR(A1295="",B1295="",C1295="",D1295="",E1295="",F1295="",G1295="",NOT(ISNUMBER(I1295))),"Incomplete",IF(COUNTIF(Lists!$H$4:$AA$4,C1295)=0,"Check category",IF(COUNTIF(INDEX(Lists!$H$6:$AA$45,0,MATCH(C1295,Lists!$H$4:$AA$4,0)),D1295)=0,"Check sub-category","OK"))))</f>
        <v/>
      </c>
      <c r="P1295">
        <f>IF(ISNUMBER(I1295),I1295+ROW()/10000000,"")</f>
        <v/>
      </c>
      <c r="Q1295">
        <f>IF(AND(ISNUMBER(P1295),ISNUMBER(A1295)),IF(AND(A1295&gt;=Dashboard!$Q$3,A1295&lt;=Dashboard!$Q$4,OR(J1295&lt;&gt;"Yes",Dashboard!$Q$15="Yes")),P1295,""),"")</f>
        <v/>
      </c>
    </row>
    <row r="1296">
      <c r="A1296" s="47" t="n"/>
      <c r="B1296" s="48" t="n"/>
      <c r="C1296" s="48" t="n"/>
      <c r="D1296" s="48" t="n"/>
      <c r="E1296" s="48" t="n"/>
      <c r="F1296" s="48" t="n"/>
      <c r="G1296" s="48" t="n"/>
      <c r="H1296" s="48" t="n"/>
      <c r="I1296" s="49" t="n"/>
      <c r="J1296" s="50" t="n"/>
      <c r="K1296" s="48" t="n"/>
      <c r="L1296" s="51">
        <f>IF(A1296="","",DATE(YEAR(A1296),MONTH(A1296),1))</f>
        <v/>
      </c>
      <c r="M1296" s="52">
        <f>IF(OR(A1296="",NOT(ISNUMBER(I1296))),"",IF(G1296=Lists!$B$5,I1296/2,IF(G1296=Lists!$B$6,I1296,0)))</f>
        <v/>
      </c>
      <c r="N1296" s="52">
        <f>IF(OR(A1296="",NOT(ISNUMBER(I1296))),"",IF(G1296=Lists!$B$5,I1296/2,IF(G1296=Lists!$B$7,I1296,0)))</f>
        <v/>
      </c>
      <c r="O1296" s="53">
        <f>IF(COUNTA(A1296:K1296)=0,"",IF(OR(A1296="",B1296="",C1296="",D1296="",E1296="",F1296="",G1296="",NOT(ISNUMBER(I1296))),"Incomplete",IF(COUNTIF(Lists!$H$4:$AA$4,C1296)=0,"Check category",IF(COUNTIF(INDEX(Lists!$H$6:$AA$45,0,MATCH(C1296,Lists!$H$4:$AA$4,0)),D1296)=0,"Check sub-category","OK"))))</f>
        <v/>
      </c>
      <c r="P1296">
        <f>IF(ISNUMBER(I1296),I1296+ROW()/10000000,"")</f>
        <v/>
      </c>
      <c r="Q1296">
        <f>IF(AND(ISNUMBER(P1296),ISNUMBER(A1296)),IF(AND(A1296&gt;=Dashboard!$Q$3,A1296&lt;=Dashboard!$Q$4,OR(J1296&lt;&gt;"Yes",Dashboard!$Q$15="Yes")),P1296,""),"")</f>
        <v/>
      </c>
    </row>
    <row r="1297">
      <c r="A1297" s="47" t="n"/>
      <c r="B1297" s="48" t="n"/>
      <c r="C1297" s="48" t="n"/>
      <c r="D1297" s="48" t="n"/>
      <c r="E1297" s="48" t="n"/>
      <c r="F1297" s="48" t="n"/>
      <c r="G1297" s="48" t="n"/>
      <c r="H1297" s="48" t="n"/>
      <c r="I1297" s="49" t="n"/>
      <c r="J1297" s="50" t="n"/>
      <c r="K1297" s="48" t="n"/>
      <c r="L1297" s="51">
        <f>IF(A1297="","",DATE(YEAR(A1297),MONTH(A1297),1))</f>
        <v/>
      </c>
      <c r="M1297" s="52">
        <f>IF(OR(A1297="",NOT(ISNUMBER(I1297))),"",IF(G1297=Lists!$B$5,I1297/2,IF(G1297=Lists!$B$6,I1297,0)))</f>
        <v/>
      </c>
      <c r="N1297" s="52">
        <f>IF(OR(A1297="",NOT(ISNUMBER(I1297))),"",IF(G1297=Lists!$B$5,I1297/2,IF(G1297=Lists!$B$7,I1297,0)))</f>
        <v/>
      </c>
      <c r="O1297" s="53">
        <f>IF(COUNTA(A1297:K1297)=0,"",IF(OR(A1297="",B1297="",C1297="",D1297="",E1297="",F1297="",G1297="",NOT(ISNUMBER(I1297))),"Incomplete",IF(COUNTIF(Lists!$H$4:$AA$4,C1297)=0,"Check category",IF(COUNTIF(INDEX(Lists!$H$6:$AA$45,0,MATCH(C1297,Lists!$H$4:$AA$4,0)),D1297)=0,"Check sub-category","OK"))))</f>
        <v/>
      </c>
      <c r="P1297">
        <f>IF(ISNUMBER(I1297),I1297+ROW()/10000000,"")</f>
        <v/>
      </c>
      <c r="Q1297">
        <f>IF(AND(ISNUMBER(P1297),ISNUMBER(A1297)),IF(AND(A1297&gt;=Dashboard!$Q$3,A1297&lt;=Dashboard!$Q$4,OR(J1297&lt;&gt;"Yes",Dashboard!$Q$15="Yes")),P1297,""),"")</f>
        <v/>
      </c>
    </row>
    <row r="1298">
      <c r="A1298" s="47" t="n"/>
      <c r="B1298" s="48" t="n"/>
      <c r="C1298" s="48" t="n"/>
      <c r="D1298" s="48" t="n"/>
      <c r="E1298" s="48" t="n"/>
      <c r="F1298" s="48" t="n"/>
      <c r="G1298" s="48" t="n"/>
      <c r="H1298" s="48" t="n"/>
      <c r="I1298" s="49" t="n"/>
      <c r="J1298" s="50" t="n"/>
      <c r="K1298" s="48" t="n"/>
      <c r="L1298" s="51">
        <f>IF(A1298="","",DATE(YEAR(A1298),MONTH(A1298),1))</f>
        <v/>
      </c>
      <c r="M1298" s="52">
        <f>IF(OR(A1298="",NOT(ISNUMBER(I1298))),"",IF(G1298=Lists!$B$5,I1298/2,IF(G1298=Lists!$B$6,I1298,0)))</f>
        <v/>
      </c>
      <c r="N1298" s="52">
        <f>IF(OR(A1298="",NOT(ISNUMBER(I1298))),"",IF(G1298=Lists!$B$5,I1298/2,IF(G1298=Lists!$B$7,I1298,0)))</f>
        <v/>
      </c>
      <c r="O1298" s="53">
        <f>IF(COUNTA(A1298:K1298)=0,"",IF(OR(A1298="",B1298="",C1298="",D1298="",E1298="",F1298="",G1298="",NOT(ISNUMBER(I1298))),"Incomplete",IF(COUNTIF(Lists!$H$4:$AA$4,C1298)=0,"Check category",IF(COUNTIF(INDEX(Lists!$H$6:$AA$45,0,MATCH(C1298,Lists!$H$4:$AA$4,0)),D1298)=0,"Check sub-category","OK"))))</f>
        <v/>
      </c>
      <c r="P1298">
        <f>IF(ISNUMBER(I1298),I1298+ROW()/10000000,"")</f>
        <v/>
      </c>
      <c r="Q1298">
        <f>IF(AND(ISNUMBER(P1298),ISNUMBER(A1298)),IF(AND(A1298&gt;=Dashboard!$Q$3,A1298&lt;=Dashboard!$Q$4,OR(J1298&lt;&gt;"Yes",Dashboard!$Q$15="Yes")),P1298,""),"")</f>
        <v/>
      </c>
    </row>
    <row r="1299">
      <c r="A1299" s="47" t="n"/>
      <c r="B1299" s="48" t="n"/>
      <c r="C1299" s="48" t="n"/>
      <c r="D1299" s="48" t="n"/>
      <c r="E1299" s="48" t="n"/>
      <c r="F1299" s="48" t="n"/>
      <c r="G1299" s="48" t="n"/>
      <c r="H1299" s="48" t="n"/>
      <c r="I1299" s="49" t="n"/>
      <c r="J1299" s="50" t="n"/>
      <c r="K1299" s="48" t="n"/>
      <c r="L1299" s="51">
        <f>IF(A1299="","",DATE(YEAR(A1299),MONTH(A1299),1))</f>
        <v/>
      </c>
      <c r="M1299" s="52">
        <f>IF(OR(A1299="",NOT(ISNUMBER(I1299))),"",IF(G1299=Lists!$B$5,I1299/2,IF(G1299=Lists!$B$6,I1299,0)))</f>
        <v/>
      </c>
      <c r="N1299" s="52">
        <f>IF(OR(A1299="",NOT(ISNUMBER(I1299))),"",IF(G1299=Lists!$B$5,I1299/2,IF(G1299=Lists!$B$7,I1299,0)))</f>
        <v/>
      </c>
      <c r="O1299" s="53">
        <f>IF(COUNTA(A1299:K1299)=0,"",IF(OR(A1299="",B1299="",C1299="",D1299="",E1299="",F1299="",G1299="",NOT(ISNUMBER(I1299))),"Incomplete",IF(COUNTIF(Lists!$H$4:$AA$4,C1299)=0,"Check category",IF(COUNTIF(INDEX(Lists!$H$6:$AA$45,0,MATCH(C1299,Lists!$H$4:$AA$4,0)),D1299)=0,"Check sub-category","OK"))))</f>
        <v/>
      </c>
      <c r="P1299">
        <f>IF(ISNUMBER(I1299),I1299+ROW()/10000000,"")</f>
        <v/>
      </c>
      <c r="Q1299">
        <f>IF(AND(ISNUMBER(P1299),ISNUMBER(A1299)),IF(AND(A1299&gt;=Dashboard!$Q$3,A1299&lt;=Dashboard!$Q$4,OR(J1299&lt;&gt;"Yes",Dashboard!$Q$15="Yes")),P1299,""),"")</f>
        <v/>
      </c>
    </row>
    <row r="1300">
      <c r="A1300" s="47" t="n"/>
      <c r="B1300" s="48" t="n"/>
      <c r="C1300" s="48" t="n"/>
      <c r="D1300" s="48" t="n"/>
      <c r="E1300" s="48" t="n"/>
      <c r="F1300" s="48" t="n"/>
      <c r="G1300" s="48" t="n"/>
      <c r="H1300" s="48" t="n"/>
      <c r="I1300" s="49" t="n"/>
      <c r="J1300" s="50" t="n"/>
      <c r="K1300" s="48" t="n"/>
      <c r="L1300" s="51">
        <f>IF(A1300="","",DATE(YEAR(A1300),MONTH(A1300),1))</f>
        <v/>
      </c>
      <c r="M1300" s="52">
        <f>IF(OR(A1300="",NOT(ISNUMBER(I1300))),"",IF(G1300=Lists!$B$5,I1300/2,IF(G1300=Lists!$B$6,I1300,0)))</f>
        <v/>
      </c>
      <c r="N1300" s="52">
        <f>IF(OR(A1300="",NOT(ISNUMBER(I1300))),"",IF(G1300=Lists!$B$5,I1300/2,IF(G1300=Lists!$B$7,I1300,0)))</f>
        <v/>
      </c>
      <c r="O1300" s="53">
        <f>IF(COUNTA(A1300:K1300)=0,"",IF(OR(A1300="",B1300="",C1300="",D1300="",E1300="",F1300="",G1300="",NOT(ISNUMBER(I1300))),"Incomplete",IF(COUNTIF(Lists!$H$4:$AA$4,C1300)=0,"Check category",IF(COUNTIF(INDEX(Lists!$H$6:$AA$45,0,MATCH(C1300,Lists!$H$4:$AA$4,0)),D1300)=0,"Check sub-category","OK"))))</f>
        <v/>
      </c>
      <c r="P1300">
        <f>IF(ISNUMBER(I1300),I1300+ROW()/10000000,"")</f>
        <v/>
      </c>
      <c r="Q1300">
        <f>IF(AND(ISNUMBER(P1300),ISNUMBER(A1300)),IF(AND(A1300&gt;=Dashboard!$Q$3,A1300&lt;=Dashboard!$Q$4,OR(J1300&lt;&gt;"Yes",Dashboard!$Q$15="Yes")),P1300,""),"")</f>
        <v/>
      </c>
    </row>
    <row r="1301">
      <c r="A1301" s="47" t="n"/>
      <c r="B1301" s="48" t="n"/>
      <c r="C1301" s="48" t="n"/>
      <c r="D1301" s="48" t="n"/>
      <c r="E1301" s="48" t="n"/>
      <c r="F1301" s="48" t="n"/>
      <c r="G1301" s="48" t="n"/>
      <c r="H1301" s="48" t="n"/>
      <c r="I1301" s="49" t="n"/>
      <c r="J1301" s="50" t="n"/>
      <c r="K1301" s="48" t="n"/>
      <c r="L1301" s="51">
        <f>IF(A1301="","",DATE(YEAR(A1301),MONTH(A1301),1))</f>
        <v/>
      </c>
      <c r="M1301" s="52">
        <f>IF(OR(A1301="",NOT(ISNUMBER(I1301))),"",IF(G1301=Lists!$B$5,I1301/2,IF(G1301=Lists!$B$6,I1301,0)))</f>
        <v/>
      </c>
      <c r="N1301" s="52">
        <f>IF(OR(A1301="",NOT(ISNUMBER(I1301))),"",IF(G1301=Lists!$B$5,I1301/2,IF(G1301=Lists!$B$7,I1301,0)))</f>
        <v/>
      </c>
      <c r="O1301" s="53">
        <f>IF(COUNTA(A1301:K1301)=0,"",IF(OR(A1301="",B1301="",C1301="",D1301="",E1301="",F1301="",G1301="",NOT(ISNUMBER(I1301))),"Incomplete",IF(COUNTIF(Lists!$H$4:$AA$4,C1301)=0,"Check category",IF(COUNTIF(INDEX(Lists!$H$6:$AA$45,0,MATCH(C1301,Lists!$H$4:$AA$4,0)),D1301)=0,"Check sub-category","OK"))))</f>
        <v/>
      </c>
      <c r="P1301">
        <f>IF(ISNUMBER(I1301),I1301+ROW()/10000000,"")</f>
        <v/>
      </c>
      <c r="Q1301">
        <f>IF(AND(ISNUMBER(P1301),ISNUMBER(A1301)),IF(AND(A1301&gt;=Dashboard!$Q$3,A1301&lt;=Dashboard!$Q$4,OR(J1301&lt;&gt;"Yes",Dashboard!$Q$15="Yes")),P1301,""),"")</f>
        <v/>
      </c>
    </row>
    <row r="1302">
      <c r="A1302" s="47" t="n"/>
      <c r="B1302" s="48" t="n"/>
      <c r="C1302" s="48" t="n"/>
      <c r="D1302" s="48" t="n"/>
      <c r="E1302" s="48" t="n"/>
      <c r="F1302" s="48" t="n"/>
      <c r="G1302" s="48" t="n"/>
      <c r="H1302" s="48" t="n"/>
      <c r="I1302" s="49" t="n"/>
      <c r="J1302" s="50" t="n"/>
      <c r="K1302" s="48" t="n"/>
      <c r="L1302" s="51">
        <f>IF(A1302="","",DATE(YEAR(A1302),MONTH(A1302),1))</f>
        <v/>
      </c>
      <c r="M1302" s="52">
        <f>IF(OR(A1302="",NOT(ISNUMBER(I1302))),"",IF(G1302=Lists!$B$5,I1302/2,IF(G1302=Lists!$B$6,I1302,0)))</f>
        <v/>
      </c>
      <c r="N1302" s="52">
        <f>IF(OR(A1302="",NOT(ISNUMBER(I1302))),"",IF(G1302=Lists!$B$5,I1302/2,IF(G1302=Lists!$B$7,I1302,0)))</f>
        <v/>
      </c>
      <c r="O1302" s="53">
        <f>IF(COUNTA(A1302:K1302)=0,"",IF(OR(A1302="",B1302="",C1302="",D1302="",E1302="",F1302="",G1302="",NOT(ISNUMBER(I1302))),"Incomplete",IF(COUNTIF(Lists!$H$4:$AA$4,C1302)=0,"Check category",IF(COUNTIF(INDEX(Lists!$H$6:$AA$45,0,MATCH(C1302,Lists!$H$4:$AA$4,0)),D1302)=0,"Check sub-category","OK"))))</f>
        <v/>
      </c>
      <c r="P1302">
        <f>IF(ISNUMBER(I1302),I1302+ROW()/10000000,"")</f>
        <v/>
      </c>
      <c r="Q1302">
        <f>IF(AND(ISNUMBER(P1302),ISNUMBER(A1302)),IF(AND(A1302&gt;=Dashboard!$Q$3,A1302&lt;=Dashboard!$Q$4,OR(J1302&lt;&gt;"Yes",Dashboard!$Q$15="Yes")),P1302,""),"")</f>
        <v/>
      </c>
    </row>
    <row r="1303">
      <c r="A1303" s="47" t="n"/>
      <c r="B1303" s="48" t="n"/>
      <c r="C1303" s="48" t="n"/>
      <c r="D1303" s="48" t="n"/>
      <c r="E1303" s="48" t="n"/>
      <c r="F1303" s="48" t="n"/>
      <c r="G1303" s="48" t="n"/>
      <c r="H1303" s="48" t="n"/>
      <c r="I1303" s="49" t="n"/>
      <c r="J1303" s="50" t="n"/>
      <c r="K1303" s="48" t="n"/>
      <c r="L1303" s="51">
        <f>IF(A1303="","",DATE(YEAR(A1303),MONTH(A1303),1))</f>
        <v/>
      </c>
      <c r="M1303" s="52">
        <f>IF(OR(A1303="",NOT(ISNUMBER(I1303))),"",IF(G1303=Lists!$B$5,I1303/2,IF(G1303=Lists!$B$6,I1303,0)))</f>
        <v/>
      </c>
      <c r="N1303" s="52">
        <f>IF(OR(A1303="",NOT(ISNUMBER(I1303))),"",IF(G1303=Lists!$B$5,I1303/2,IF(G1303=Lists!$B$7,I1303,0)))</f>
        <v/>
      </c>
      <c r="O1303" s="53">
        <f>IF(COUNTA(A1303:K1303)=0,"",IF(OR(A1303="",B1303="",C1303="",D1303="",E1303="",F1303="",G1303="",NOT(ISNUMBER(I1303))),"Incomplete",IF(COUNTIF(Lists!$H$4:$AA$4,C1303)=0,"Check category",IF(COUNTIF(INDEX(Lists!$H$6:$AA$45,0,MATCH(C1303,Lists!$H$4:$AA$4,0)),D1303)=0,"Check sub-category","OK"))))</f>
        <v/>
      </c>
      <c r="P1303">
        <f>IF(ISNUMBER(I1303),I1303+ROW()/10000000,"")</f>
        <v/>
      </c>
      <c r="Q1303">
        <f>IF(AND(ISNUMBER(P1303),ISNUMBER(A1303)),IF(AND(A1303&gt;=Dashboard!$Q$3,A1303&lt;=Dashboard!$Q$4,OR(J1303&lt;&gt;"Yes",Dashboard!$Q$15="Yes")),P1303,""),"")</f>
        <v/>
      </c>
    </row>
    <row r="1304">
      <c r="A1304" s="47" t="n"/>
      <c r="B1304" s="48" t="n"/>
      <c r="C1304" s="48" t="n"/>
      <c r="D1304" s="48" t="n"/>
      <c r="E1304" s="48" t="n"/>
      <c r="F1304" s="48" t="n"/>
      <c r="G1304" s="48" t="n"/>
      <c r="H1304" s="48" t="n"/>
      <c r="I1304" s="49" t="n"/>
      <c r="J1304" s="50" t="n"/>
      <c r="K1304" s="48" t="n"/>
      <c r="L1304" s="51">
        <f>IF(A1304="","",DATE(YEAR(A1304),MONTH(A1304),1))</f>
        <v/>
      </c>
      <c r="M1304" s="52">
        <f>IF(OR(A1304="",NOT(ISNUMBER(I1304))),"",IF(G1304=Lists!$B$5,I1304/2,IF(G1304=Lists!$B$6,I1304,0)))</f>
        <v/>
      </c>
      <c r="N1304" s="52">
        <f>IF(OR(A1304="",NOT(ISNUMBER(I1304))),"",IF(G1304=Lists!$B$5,I1304/2,IF(G1304=Lists!$B$7,I1304,0)))</f>
        <v/>
      </c>
      <c r="O1304" s="53">
        <f>IF(COUNTA(A1304:K1304)=0,"",IF(OR(A1304="",B1304="",C1304="",D1304="",E1304="",F1304="",G1304="",NOT(ISNUMBER(I1304))),"Incomplete",IF(COUNTIF(Lists!$H$4:$AA$4,C1304)=0,"Check category",IF(COUNTIF(INDEX(Lists!$H$6:$AA$45,0,MATCH(C1304,Lists!$H$4:$AA$4,0)),D1304)=0,"Check sub-category","OK"))))</f>
        <v/>
      </c>
      <c r="P1304">
        <f>IF(ISNUMBER(I1304),I1304+ROW()/10000000,"")</f>
        <v/>
      </c>
      <c r="Q1304">
        <f>IF(AND(ISNUMBER(P1304),ISNUMBER(A1304)),IF(AND(A1304&gt;=Dashboard!$Q$3,A1304&lt;=Dashboard!$Q$4,OR(J1304&lt;&gt;"Yes",Dashboard!$Q$15="Yes")),P1304,""),"")</f>
        <v/>
      </c>
    </row>
    <row r="1305">
      <c r="A1305" s="47" t="n"/>
      <c r="B1305" s="48" t="n"/>
      <c r="C1305" s="48" t="n"/>
      <c r="D1305" s="48" t="n"/>
      <c r="E1305" s="48" t="n"/>
      <c r="F1305" s="48" t="n"/>
      <c r="G1305" s="48" t="n"/>
      <c r="H1305" s="48" t="n"/>
      <c r="I1305" s="49" t="n"/>
      <c r="J1305" s="50" t="n"/>
      <c r="K1305" s="48" t="n"/>
      <c r="L1305" s="51">
        <f>IF(A1305="","",DATE(YEAR(A1305),MONTH(A1305),1))</f>
        <v/>
      </c>
      <c r="M1305" s="52">
        <f>IF(OR(A1305="",NOT(ISNUMBER(I1305))),"",IF(G1305=Lists!$B$5,I1305/2,IF(G1305=Lists!$B$6,I1305,0)))</f>
        <v/>
      </c>
      <c r="N1305" s="52">
        <f>IF(OR(A1305="",NOT(ISNUMBER(I1305))),"",IF(G1305=Lists!$B$5,I1305/2,IF(G1305=Lists!$B$7,I1305,0)))</f>
        <v/>
      </c>
      <c r="O1305" s="53">
        <f>IF(COUNTA(A1305:K1305)=0,"",IF(OR(A1305="",B1305="",C1305="",D1305="",E1305="",F1305="",G1305="",NOT(ISNUMBER(I1305))),"Incomplete",IF(COUNTIF(Lists!$H$4:$AA$4,C1305)=0,"Check category",IF(COUNTIF(INDEX(Lists!$H$6:$AA$45,0,MATCH(C1305,Lists!$H$4:$AA$4,0)),D1305)=0,"Check sub-category","OK"))))</f>
        <v/>
      </c>
      <c r="P1305">
        <f>IF(ISNUMBER(I1305),I1305+ROW()/10000000,"")</f>
        <v/>
      </c>
      <c r="Q1305">
        <f>IF(AND(ISNUMBER(P1305),ISNUMBER(A1305)),IF(AND(A1305&gt;=Dashboard!$Q$3,A1305&lt;=Dashboard!$Q$4,OR(J1305&lt;&gt;"Yes",Dashboard!$Q$15="Yes")),P1305,""),"")</f>
        <v/>
      </c>
    </row>
    <row r="1306">
      <c r="A1306" s="47" t="n"/>
      <c r="B1306" s="48" t="n"/>
      <c r="C1306" s="48" t="n"/>
      <c r="D1306" s="48" t="n"/>
      <c r="E1306" s="48" t="n"/>
      <c r="F1306" s="48" t="n"/>
      <c r="G1306" s="48" t="n"/>
      <c r="H1306" s="48" t="n"/>
      <c r="I1306" s="49" t="n"/>
      <c r="J1306" s="50" t="n"/>
      <c r="K1306" s="48" t="n"/>
      <c r="L1306" s="51">
        <f>IF(A1306="","",DATE(YEAR(A1306),MONTH(A1306),1))</f>
        <v/>
      </c>
      <c r="M1306" s="52">
        <f>IF(OR(A1306="",NOT(ISNUMBER(I1306))),"",IF(G1306=Lists!$B$5,I1306/2,IF(G1306=Lists!$B$6,I1306,0)))</f>
        <v/>
      </c>
      <c r="N1306" s="52">
        <f>IF(OR(A1306="",NOT(ISNUMBER(I1306))),"",IF(G1306=Lists!$B$5,I1306/2,IF(G1306=Lists!$B$7,I1306,0)))</f>
        <v/>
      </c>
      <c r="O1306" s="53">
        <f>IF(COUNTA(A1306:K1306)=0,"",IF(OR(A1306="",B1306="",C1306="",D1306="",E1306="",F1306="",G1306="",NOT(ISNUMBER(I1306))),"Incomplete",IF(COUNTIF(Lists!$H$4:$AA$4,C1306)=0,"Check category",IF(COUNTIF(INDEX(Lists!$H$6:$AA$45,0,MATCH(C1306,Lists!$H$4:$AA$4,0)),D1306)=0,"Check sub-category","OK"))))</f>
        <v/>
      </c>
      <c r="P1306">
        <f>IF(ISNUMBER(I1306),I1306+ROW()/10000000,"")</f>
        <v/>
      </c>
      <c r="Q1306">
        <f>IF(AND(ISNUMBER(P1306),ISNUMBER(A1306)),IF(AND(A1306&gt;=Dashboard!$Q$3,A1306&lt;=Dashboard!$Q$4,OR(J1306&lt;&gt;"Yes",Dashboard!$Q$15="Yes")),P1306,""),"")</f>
        <v/>
      </c>
    </row>
    <row r="1307">
      <c r="A1307" s="47" t="n"/>
      <c r="B1307" s="48" t="n"/>
      <c r="C1307" s="48" t="n"/>
      <c r="D1307" s="48" t="n"/>
      <c r="E1307" s="48" t="n"/>
      <c r="F1307" s="48" t="n"/>
      <c r="G1307" s="48" t="n"/>
      <c r="H1307" s="48" t="n"/>
      <c r="I1307" s="49" t="n"/>
      <c r="J1307" s="50" t="n"/>
      <c r="K1307" s="48" t="n"/>
      <c r="L1307" s="51">
        <f>IF(A1307="","",DATE(YEAR(A1307),MONTH(A1307),1))</f>
        <v/>
      </c>
      <c r="M1307" s="52">
        <f>IF(OR(A1307="",NOT(ISNUMBER(I1307))),"",IF(G1307=Lists!$B$5,I1307/2,IF(G1307=Lists!$B$6,I1307,0)))</f>
        <v/>
      </c>
      <c r="N1307" s="52">
        <f>IF(OR(A1307="",NOT(ISNUMBER(I1307))),"",IF(G1307=Lists!$B$5,I1307/2,IF(G1307=Lists!$B$7,I1307,0)))</f>
        <v/>
      </c>
      <c r="O1307" s="53">
        <f>IF(COUNTA(A1307:K1307)=0,"",IF(OR(A1307="",B1307="",C1307="",D1307="",E1307="",F1307="",G1307="",NOT(ISNUMBER(I1307))),"Incomplete",IF(COUNTIF(Lists!$H$4:$AA$4,C1307)=0,"Check category",IF(COUNTIF(INDEX(Lists!$H$6:$AA$45,0,MATCH(C1307,Lists!$H$4:$AA$4,0)),D1307)=0,"Check sub-category","OK"))))</f>
        <v/>
      </c>
      <c r="P1307">
        <f>IF(ISNUMBER(I1307),I1307+ROW()/10000000,"")</f>
        <v/>
      </c>
      <c r="Q1307">
        <f>IF(AND(ISNUMBER(P1307),ISNUMBER(A1307)),IF(AND(A1307&gt;=Dashboard!$Q$3,A1307&lt;=Dashboard!$Q$4,OR(J1307&lt;&gt;"Yes",Dashboard!$Q$15="Yes")),P1307,""),"")</f>
        <v/>
      </c>
    </row>
    <row r="1308">
      <c r="A1308" s="47" t="n"/>
      <c r="B1308" s="48" t="n"/>
      <c r="C1308" s="48" t="n"/>
      <c r="D1308" s="48" t="n"/>
      <c r="E1308" s="48" t="n"/>
      <c r="F1308" s="48" t="n"/>
      <c r="G1308" s="48" t="n"/>
      <c r="H1308" s="48" t="n"/>
      <c r="I1308" s="49" t="n"/>
      <c r="J1308" s="50" t="n"/>
      <c r="K1308" s="48" t="n"/>
      <c r="L1308" s="51">
        <f>IF(A1308="","",DATE(YEAR(A1308),MONTH(A1308),1))</f>
        <v/>
      </c>
      <c r="M1308" s="52">
        <f>IF(OR(A1308="",NOT(ISNUMBER(I1308))),"",IF(G1308=Lists!$B$5,I1308/2,IF(G1308=Lists!$B$6,I1308,0)))</f>
        <v/>
      </c>
      <c r="N1308" s="52">
        <f>IF(OR(A1308="",NOT(ISNUMBER(I1308))),"",IF(G1308=Lists!$B$5,I1308/2,IF(G1308=Lists!$B$7,I1308,0)))</f>
        <v/>
      </c>
      <c r="O1308" s="53">
        <f>IF(COUNTA(A1308:K1308)=0,"",IF(OR(A1308="",B1308="",C1308="",D1308="",E1308="",F1308="",G1308="",NOT(ISNUMBER(I1308))),"Incomplete",IF(COUNTIF(Lists!$H$4:$AA$4,C1308)=0,"Check category",IF(COUNTIF(INDEX(Lists!$H$6:$AA$45,0,MATCH(C1308,Lists!$H$4:$AA$4,0)),D1308)=0,"Check sub-category","OK"))))</f>
        <v/>
      </c>
      <c r="P1308">
        <f>IF(ISNUMBER(I1308),I1308+ROW()/10000000,"")</f>
        <v/>
      </c>
      <c r="Q1308">
        <f>IF(AND(ISNUMBER(P1308),ISNUMBER(A1308)),IF(AND(A1308&gt;=Dashboard!$Q$3,A1308&lt;=Dashboard!$Q$4,OR(J1308&lt;&gt;"Yes",Dashboard!$Q$15="Yes")),P1308,""),"")</f>
        <v/>
      </c>
    </row>
    <row r="1309">
      <c r="A1309" s="47" t="n"/>
      <c r="B1309" s="48" t="n"/>
      <c r="C1309" s="48" t="n"/>
      <c r="D1309" s="48" t="n"/>
      <c r="E1309" s="48" t="n"/>
      <c r="F1309" s="48" t="n"/>
      <c r="G1309" s="48" t="n"/>
      <c r="H1309" s="48" t="n"/>
      <c r="I1309" s="49" t="n"/>
      <c r="J1309" s="50" t="n"/>
      <c r="K1309" s="48" t="n"/>
      <c r="L1309" s="51">
        <f>IF(A1309="","",DATE(YEAR(A1309),MONTH(A1309),1))</f>
        <v/>
      </c>
      <c r="M1309" s="52">
        <f>IF(OR(A1309="",NOT(ISNUMBER(I1309))),"",IF(G1309=Lists!$B$5,I1309/2,IF(G1309=Lists!$B$6,I1309,0)))</f>
        <v/>
      </c>
      <c r="N1309" s="52">
        <f>IF(OR(A1309="",NOT(ISNUMBER(I1309))),"",IF(G1309=Lists!$B$5,I1309/2,IF(G1309=Lists!$B$7,I1309,0)))</f>
        <v/>
      </c>
      <c r="O1309" s="53">
        <f>IF(COUNTA(A1309:K1309)=0,"",IF(OR(A1309="",B1309="",C1309="",D1309="",E1309="",F1309="",G1309="",NOT(ISNUMBER(I1309))),"Incomplete",IF(COUNTIF(Lists!$H$4:$AA$4,C1309)=0,"Check category",IF(COUNTIF(INDEX(Lists!$H$6:$AA$45,0,MATCH(C1309,Lists!$H$4:$AA$4,0)),D1309)=0,"Check sub-category","OK"))))</f>
        <v/>
      </c>
      <c r="P1309">
        <f>IF(ISNUMBER(I1309),I1309+ROW()/10000000,"")</f>
        <v/>
      </c>
      <c r="Q1309">
        <f>IF(AND(ISNUMBER(P1309),ISNUMBER(A1309)),IF(AND(A1309&gt;=Dashboard!$Q$3,A1309&lt;=Dashboard!$Q$4,OR(J1309&lt;&gt;"Yes",Dashboard!$Q$15="Yes")),P1309,""),"")</f>
        <v/>
      </c>
    </row>
    <row r="1310">
      <c r="A1310" s="47" t="n"/>
      <c r="B1310" s="48" t="n"/>
      <c r="C1310" s="48" t="n"/>
      <c r="D1310" s="48" t="n"/>
      <c r="E1310" s="48" t="n"/>
      <c r="F1310" s="48" t="n"/>
      <c r="G1310" s="48" t="n"/>
      <c r="H1310" s="48" t="n"/>
      <c r="I1310" s="49" t="n"/>
      <c r="J1310" s="50" t="n"/>
      <c r="K1310" s="48" t="n"/>
      <c r="L1310" s="51">
        <f>IF(A1310="","",DATE(YEAR(A1310),MONTH(A1310),1))</f>
        <v/>
      </c>
      <c r="M1310" s="52">
        <f>IF(OR(A1310="",NOT(ISNUMBER(I1310))),"",IF(G1310=Lists!$B$5,I1310/2,IF(G1310=Lists!$B$6,I1310,0)))</f>
        <v/>
      </c>
      <c r="N1310" s="52">
        <f>IF(OR(A1310="",NOT(ISNUMBER(I1310))),"",IF(G1310=Lists!$B$5,I1310/2,IF(G1310=Lists!$B$7,I1310,0)))</f>
        <v/>
      </c>
      <c r="O1310" s="53">
        <f>IF(COUNTA(A1310:K1310)=0,"",IF(OR(A1310="",B1310="",C1310="",D1310="",E1310="",F1310="",G1310="",NOT(ISNUMBER(I1310))),"Incomplete",IF(COUNTIF(Lists!$H$4:$AA$4,C1310)=0,"Check category",IF(COUNTIF(INDEX(Lists!$H$6:$AA$45,0,MATCH(C1310,Lists!$H$4:$AA$4,0)),D1310)=0,"Check sub-category","OK"))))</f>
        <v/>
      </c>
      <c r="P1310">
        <f>IF(ISNUMBER(I1310),I1310+ROW()/10000000,"")</f>
        <v/>
      </c>
      <c r="Q1310">
        <f>IF(AND(ISNUMBER(P1310),ISNUMBER(A1310)),IF(AND(A1310&gt;=Dashboard!$Q$3,A1310&lt;=Dashboard!$Q$4,OR(J1310&lt;&gt;"Yes",Dashboard!$Q$15="Yes")),P1310,""),"")</f>
        <v/>
      </c>
    </row>
    <row r="1311">
      <c r="A1311" s="47" t="n"/>
      <c r="B1311" s="48" t="n"/>
      <c r="C1311" s="48" t="n"/>
      <c r="D1311" s="48" t="n"/>
      <c r="E1311" s="48" t="n"/>
      <c r="F1311" s="48" t="n"/>
      <c r="G1311" s="48" t="n"/>
      <c r="H1311" s="48" t="n"/>
      <c r="I1311" s="49" t="n"/>
      <c r="J1311" s="50" t="n"/>
      <c r="K1311" s="48" t="n"/>
      <c r="L1311" s="51">
        <f>IF(A1311="","",DATE(YEAR(A1311),MONTH(A1311),1))</f>
        <v/>
      </c>
      <c r="M1311" s="52">
        <f>IF(OR(A1311="",NOT(ISNUMBER(I1311))),"",IF(G1311=Lists!$B$5,I1311/2,IF(G1311=Lists!$B$6,I1311,0)))</f>
        <v/>
      </c>
      <c r="N1311" s="52">
        <f>IF(OR(A1311="",NOT(ISNUMBER(I1311))),"",IF(G1311=Lists!$B$5,I1311/2,IF(G1311=Lists!$B$7,I1311,0)))</f>
        <v/>
      </c>
      <c r="O1311" s="53">
        <f>IF(COUNTA(A1311:K1311)=0,"",IF(OR(A1311="",B1311="",C1311="",D1311="",E1311="",F1311="",G1311="",NOT(ISNUMBER(I1311))),"Incomplete",IF(COUNTIF(Lists!$H$4:$AA$4,C1311)=0,"Check category",IF(COUNTIF(INDEX(Lists!$H$6:$AA$45,0,MATCH(C1311,Lists!$H$4:$AA$4,0)),D1311)=0,"Check sub-category","OK"))))</f>
        <v/>
      </c>
      <c r="P1311">
        <f>IF(ISNUMBER(I1311),I1311+ROW()/10000000,"")</f>
        <v/>
      </c>
      <c r="Q1311">
        <f>IF(AND(ISNUMBER(P1311),ISNUMBER(A1311)),IF(AND(A1311&gt;=Dashboard!$Q$3,A1311&lt;=Dashboard!$Q$4,OR(J1311&lt;&gt;"Yes",Dashboard!$Q$15="Yes")),P1311,""),"")</f>
        <v/>
      </c>
    </row>
    <row r="1312">
      <c r="A1312" s="47" t="n"/>
      <c r="B1312" s="48" t="n"/>
      <c r="C1312" s="48" t="n"/>
      <c r="D1312" s="48" t="n"/>
      <c r="E1312" s="48" t="n"/>
      <c r="F1312" s="48" t="n"/>
      <c r="G1312" s="48" t="n"/>
      <c r="H1312" s="48" t="n"/>
      <c r="I1312" s="49" t="n"/>
      <c r="J1312" s="50" t="n"/>
      <c r="K1312" s="48" t="n"/>
      <c r="L1312" s="51">
        <f>IF(A1312="","",DATE(YEAR(A1312),MONTH(A1312),1))</f>
        <v/>
      </c>
      <c r="M1312" s="52">
        <f>IF(OR(A1312="",NOT(ISNUMBER(I1312))),"",IF(G1312=Lists!$B$5,I1312/2,IF(G1312=Lists!$B$6,I1312,0)))</f>
        <v/>
      </c>
      <c r="N1312" s="52">
        <f>IF(OR(A1312="",NOT(ISNUMBER(I1312))),"",IF(G1312=Lists!$B$5,I1312/2,IF(G1312=Lists!$B$7,I1312,0)))</f>
        <v/>
      </c>
      <c r="O1312" s="53">
        <f>IF(COUNTA(A1312:K1312)=0,"",IF(OR(A1312="",B1312="",C1312="",D1312="",E1312="",F1312="",G1312="",NOT(ISNUMBER(I1312))),"Incomplete",IF(COUNTIF(Lists!$H$4:$AA$4,C1312)=0,"Check category",IF(COUNTIF(INDEX(Lists!$H$6:$AA$45,0,MATCH(C1312,Lists!$H$4:$AA$4,0)),D1312)=0,"Check sub-category","OK"))))</f>
        <v/>
      </c>
      <c r="P1312">
        <f>IF(ISNUMBER(I1312),I1312+ROW()/10000000,"")</f>
        <v/>
      </c>
      <c r="Q1312">
        <f>IF(AND(ISNUMBER(P1312),ISNUMBER(A1312)),IF(AND(A1312&gt;=Dashboard!$Q$3,A1312&lt;=Dashboard!$Q$4,OR(J1312&lt;&gt;"Yes",Dashboard!$Q$15="Yes")),P1312,""),"")</f>
        <v/>
      </c>
    </row>
    <row r="1313">
      <c r="A1313" s="47" t="n"/>
      <c r="B1313" s="48" t="n"/>
      <c r="C1313" s="48" t="n"/>
      <c r="D1313" s="48" t="n"/>
      <c r="E1313" s="48" t="n"/>
      <c r="F1313" s="48" t="n"/>
      <c r="G1313" s="48" t="n"/>
      <c r="H1313" s="48" t="n"/>
      <c r="I1313" s="49" t="n"/>
      <c r="J1313" s="50" t="n"/>
      <c r="K1313" s="48" t="n"/>
      <c r="L1313" s="51">
        <f>IF(A1313="","",DATE(YEAR(A1313),MONTH(A1313),1))</f>
        <v/>
      </c>
      <c r="M1313" s="52">
        <f>IF(OR(A1313="",NOT(ISNUMBER(I1313))),"",IF(G1313=Lists!$B$5,I1313/2,IF(G1313=Lists!$B$6,I1313,0)))</f>
        <v/>
      </c>
      <c r="N1313" s="52">
        <f>IF(OR(A1313="",NOT(ISNUMBER(I1313))),"",IF(G1313=Lists!$B$5,I1313/2,IF(G1313=Lists!$B$7,I1313,0)))</f>
        <v/>
      </c>
      <c r="O1313" s="53">
        <f>IF(COUNTA(A1313:K1313)=0,"",IF(OR(A1313="",B1313="",C1313="",D1313="",E1313="",F1313="",G1313="",NOT(ISNUMBER(I1313))),"Incomplete",IF(COUNTIF(Lists!$H$4:$AA$4,C1313)=0,"Check category",IF(COUNTIF(INDEX(Lists!$H$6:$AA$45,0,MATCH(C1313,Lists!$H$4:$AA$4,0)),D1313)=0,"Check sub-category","OK"))))</f>
        <v/>
      </c>
      <c r="P1313">
        <f>IF(ISNUMBER(I1313),I1313+ROW()/10000000,"")</f>
        <v/>
      </c>
      <c r="Q1313">
        <f>IF(AND(ISNUMBER(P1313),ISNUMBER(A1313)),IF(AND(A1313&gt;=Dashboard!$Q$3,A1313&lt;=Dashboard!$Q$4,OR(J1313&lt;&gt;"Yes",Dashboard!$Q$15="Yes")),P1313,""),"")</f>
        <v/>
      </c>
    </row>
    <row r="1314">
      <c r="A1314" s="47" t="n"/>
      <c r="B1314" s="48" t="n"/>
      <c r="C1314" s="48" t="n"/>
      <c r="D1314" s="48" t="n"/>
      <c r="E1314" s="48" t="n"/>
      <c r="F1314" s="48" t="n"/>
      <c r="G1314" s="48" t="n"/>
      <c r="H1314" s="48" t="n"/>
      <c r="I1314" s="49" t="n"/>
      <c r="J1314" s="50" t="n"/>
      <c r="K1314" s="48" t="n"/>
      <c r="L1314" s="51">
        <f>IF(A1314="","",DATE(YEAR(A1314),MONTH(A1314),1))</f>
        <v/>
      </c>
      <c r="M1314" s="52">
        <f>IF(OR(A1314="",NOT(ISNUMBER(I1314))),"",IF(G1314=Lists!$B$5,I1314/2,IF(G1314=Lists!$B$6,I1314,0)))</f>
        <v/>
      </c>
      <c r="N1314" s="52">
        <f>IF(OR(A1314="",NOT(ISNUMBER(I1314))),"",IF(G1314=Lists!$B$5,I1314/2,IF(G1314=Lists!$B$7,I1314,0)))</f>
        <v/>
      </c>
      <c r="O1314" s="53">
        <f>IF(COUNTA(A1314:K1314)=0,"",IF(OR(A1314="",B1314="",C1314="",D1314="",E1314="",F1314="",G1314="",NOT(ISNUMBER(I1314))),"Incomplete",IF(COUNTIF(Lists!$H$4:$AA$4,C1314)=0,"Check category",IF(COUNTIF(INDEX(Lists!$H$6:$AA$45,0,MATCH(C1314,Lists!$H$4:$AA$4,0)),D1314)=0,"Check sub-category","OK"))))</f>
        <v/>
      </c>
      <c r="P1314">
        <f>IF(ISNUMBER(I1314),I1314+ROW()/10000000,"")</f>
        <v/>
      </c>
      <c r="Q1314">
        <f>IF(AND(ISNUMBER(P1314),ISNUMBER(A1314)),IF(AND(A1314&gt;=Dashboard!$Q$3,A1314&lt;=Dashboard!$Q$4,OR(J1314&lt;&gt;"Yes",Dashboard!$Q$15="Yes")),P1314,""),"")</f>
        <v/>
      </c>
    </row>
    <row r="1315">
      <c r="A1315" s="47" t="n"/>
      <c r="B1315" s="48" t="n"/>
      <c r="C1315" s="48" t="n"/>
      <c r="D1315" s="48" t="n"/>
      <c r="E1315" s="48" t="n"/>
      <c r="F1315" s="48" t="n"/>
      <c r="G1315" s="48" t="n"/>
      <c r="H1315" s="48" t="n"/>
      <c r="I1315" s="49" t="n"/>
      <c r="J1315" s="50" t="n"/>
      <c r="K1315" s="48" t="n"/>
      <c r="L1315" s="51">
        <f>IF(A1315="","",DATE(YEAR(A1315),MONTH(A1315),1))</f>
        <v/>
      </c>
      <c r="M1315" s="52">
        <f>IF(OR(A1315="",NOT(ISNUMBER(I1315))),"",IF(G1315=Lists!$B$5,I1315/2,IF(G1315=Lists!$B$6,I1315,0)))</f>
        <v/>
      </c>
      <c r="N1315" s="52">
        <f>IF(OR(A1315="",NOT(ISNUMBER(I1315))),"",IF(G1315=Lists!$B$5,I1315/2,IF(G1315=Lists!$B$7,I1315,0)))</f>
        <v/>
      </c>
      <c r="O1315" s="53">
        <f>IF(COUNTA(A1315:K1315)=0,"",IF(OR(A1315="",B1315="",C1315="",D1315="",E1315="",F1315="",G1315="",NOT(ISNUMBER(I1315))),"Incomplete",IF(COUNTIF(Lists!$H$4:$AA$4,C1315)=0,"Check category",IF(COUNTIF(INDEX(Lists!$H$6:$AA$45,0,MATCH(C1315,Lists!$H$4:$AA$4,0)),D1315)=0,"Check sub-category","OK"))))</f>
        <v/>
      </c>
      <c r="P1315">
        <f>IF(ISNUMBER(I1315),I1315+ROW()/10000000,"")</f>
        <v/>
      </c>
      <c r="Q1315">
        <f>IF(AND(ISNUMBER(P1315),ISNUMBER(A1315)),IF(AND(A1315&gt;=Dashboard!$Q$3,A1315&lt;=Dashboard!$Q$4,OR(J1315&lt;&gt;"Yes",Dashboard!$Q$15="Yes")),P1315,""),"")</f>
        <v/>
      </c>
    </row>
    <row r="1316">
      <c r="A1316" s="47" t="n"/>
      <c r="B1316" s="48" t="n"/>
      <c r="C1316" s="48" t="n"/>
      <c r="D1316" s="48" t="n"/>
      <c r="E1316" s="48" t="n"/>
      <c r="F1316" s="48" t="n"/>
      <c r="G1316" s="48" t="n"/>
      <c r="H1316" s="48" t="n"/>
      <c r="I1316" s="49" t="n"/>
      <c r="J1316" s="50" t="n"/>
      <c r="K1316" s="48" t="n"/>
      <c r="L1316" s="51">
        <f>IF(A1316="","",DATE(YEAR(A1316),MONTH(A1316),1))</f>
        <v/>
      </c>
      <c r="M1316" s="52">
        <f>IF(OR(A1316="",NOT(ISNUMBER(I1316))),"",IF(G1316=Lists!$B$5,I1316/2,IF(G1316=Lists!$B$6,I1316,0)))</f>
        <v/>
      </c>
      <c r="N1316" s="52">
        <f>IF(OR(A1316="",NOT(ISNUMBER(I1316))),"",IF(G1316=Lists!$B$5,I1316/2,IF(G1316=Lists!$B$7,I1316,0)))</f>
        <v/>
      </c>
      <c r="O1316" s="53">
        <f>IF(COUNTA(A1316:K1316)=0,"",IF(OR(A1316="",B1316="",C1316="",D1316="",E1316="",F1316="",G1316="",NOT(ISNUMBER(I1316))),"Incomplete",IF(COUNTIF(Lists!$H$4:$AA$4,C1316)=0,"Check category",IF(COUNTIF(INDEX(Lists!$H$6:$AA$45,0,MATCH(C1316,Lists!$H$4:$AA$4,0)),D1316)=0,"Check sub-category","OK"))))</f>
        <v/>
      </c>
      <c r="P1316">
        <f>IF(ISNUMBER(I1316),I1316+ROW()/10000000,"")</f>
        <v/>
      </c>
      <c r="Q1316">
        <f>IF(AND(ISNUMBER(P1316),ISNUMBER(A1316)),IF(AND(A1316&gt;=Dashboard!$Q$3,A1316&lt;=Dashboard!$Q$4,OR(J1316&lt;&gt;"Yes",Dashboard!$Q$15="Yes")),P1316,""),"")</f>
        <v/>
      </c>
    </row>
    <row r="1317">
      <c r="A1317" s="47" t="n"/>
      <c r="B1317" s="48" t="n"/>
      <c r="C1317" s="48" t="n"/>
      <c r="D1317" s="48" t="n"/>
      <c r="E1317" s="48" t="n"/>
      <c r="F1317" s="48" t="n"/>
      <c r="G1317" s="48" t="n"/>
      <c r="H1317" s="48" t="n"/>
      <c r="I1317" s="49" t="n"/>
      <c r="J1317" s="50" t="n"/>
      <c r="K1317" s="48" t="n"/>
      <c r="L1317" s="51">
        <f>IF(A1317="","",DATE(YEAR(A1317),MONTH(A1317),1))</f>
        <v/>
      </c>
      <c r="M1317" s="52">
        <f>IF(OR(A1317="",NOT(ISNUMBER(I1317))),"",IF(G1317=Lists!$B$5,I1317/2,IF(G1317=Lists!$B$6,I1317,0)))</f>
        <v/>
      </c>
      <c r="N1317" s="52">
        <f>IF(OR(A1317="",NOT(ISNUMBER(I1317))),"",IF(G1317=Lists!$B$5,I1317/2,IF(G1317=Lists!$B$7,I1317,0)))</f>
        <v/>
      </c>
      <c r="O1317" s="53">
        <f>IF(COUNTA(A1317:K1317)=0,"",IF(OR(A1317="",B1317="",C1317="",D1317="",E1317="",F1317="",G1317="",NOT(ISNUMBER(I1317))),"Incomplete",IF(COUNTIF(Lists!$H$4:$AA$4,C1317)=0,"Check category",IF(COUNTIF(INDEX(Lists!$H$6:$AA$45,0,MATCH(C1317,Lists!$H$4:$AA$4,0)),D1317)=0,"Check sub-category","OK"))))</f>
        <v/>
      </c>
      <c r="P1317">
        <f>IF(ISNUMBER(I1317),I1317+ROW()/10000000,"")</f>
        <v/>
      </c>
      <c r="Q1317">
        <f>IF(AND(ISNUMBER(P1317),ISNUMBER(A1317)),IF(AND(A1317&gt;=Dashboard!$Q$3,A1317&lt;=Dashboard!$Q$4,OR(J1317&lt;&gt;"Yes",Dashboard!$Q$15="Yes")),P1317,""),"")</f>
        <v/>
      </c>
    </row>
    <row r="1318">
      <c r="A1318" s="47" t="n"/>
      <c r="B1318" s="48" t="n"/>
      <c r="C1318" s="48" t="n"/>
      <c r="D1318" s="48" t="n"/>
      <c r="E1318" s="48" t="n"/>
      <c r="F1318" s="48" t="n"/>
      <c r="G1318" s="48" t="n"/>
      <c r="H1318" s="48" t="n"/>
      <c r="I1318" s="49" t="n"/>
      <c r="J1318" s="50" t="n"/>
      <c r="K1318" s="48" t="n"/>
      <c r="L1318" s="51">
        <f>IF(A1318="","",DATE(YEAR(A1318),MONTH(A1318),1))</f>
        <v/>
      </c>
      <c r="M1318" s="52">
        <f>IF(OR(A1318="",NOT(ISNUMBER(I1318))),"",IF(G1318=Lists!$B$5,I1318/2,IF(G1318=Lists!$B$6,I1318,0)))</f>
        <v/>
      </c>
      <c r="N1318" s="52">
        <f>IF(OR(A1318="",NOT(ISNUMBER(I1318))),"",IF(G1318=Lists!$B$5,I1318/2,IF(G1318=Lists!$B$7,I1318,0)))</f>
        <v/>
      </c>
      <c r="O1318" s="53">
        <f>IF(COUNTA(A1318:K1318)=0,"",IF(OR(A1318="",B1318="",C1318="",D1318="",E1318="",F1318="",G1318="",NOT(ISNUMBER(I1318))),"Incomplete",IF(COUNTIF(Lists!$H$4:$AA$4,C1318)=0,"Check category",IF(COUNTIF(INDEX(Lists!$H$6:$AA$45,0,MATCH(C1318,Lists!$H$4:$AA$4,0)),D1318)=0,"Check sub-category","OK"))))</f>
        <v/>
      </c>
      <c r="P1318">
        <f>IF(ISNUMBER(I1318),I1318+ROW()/10000000,"")</f>
        <v/>
      </c>
      <c r="Q1318">
        <f>IF(AND(ISNUMBER(P1318),ISNUMBER(A1318)),IF(AND(A1318&gt;=Dashboard!$Q$3,A1318&lt;=Dashboard!$Q$4,OR(J1318&lt;&gt;"Yes",Dashboard!$Q$15="Yes")),P1318,""),"")</f>
        <v/>
      </c>
    </row>
    <row r="1319">
      <c r="A1319" s="47" t="n"/>
      <c r="B1319" s="48" t="n"/>
      <c r="C1319" s="48" t="n"/>
      <c r="D1319" s="48" t="n"/>
      <c r="E1319" s="48" t="n"/>
      <c r="F1319" s="48" t="n"/>
      <c r="G1319" s="48" t="n"/>
      <c r="H1319" s="48" t="n"/>
      <c r="I1319" s="49" t="n"/>
      <c r="J1319" s="50" t="n"/>
      <c r="K1319" s="48" t="n"/>
      <c r="L1319" s="51">
        <f>IF(A1319="","",DATE(YEAR(A1319),MONTH(A1319),1))</f>
        <v/>
      </c>
      <c r="M1319" s="52">
        <f>IF(OR(A1319="",NOT(ISNUMBER(I1319))),"",IF(G1319=Lists!$B$5,I1319/2,IF(G1319=Lists!$B$6,I1319,0)))</f>
        <v/>
      </c>
      <c r="N1319" s="52">
        <f>IF(OR(A1319="",NOT(ISNUMBER(I1319))),"",IF(G1319=Lists!$B$5,I1319/2,IF(G1319=Lists!$B$7,I1319,0)))</f>
        <v/>
      </c>
      <c r="O1319" s="53">
        <f>IF(COUNTA(A1319:K1319)=0,"",IF(OR(A1319="",B1319="",C1319="",D1319="",E1319="",F1319="",G1319="",NOT(ISNUMBER(I1319))),"Incomplete",IF(COUNTIF(Lists!$H$4:$AA$4,C1319)=0,"Check category",IF(COUNTIF(INDEX(Lists!$H$6:$AA$45,0,MATCH(C1319,Lists!$H$4:$AA$4,0)),D1319)=0,"Check sub-category","OK"))))</f>
        <v/>
      </c>
      <c r="P1319">
        <f>IF(ISNUMBER(I1319),I1319+ROW()/10000000,"")</f>
        <v/>
      </c>
      <c r="Q1319">
        <f>IF(AND(ISNUMBER(P1319),ISNUMBER(A1319)),IF(AND(A1319&gt;=Dashboard!$Q$3,A1319&lt;=Dashboard!$Q$4,OR(J1319&lt;&gt;"Yes",Dashboard!$Q$15="Yes")),P1319,""),"")</f>
        <v/>
      </c>
    </row>
    <row r="1320">
      <c r="A1320" s="47" t="n"/>
      <c r="B1320" s="48" t="n"/>
      <c r="C1320" s="48" t="n"/>
      <c r="D1320" s="48" t="n"/>
      <c r="E1320" s="48" t="n"/>
      <c r="F1320" s="48" t="n"/>
      <c r="G1320" s="48" t="n"/>
      <c r="H1320" s="48" t="n"/>
      <c r="I1320" s="49" t="n"/>
      <c r="J1320" s="50" t="n"/>
      <c r="K1320" s="48" t="n"/>
      <c r="L1320" s="51">
        <f>IF(A1320="","",DATE(YEAR(A1320),MONTH(A1320),1))</f>
        <v/>
      </c>
      <c r="M1320" s="52">
        <f>IF(OR(A1320="",NOT(ISNUMBER(I1320))),"",IF(G1320=Lists!$B$5,I1320/2,IF(G1320=Lists!$B$6,I1320,0)))</f>
        <v/>
      </c>
      <c r="N1320" s="52">
        <f>IF(OR(A1320="",NOT(ISNUMBER(I1320))),"",IF(G1320=Lists!$B$5,I1320/2,IF(G1320=Lists!$B$7,I1320,0)))</f>
        <v/>
      </c>
      <c r="O1320" s="53">
        <f>IF(COUNTA(A1320:K1320)=0,"",IF(OR(A1320="",B1320="",C1320="",D1320="",E1320="",F1320="",G1320="",NOT(ISNUMBER(I1320))),"Incomplete",IF(COUNTIF(Lists!$H$4:$AA$4,C1320)=0,"Check category",IF(COUNTIF(INDEX(Lists!$H$6:$AA$45,0,MATCH(C1320,Lists!$H$4:$AA$4,0)),D1320)=0,"Check sub-category","OK"))))</f>
        <v/>
      </c>
      <c r="P1320">
        <f>IF(ISNUMBER(I1320),I1320+ROW()/10000000,"")</f>
        <v/>
      </c>
      <c r="Q1320">
        <f>IF(AND(ISNUMBER(P1320),ISNUMBER(A1320)),IF(AND(A1320&gt;=Dashboard!$Q$3,A1320&lt;=Dashboard!$Q$4,OR(J1320&lt;&gt;"Yes",Dashboard!$Q$15="Yes")),P1320,""),"")</f>
        <v/>
      </c>
    </row>
    <row r="1321">
      <c r="A1321" s="47" t="n"/>
      <c r="B1321" s="48" t="n"/>
      <c r="C1321" s="48" t="n"/>
      <c r="D1321" s="48" t="n"/>
      <c r="E1321" s="48" t="n"/>
      <c r="F1321" s="48" t="n"/>
      <c r="G1321" s="48" t="n"/>
      <c r="H1321" s="48" t="n"/>
      <c r="I1321" s="49" t="n"/>
      <c r="J1321" s="50" t="n"/>
      <c r="K1321" s="48" t="n"/>
      <c r="L1321" s="51">
        <f>IF(A1321="","",DATE(YEAR(A1321),MONTH(A1321),1))</f>
        <v/>
      </c>
      <c r="M1321" s="52">
        <f>IF(OR(A1321="",NOT(ISNUMBER(I1321))),"",IF(G1321=Lists!$B$5,I1321/2,IF(G1321=Lists!$B$6,I1321,0)))</f>
        <v/>
      </c>
      <c r="N1321" s="52">
        <f>IF(OR(A1321="",NOT(ISNUMBER(I1321))),"",IF(G1321=Lists!$B$5,I1321/2,IF(G1321=Lists!$B$7,I1321,0)))</f>
        <v/>
      </c>
      <c r="O1321" s="53">
        <f>IF(COUNTA(A1321:K1321)=0,"",IF(OR(A1321="",B1321="",C1321="",D1321="",E1321="",F1321="",G1321="",NOT(ISNUMBER(I1321))),"Incomplete",IF(COUNTIF(Lists!$H$4:$AA$4,C1321)=0,"Check category",IF(COUNTIF(INDEX(Lists!$H$6:$AA$45,0,MATCH(C1321,Lists!$H$4:$AA$4,0)),D1321)=0,"Check sub-category","OK"))))</f>
        <v/>
      </c>
      <c r="P1321">
        <f>IF(ISNUMBER(I1321),I1321+ROW()/10000000,"")</f>
        <v/>
      </c>
      <c r="Q1321">
        <f>IF(AND(ISNUMBER(P1321),ISNUMBER(A1321)),IF(AND(A1321&gt;=Dashboard!$Q$3,A1321&lt;=Dashboard!$Q$4,OR(J1321&lt;&gt;"Yes",Dashboard!$Q$15="Yes")),P1321,""),"")</f>
        <v/>
      </c>
    </row>
    <row r="1322">
      <c r="A1322" s="47" t="n"/>
      <c r="B1322" s="48" t="n"/>
      <c r="C1322" s="48" t="n"/>
      <c r="D1322" s="48" t="n"/>
      <c r="E1322" s="48" t="n"/>
      <c r="F1322" s="48" t="n"/>
      <c r="G1322" s="48" t="n"/>
      <c r="H1322" s="48" t="n"/>
      <c r="I1322" s="49" t="n"/>
      <c r="J1322" s="50" t="n"/>
      <c r="K1322" s="48" t="n"/>
      <c r="L1322" s="51">
        <f>IF(A1322="","",DATE(YEAR(A1322),MONTH(A1322),1))</f>
        <v/>
      </c>
      <c r="M1322" s="52">
        <f>IF(OR(A1322="",NOT(ISNUMBER(I1322))),"",IF(G1322=Lists!$B$5,I1322/2,IF(G1322=Lists!$B$6,I1322,0)))</f>
        <v/>
      </c>
      <c r="N1322" s="52">
        <f>IF(OR(A1322="",NOT(ISNUMBER(I1322))),"",IF(G1322=Lists!$B$5,I1322/2,IF(G1322=Lists!$B$7,I1322,0)))</f>
        <v/>
      </c>
      <c r="O1322" s="53">
        <f>IF(COUNTA(A1322:K1322)=0,"",IF(OR(A1322="",B1322="",C1322="",D1322="",E1322="",F1322="",G1322="",NOT(ISNUMBER(I1322))),"Incomplete",IF(COUNTIF(Lists!$H$4:$AA$4,C1322)=0,"Check category",IF(COUNTIF(INDEX(Lists!$H$6:$AA$45,0,MATCH(C1322,Lists!$H$4:$AA$4,0)),D1322)=0,"Check sub-category","OK"))))</f>
        <v/>
      </c>
      <c r="P1322">
        <f>IF(ISNUMBER(I1322),I1322+ROW()/10000000,"")</f>
        <v/>
      </c>
      <c r="Q1322">
        <f>IF(AND(ISNUMBER(P1322),ISNUMBER(A1322)),IF(AND(A1322&gt;=Dashboard!$Q$3,A1322&lt;=Dashboard!$Q$4,OR(J1322&lt;&gt;"Yes",Dashboard!$Q$15="Yes")),P1322,""),"")</f>
        <v/>
      </c>
    </row>
    <row r="1323">
      <c r="A1323" s="47" t="n"/>
      <c r="B1323" s="48" t="n"/>
      <c r="C1323" s="48" t="n"/>
      <c r="D1323" s="48" t="n"/>
      <c r="E1323" s="48" t="n"/>
      <c r="F1323" s="48" t="n"/>
      <c r="G1323" s="48" t="n"/>
      <c r="H1323" s="48" t="n"/>
      <c r="I1323" s="49" t="n"/>
      <c r="J1323" s="50" t="n"/>
      <c r="K1323" s="48" t="n"/>
      <c r="L1323" s="51">
        <f>IF(A1323="","",DATE(YEAR(A1323),MONTH(A1323),1))</f>
        <v/>
      </c>
      <c r="M1323" s="52">
        <f>IF(OR(A1323="",NOT(ISNUMBER(I1323))),"",IF(G1323=Lists!$B$5,I1323/2,IF(G1323=Lists!$B$6,I1323,0)))</f>
        <v/>
      </c>
      <c r="N1323" s="52">
        <f>IF(OR(A1323="",NOT(ISNUMBER(I1323))),"",IF(G1323=Lists!$B$5,I1323/2,IF(G1323=Lists!$B$7,I1323,0)))</f>
        <v/>
      </c>
      <c r="O1323" s="53">
        <f>IF(COUNTA(A1323:K1323)=0,"",IF(OR(A1323="",B1323="",C1323="",D1323="",E1323="",F1323="",G1323="",NOT(ISNUMBER(I1323))),"Incomplete",IF(COUNTIF(Lists!$H$4:$AA$4,C1323)=0,"Check category",IF(COUNTIF(INDEX(Lists!$H$6:$AA$45,0,MATCH(C1323,Lists!$H$4:$AA$4,0)),D1323)=0,"Check sub-category","OK"))))</f>
        <v/>
      </c>
      <c r="P1323">
        <f>IF(ISNUMBER(I1323),I1323+ROW()/10000000,"")</f>
        <v/>
      </c>
      <c r="Q1323">
        <f>IF(AND(ISNUMBER(P1323),ISNUMBER(A1323)),IF(AND(A1323&gt;=Dashboard!$Q$3,A1323&lt;=Dashboard!$Q$4,OR(J1323&lt;&gt;"Yes",Dashboard!$Q$15="Yes")),P1323,""),"")</f>
        <v/>
      </c>
    </row>
    <row r="1324">
      <c r="A1324" s="47" t="n"/>
      <c r="B1324" s="48" t="n"/>
      <c r="C1324" s="48" t="n"/>
      <c r="D1324" s="48" t="n"/>
      <c r="E1324" s="48" t="n"/>
      <c r="F1324" s="48" t="n"/>
      <c r="G1324" s="48" t="n"/>
      <c r="H1324" s="48" t="n"/>
      <c r="I1324" s="49" t="n"/>
      <c r="J1324" s="50" t="n"/>
      <c r="K1324" s="48" t="n"/>
      <c r="L1324" s="51">
        <f>IF(A1324="","",DATE(YEAR(A1324),MONTH(A1324),1))</f>
        <v/>
      </c>
      <c r="M1324" s="52">
        <f>IF(OR(A1324="",NOT(ISNUMBER(I1324))),"",IF(G1324=Lists!$B$5,I1324/2,IF(G1324=Lists!$B$6,I1324,0)))</f>
        <v/>
      </c>
      <c r="N1324" s="52">
        <f>IF(OR(A1324="",NOT(ISNUMBER(I1324))),"",IF(G1324=Lists!$B$5,I1324/2,IF(G1324=Lists!$B$7,I1324,0)))</f>
        <v/>
      </c>
      <c r="O1324" s="53">
        <f>IF(COUNTA(A1324:K1324)=0,"",IF(OR(A1324="",B1324="",C1324="",D1324="",E1324="",F1324="",G1324="",NOT(ISNUMBER(I1324))),"Incomplete",IF(COUNTIF(Lists!$H$4:$AA$4,C1324)=0,"Check category",IF(COUNTIF(INDEX(Lists!$H$6:$AA$45,0,MATCH(C1324,Lists!$H$4:$AA$4,0)),D1324)=0,"Check sub-category","OK"))))</f>
        <v/>
      </c>
      <c r="P1324">
        <f>IF(ISNUMBER(I1324),I1324+ROW()/10000000,"")</f>
        <v/>
      </c>
      <c r="Q1324">
        <f>IF(AND(ISNUMBER(P1324),ISNUMBER(A1324)),IF(AND(A1324&gt;=Dashboard!$Q$3,A1324&lt;=Dashboard!$Q$4,OR(J1324&lt;&gt;"Yes",Dashboard!$Q$15="Yes")),P1324,""),"")</f>
        <v/>
      </c>
    </row>
    <row r="1325">
      <c r="A1325" s="47" t="n"/>
      <c r="B1325" s="48" t="n"/>
      <c r="C1325" s="48" t="n"/>
      <c r="D1325" s="48" t="n"/>
      <c r="E1325" s="48" t="n"/>
      <c r="F1325" s="48" t="n"/>
      <c r="G1325" s="48" t="n"/>
      <c r="H1325" s="48" t="n"/>
      <c r="I1325" s="49" t="n"/>
      <c r="J1325" s="50" t="n"/>
      <c r="K1325" s="48" t="n"/>
      <c r="L1325" s="51">
        <f>IF(A1325="","",DATE(YEAR(A1325),MONTH(A1325),1))</f>
        <v/>
      </c>
      <c r="M1325" s="52">
        <f>IF(OR(A1325="",NOT(ISNUMBER(I1325))),"",IF(G1325=Lists!$B$5,I1325/2,IF(G1325=Lists!$B$6,I1325,0)))</f>
        <v/>
      </c>
      <c r="N1325" s="52">
        <f>IF(OR(A1325="",NOT(ISNUMBER(I1325))),"",IF(G1325=Lists!$B$5,I1325/2,IF(G1325=Lists!$B$7,I1325,0)))</f>
        <v/>
      </c>
      <c r="O1325" s="53">
        <f>IF(COUNTA(A1325:K1325)=0,"",IF(OR(A1325="",B1325="",C1325="",D1325="",E1325="",F1325="",G1325="",NOT(ISNUMBER(I1325))),"Incomplete",IF(COUNTIF(Lists!$H$4:$AA$4,C1325)=0,"Check category",IF(COUNTIF(INDEX(Lists!$H$6:$AA$45,0,MATCH(C1325,Lists!$H$4:$AA$4,0)),D1325)=0,"Check sub-category","OK"))))</f>
        <v/>
      </c>
      <c r="P1325">
        <f>IF(ISNUMBER(I1325),I1325+ROW()/10000000,"")</f>
        <v/>
      </c>
      <c r="Q1325">
        <f>IF(AND(ISNUMBER(P1325),ISNUMBER(A1325)),IF(AND(A1325&gt;=Dashboard!$Q$3,A1325&lt;=Dashboard!$Q$4,OR(J1325&lt;&gt;"Yes",Dashboard!$Q$15="Yes")),P1325,""),"")</f>
        <v/>
      </c>
    </row>
    <row r="1326">
      <c r="A1326" s="47" t="n"/>
      <c r="B1326" s="48" t="n"/>
      <c r="C1326" s="48" t="n"/>
      <c r="D1326" s="48" t="n"/>
      <c r="E1326" s="48" t="n"/>
      <c r="F1326" s="48" t="n"/>
      <c r="G1326" s="48" t="n"/>
      <c r="H1326" s="48" t="n"/>
      <c r="I1326" s="49" t="n"/>
      <c r="J1326" s="50" t="n"/>
      <c r="K1326" s="48" t="n"/>
      <c r="L1326" s="51">
        <f>IF(A1326="","",DATE(YEAR(A1326),MONTH(A1326),1))</f>
        <v/>
      </c>
      <c r="M1326" s="52">
        <f>IF(OR(A1326="",NOT(ISNUMBER(I1326))),"",IF(G1326=Lists!$B$5,I1326/2,IF(G1326=Lists!$B$6,I1326,0)))</f>
        <v/>
      </c>
      <c r="N1326" s="52">
        <f>IF(OR(A1326="",NOT(ISNUMBER(I1326))),"",IF(G1326=Lists!$B$5,I1326/2,IF(G1326=Lists!$B$7,I1326,0)))</f>
        <v/>
      </c>
      <c r="O1326" s="53">
        <f>IF(COUNTA(A1326:K1326)=0,"",IF(OR(A1326="",B1326="",C1326="",D1326="",E1326="",F1326="",G1326="",NOT(ISNUMBER(I1326))),"Incomplete",IF(COUNTIF(Lists!$H$4:$AA$4,C1326)=0,"Check category",IF(COUNTIF(INDEX(Lists!$H$6:$AA$45,0,MATCH(C1326,Lists!$H$4:$AA$4,0)),D1326)=0,"Check sub-category","OK"))))</f>
        <v/>
      </c>
      <c r="P1326">
        <f>IF(ISNUMBER(I1326),I1326+ROW()/10000000,"")</f>
        <v/>
      </c>
      <c r="Q1326">
        <f>IF(AND(ISNUMBER(P1326),ISNUMBER(A1326)),IF(AND(A1326&gt;=Dashboard!$Q$3,A1326&lt;=Dashboard!$Q$4,OR(J1326&lt;&gt;"Yes",Dashboard!$Q$15="Yes")),P1326,""),"")</f>
        <v/>
      </c>
    </row>
    <row r="1327">
      <c r="A1327" s="47" t="n"/>
      <c r="B1327" s="48" t="n"/>
      <c r="C1327" s="48" t="n"/>
      <c r="D1327" s="48" t="n"/>
      <c r="E1327" s="48" t="n"/>
      <c r="F1327" s="48" t="n"/>
      <c r="G1327" s="48" t="n"/>
      <c r="H1327" s="48" t="n"/>
      <c r="I1327" s="49" t="n"/>
      <c r="J1327" s="50" t="n"/>
      <c r="K1327" s="48" t="n"/>
      <c r="L1327" s="51">
        <f>IF(A1327="","",DATE(YEAR(A1327),MONTH(A1327),1))</f>
        <v/>
      </c>
      <c r="M1327" s="52">
        <f>IF(OR(A1327="",NOT(ISNUMBER(I1327))),"",IF(G1327=Lists!$B$5,I1327/2,IF(G1327=Lists!$B$6,I1327,0)))</f>
        <v/>
      </c>
      <c r="N1327" s="52">
        <f>IF(OR(A1327="",NOT(ISNUMBER(I1327))),"",IF(G1327=Lists!$B$5,I1327/2,IF(G1327=Lists!$B$7,I1327,0)))</f>
        <v/>
      </c>
      <c r="O1327" s="53">
        <f>IF(COUNTA(A1327:K1327)=0,"",IF(OR(A1327="",B1327="",C1327="",D1327="",E1327="",F1327="",G1327="",NOT(ISNUMBER(I1327))),"Incomplete",IF(COUNTIF(Lists!$H$4:$AA$4,C1327)=0,"Check category",IF(COUNTIF(INDEX(Lists!$H$6:$AA$45,0,MATCH(C1327,Lists!$H$4:$AA$4,0)),D1327)=0,"Check sub-category","OK"))))</f>
        <v/>
      </c>
      <c r="P1327">
        <f>IF(ISNUMBER(I1327),I1327+ROW()/10000000,"")</f>
        <v/>
      </c>
      <c r="Q1327">
        <f>IF(AND(ISNUMBER(P1327),ISNUMBER(A1327)),IF(AND(A1327&gt;=Dashboard!$Q$3,A1327&lt;=Dashboard!$Q$4,OR(J1327&lt;&gt;"Yes",Dashboard!$Q$15="Yes")),P1327,""),"")</f>
        <v/>
      </c>
    </row>
    <row r="1328">
      <c r="A1328" s="47" t="n"/>
      <c r="B1328" s="48" t="n"/>
      <c r="C1328" s="48" t="n"/>
      <c r="D1328" s="48" t="n"/>
      <c r="E1328" s="48" t="n"/>
      <c r="F1328" s="48" t="n"/>
      <c r="G1328" s="48" t="n"/>
      <c r="H1328" s="48" t="n"/>
      <c r="I1328" s="49" t="n"/>
      <c r="J1328" s="50" t="n"/>
      <c r="K1328" s="48" t="n"/>
      <c r="L1328" s="51">
        <f>IF(A1328="","",DATE(YEAR(A1328),MONTH(A1328),1))</f>
        <v/>
      </c>
      <c r="M1328" s="52">
        <f>IF(OR(A1328="",NOT(ISNUMBER(I1328))),"",IF(G1328=Lists!$B$5,I1328/2,IF(G1328=Lists!$B$6,I1328,0)))</f>
        <v/>
      </c>
      <c r="N1328" s="52">
        <f>IF(OR(A1328="",NOT(ISNUMBER(I1328))),"",IF(G1328=Lists!$B$5,I1328/2,IF(G1328=Lists!$B$7,I1328,0)))</f>
        <v/>
      </c>
      <c r="O1328" s="53">
        <f>IF(COUNTA(A1328:K1328)=0,"",IF(OR(A1328="",B1328="",C1328="",D1328="",E1328="",F1328="",G1328="",NOT(ISNUMBER(I1328))),"Incomplete",IF(COUNTIF(Lists!$H$4:$AA$4,C1328)=0,"Check category",IF(COUNTIF(INDEX(Lists!$H$6:$AA$45,0,MATCH(C1328,Lists!$H$4:$AA$4,0)),D1328)=0,"Check sub-category","OK"))))</f>
        <v/>
      </c>
      <c r="P1328">
        <f>IF(ISNUMBER(I1328),I1328+ROW()/10000000,"")</f>
        <v/>
      </c>
      <c r="Q1328">
        <f>IF(AND(ISNUMBER(P1328),ISNUMBER(A1328)),IF(AND(A1328&gt;=Dashboard!$Q$3,A1328&lt;=Dashboard!$Q$4,OR(J1328&lt;&gt;"Yes",Dashboard!$Q$15="Yes")),P1328,""),"")</f>
        <v/>
      </c>
    </row>
    <row r="1329">
      <c r="A1329" s="47" t="n"/>
      <c r="B1329" s="48" t="n"/>
      <c r="C1329" s="48" t="n"/>
      <c r="D1329" s="48" t="n"/>
      <c r="E1329" s="48" t="n"/>
      <c r="F1329" s="48" t="n"/>
      <c r="G1329" s="48" t="n"/>
      <c r="H1329" s="48" t="n"/>
      <c r="I1329" s="49" t="n"/>
      <c r="J1329" s="50" t="n"/>
      <c r="K1329" s="48" t="n"/>
      <c r="L1329" s="51">
        <f>IF(A1329="","",DATE(YEAR(A1329),MONTH(A1329),1))</f>
        <v/>
      </c>
      <c r="M1329" s="52">
        <f>IF(OR(A1329="",NOT(ISNUMBER(I1329))),"",IF(G1329=Lists!$B$5,I1329/2,IF(G1329=Lists!$B$6,I1329,0)))</f>
        <v/>
      </c>
      <c r="N1329" s="52">
        <f>IF(OR(A1329="",NOT(ISNUMBER(I1329))),"",IF(G1329=Lists!$B$5,I1329/2,IF(G1329=Lists!$B$7,I1329,0)))</f>
        <v/>
      </c>
      <c r="O1329" s="53">
        <f>IF(COUNTA(A1329:K1329)=0,"",IF(OR(A1329="",B1329="",C1329="",D1329="",E1329="",F1329="",G1329="",NOT(ISNUMBER(I1329))),"Incomplete",IF(COUNTIF(Lists!$H$4:$AA$4,C1329)=0,"Check category",IF(COUNTIF(INDEX(Lists!$H$6:$AA$45,0,MATCH(C1329,Lists!$H$4:$AA$4,0)),D1329)=0,"Check sub-category","OK"))))</f>
        <v/>
      </c>
      <c r="P1329">
        <f>IF(ISNUMBER(I1329),I1329+ROW()/10000000,"")</f>
        <v/>
      </c>
      <c r="Q1329">
        <f>IF(AND(ISNUMBER(P1329),ISNUMBER(A1329)),IF(AND(A1329&gt;=Dashboard!$Q$3,A1329&lt;=Dashboard!$Q$4,OR(J1329&lt;&gt;"Yes",Dashboard!$Q$15="Yes")),P1329,""),"")</f>
        <v/>
      </c>
    </row>
    <row r="1330">
      <c r="A1330" s="47" t="n"/>
      <c r="B1330" s="48" t="n"/>
      <c r="C1330" s="48" t="n"/>
      <c r="D1330" s="48" t="n"/>
      <c r="E1330" s="48" t="n"/>
      <c r="F1330" s="48" t="n"/>
      <c r="G1330" s="48" t="n"/>
      <c r="H1330" s="48" t="n"/>
      <c r="I1330" s="49" t="n"/>
      <c r="J1330" s="50" t="n"/>
      <c r="K1330" s="48" t="n"/>
      <c r="L1330" s="51">
        <f>IF(A1330="","",DATE(YEAR(A1330),MONTH(A1330),1))</f>
        <v/>
      </c>
      <c r="M1330" s="52">
        <f>IF(OR(A1330="",NOT(ISNUMBER(I1330))),"",IF(G1330=Lists!$B$5,I1330/2,IF(G1330=Lists!$B$6,I1330,0)))</f>
        <v/>
      </c>
      <c r="N1330" s="52">
        <f>IF(OR(A1330="",NOT(ISNUMBER(I1330))),"",IF(G1330=Lists!$B$5,I1330/2,IF(G1330=Lists!$B$7,I1330,0)))</f>
        <v/>
      </c>
      <c r="O1330" s="53">
        <f>IF(COUNTA(A1330:K1330)=0,"",IF(OR(A1330="",B1330="",C1330="",D1330="",E1330="",F1330="",G1330="",NOT(ISNUMBER(I1330))),"Incomplete",IF(COUNTIF(Lists!$H$4:$AA$4,C1330)=0,"Check category",IF(COUNTIF(INDEX(Lists!$H$6:$AA$45,0,MATCH(C1330,Lists!$H$4:$AA$4,0)),D1330)=0,"Check sub-category","OK"))))</f>
        <v/>
      </c>
      <c r="P1330">
        <f>IF(ISNUMBER(I1330),I1330+ROW()/10000000,"")</f>
        <v/>
      </c>
      <c r="Q1330">
        <f>IF(AND(ISNUMBER(P1330),ISNUMBER(A1330)),IF(AND(A1330&gt;=Dashboard!$Q$3,A1330&lt;=Dashboard!$Q$4,OR(J1330&lt;&gt;"Yes",Dashboard!$Q$15="Yes")),P1330,""),"")</f>
        <v/>
      </c>
    </row>
    <row r="1331">
      <c r="A1331" s="47" t="n"/>
      <c r="B1331" s="48" t="n"/>
      <c r="C1331" s="48" t="n"/>
      <c r="D1331" s="48" t="n"/>
      <c r="E1331" s="48" t="n"/>
      <c r="F1331" s="48" t="n"/>
      <c r="G1331" s="48" t="n"/>
      <c r="H1331" s="48" t="n"/>
      <c r="I1331" s="49" t="n"/>
      <c r="J1331" s="50" t="n"/>
      <c r="K1331" s="48" t="n"/>
      <c r="L1331" s="51">
        <f>IF(A1331="","",DATE(YEAR(A1331),MONTH(A1331),1))</f>
        <v/>
      </c>
      <c r="M1331" s="52">
        <f>IF(OR(A1331="",NOT(ISNUMBER(I1331))),"",IF(G1331=Lists!$B$5,I1331/2,IF(G1331=Lists!$B$6,I1331,0)))</f>
        <v/>
      </c>
      <c r="N1331" s="52">
        <f>IF(OR(A1331="",NOT(ISNUMBER(I1331))),"",IF(G1331=Lists!$B$5,I1331/2,IF(G1331=Lists!$B$7,I1331,0)))</f>
        <v/>
      </c>
      <c r="O1331" s="53">
        <f>IF(COUNTA(A1331:K1331)=0,"",IF(OR(A1331="",B1331="",C1331="",D1331="",E1331="",F1331="",G1331="",NOT(ISNUMBER(I1331))),"Incomplete",IF(COUNTIF(Lists!$H$4:$AA$4,C1331)=0,"Check category",IF(COUNTIF(INDEX(Lists!$H$6:$AA$45,0,MATCH(C1331,Lists!$H$4:$AA$4,0)),D1331)=0,"Check sub-category","OK"))))</f>
        <v/>
      </c>
      <c r="P1331">
        <f>IF(ISNUMBER(I1331),I1331+ROW()/10000000,"")</f>
        <v/>
      </c>
      <c r="Q1331">
        <f>IF(AND(ISNUMBER(P1331),ISNUMBER(A1331)),IF(AND(A1331&gt;=Dashboard!$Q$3,A1331&lt;=Dashboard!$Q$4,OR(J1331&lt;&gt;"Yes",Dashboard!$Q$15="Yes")),P1331,""),"")</f>
        <v/>
      </c>
    </row>
    <row r="1332">
      <c r="A1332" s="47" t="n"/>
      <c r="B1332" s="48" t="n"/>
      <c r="C1332" s="48" t="n"/>
      <c r="D1332" s="48" t="n"/>
      <c r="E1332" s="48" t="n"/>
      <c r="F1332" s="48" t="n"/>
      <c r="G1332" s="48" t="n"/>
      <c r="H1332" s="48" t="n"/>
      <c r="I1332" s="49" t="n"/>
      <c r="J1332" s="50" t="n"/>
      <c r="K1332" s="48" t="n"/>
      <c r="L1332" s="51">
        <f>IF(A1332="","",DATE(YEAR(A1332),MONTH(A1332),1))</f>
        <v/>
      </c>
      <c r="M1332" s="52">
        <f>IF(OR(A1332="",NOT(ISNUMBER(I1332))),"",IF(G1332=Lists!$B$5,I1332/2,IF(G1332=Lists!$B$6,I1332,0)))</f>
        <v/>
      </c>
      <c r="N1332" s="52">
        <f>IF(OR(A1332="",NOT(ISNUMBER(I1332))),"",IF(G1332=Lists!$B$5,I1332/2,IF(G1332=Lists!$B$7,I1332,0)))</f>
        <v/>
      </c>
      <c r="O1332" s="53">
        <f>IF(COUNTA(A1332:K1332)=0,"",IF(OR(A1332="",B1332="",C1332="",D1332="",E1332="",F1332="",G1332="",NOT(ISNUMBER(I1332))),"Incomplete",IF(COUNTIF(Lists!$H$4:$AA$4,C1332)=0,"Check category",IF(COUNTIF(INDEX(Lists!$H$6:$AA$45,0,MATCH(C1332,Lists!$H$4:$AA$4,0)),D1332)=0,"Check sub-category","OK"))))</f>
        <v/>
      </c>
      <c r="P1332">
        <f>IF(ISNUMBER(I1332),I1332+ROW()/10000000,"")</f>
        <v/>
      </c>
      <c r="Q1332">
        <f>IF(AND(ISNUMBER(P1332),ISNUMBER(A1332)),IF(AND(A1332&gt;=Dashboard!$Q$3,A1332&lt;=Dashboard!$Q$4,OR(J1332&lt;&gt;"Yes",Dashboard!$Q$15="Yes")),P1332,""),"")</f>
        <v/>
      </c>
    </row>
    <row r="1333">
      <c r="A1333" s="47" t="n"/>
      <c r="B1333" s="48" t="n"/>
      <c r="C1333" s="48" t="n"/>
      <c r="D1333" s="48" t="n"/>
      <c r="E1333" s="48" t="n"/>
      <c r="F1333" s="48" t="n"/>
      <c r="G1333" s="48" t="n"/>
      <c r="H1333" s="48" t="n"/>
      <c r="I1333" s="49" t="n"/>
      <c r="J1333" s="50" t="n"/>
      <c r="K1333" s="48" t="n"/>
      <c r="L1333" s="51">
        <f>IF(A1333="","",DATE(YEAR(A1333),MONTH(A1333),1))</f>
        <v/>
      </c>
      <c r="M1333" s="52">
        <f>IF(OR(A1333="",NOT(ISNUMBER(I1333))),"",IF(G1333=Lists!$B$5,I1333/2,IF(G1333=Lists!$B$6,I1333,0)))</f>
        <v/>
      </c>
      <c r="N1333" s="52">
        <f>IF(OR(A1333="",NOT(ISNUMBER(I1333))),"",IF(G1333=Lists!$B$5,I1333/2,IF(G1333=Lists!$B$7,I1333,0)))</f>
        <v/>
      </c>
      <c r="O1333" s="53">
        <f>IF(COUNTA(A1333:K1333)=0,"",IF(OR(A1333="",B1333="",C1333="",D1333="",E1333="",F1333="",G1333="",NOT(ISNUMBER(I1333))),"Incomplete",IF(COUNTIF(Lists!$H$4:$AA$4,C1333)=0,"Check category",IF(COUNTIF(INDEX(Lists!$H$6:$AA$45,0,MATCH(C1333,Lists!$H$4:$AA$4,0)),D1333)=0,"Check sub-category","OK"))))</f>
        <v/>
      </c>
      <c r="P1333">
        <f>IF(ISNUMBER(I1333),I1333+ROW()/10000000,"")</f>
        <v/>
      </c>
      <c r="Q1333">
        <f>IF(AND(ISNUMBER(P1333),ISNUMBER(A1333)),IF(AND(A1333&gt;=Dashboard!$Q$3,A1333&lt;=Dashboard!$Q$4,OR(J1333&lt;&gt;"Yes",Dashboard!$Q$15="Yes")),P1333,""),"")</f>
        <v/>
      </c>
    </row>
    <row r="1334">
      <c r="A1334" s="47" t="n"/>
      <c r="B1334" s="48" t="n"/>
      <c r="C1334" s="48" t="n"/>
      <c r="D1334" s="48" t="n"/>
      <c r="E1334" s="48" t="n"/>
      <c r="F1334" s="48" t="n"/>
      <c r="G1334" s="48" t="n"/>
      <c r="H1334" s="48" t="n"/>
      <c r="I1334" s="49" t="n"/>
      <c r="J1334" s="50" t="n"/>
      <c r="K1334" s="48" t="n"/>
      <c r="L1334" s="51">
        <f>IF(A1334="","",DATE(YEAR(A1334),MONTH(A1334),1))</f>
        <v/>
      </c>
      <c r="M1334" s="52">
        <f>IF(OR(A1334="",NOT(ISNUMBER(I1334))),"",IF(G1334=Lists!$B$5,I1334/2,IF(G1334=Lists!$B$6,I1334,0)))</f>
        <v/>
      </c>
      <c r="N1334" s="52">
        <f>IF(OR(A1334="",NOT(ISNUMBER(I1334))),"",IF(G1334=Lists!$B$5,I1334/2,IF(G1334=Lists!$B$7,I1334,0)))</f>
        <v/>
      </c>
      <c r="O1334" s="53">
        <f>IF(COUNTA(A1334:K1334)=0,"",IF(OR(A1334="",B1334="",C1334="",D1334="",E1334="",F1334="",G1334="",NOT(ISNUMBER(I1334))),"Incomplete",IF(COUNTIF(Lists!$H$4:$AA$4,C1334)=0,"Check category",IF(COUNTIF(INDEX(Lists!$H$6:$AA$45,0,MATCH(C1334,Lists!$H$4:$AA$4,0)),D1334)=0,"Check sub-category","OK"))))</f>
        <v/>
      </c>
      <c r="P1334">
        <f>IF(ISNUMBER(I1334),I1334+ROW()/10000000,"")</f>
        <v/>
      </c>
      <c r="Q1334">
        <f>IF(AND(ISNUMBER(P1334),ISNUMBER(A1334)),IF(AND(A1334&gt;=Dashboard!$Q$3,A1334&lt;=Dashboard!$Q$4,OR(J1334&lt;&gt;"Yes",Dashboard!$Q$15="Yes")),P1334,""),"")</f>
        <v/>
      </c>
    </row>
    <row r="1335">
      <c r="A1335" s="47" t="n"/>
      <c r="B1335" s="48" t="n"/>
      <c r="C1335" s="48" t="n"/>
      <c r="D1335" s="48" t="n"/>
      <c r="E1335" s="48" t="n"/>
      <c r="F1335" s="48" t="n"/>
      <c r="G1335" s="48" t="n"/>
      <c r="H1335" s="48" t="n"/>
      <c r="I1335" s="49" t="n"/>
      <c r="J1335" s="50" t="n"/>
      <c r="K1335" s="48" t="n"/>
      <c r="L1335" s="51">
        <f>IF(A1335="","",DATE(YEAR(A1335),MONTH(A1335),1))</f>
        <v/>
      </c>
      <c r="M1335" s="52">
        <f>IF(OR(A1335="",NOT(ISNUMBER(I1335))),"",IF(G1335=Lists!$B$5,I1335/2,IF(G1335=Lists!$B$6,I1335,0)))</f>
        <v/>
      </c>
      <c r="N1335" s="52">
        <f>IF(OR(A1335="",NOT(ISNUMBER(I1335))),"",IF(G1335=Lists!$B$5,I1335/2,IF(G1335=Lists!$B$7,I1335,0)))</f>
        <v/>
      </c>
      <c r="O1335" s="53">
        <f>IF(COUNTA(A1335:K1335)=0,"",IF(OR(A1335="",B1335="",C1335="",D1335="",E1335="",F1335="",G1335="",NOT(ISNUMBER(I1335))),"Incomplete",IF(COUNTIF(Lists!$H$4:$AA$4,C1335)=0,"Check category",IF(COUNTIF(INDEX(Lists!$H$6:$AA$45,0,MATCH(C1335,Lists!$H$4:$AA$4,0)),D1335)=0,"Check sub-category","OK"))))</f>
        <v/>
      </c>
      <c r="P1335">
        <f>IF(ISNUMBER(I1335),I1335+ROW()/10000000,"")</f>
        <v/>
      </c>
      <c r="Q1335">
        <f>IF(AND(ISNUMBER(P1335),ISNUMBER(A1335)),IF(AND(A1335&gt;=Dashboard!$Q$3,A1335&lt;=Dashboard!$Q$4,OR(J1335&lt;&gt;"Yes",Dashboard!$Q$15="Yes")),P1335,""),"")</f>
        <v/>
      </c>
    </row>
    <row r="1336">
      <c r="A1336" s="47" t="n"/>
      <c r="B1336" s="48" t="n"/>
      <c r="C1336" s="48" t="n"/>
      <c r="D1336" s="48" t="n"/>
      <c r="E1336" s="48" t="n"/>
      <c r="F1336" s="48" t="n"/>
      <c r="G1336" s="48" t="n"/>
      <c r="H1336" s="48" t="n"/>
      <c r="I1336" s="49" t="n"/>
      <c r="J1336" s="50" t="n"/>
      <c r="K1336" s="48" t="n"/>
      <c r="L1336" s="51">
        <f>IF(A1336="","",DATE(YEAR(A1336),MONTH(A1336),1))</f>
        <v/>
      </c>
      <c r="M1336" s="52">
        <f>IF(OR(A1336="",NOT(ISNUMBER(I1336))),"",IF(G1336=Lists!$B$5,I1336/2,IF(G1336=Lists!$B$6,I1336,0)))</f>
        <v/>
      </c>
      <c r="N1336" s="52">
        <f>IF(OR(A1336="",NOT(ISNUMBER(I1336))),"",IF(G1336=Lists!$B$5,I1336/2,IF(G1336=Lists!$B$7,I1336,0)))</f>
        <v/>
      </c>
      <c r="O1336" s="53">
        <f>IF(COUNTA(A1336:K1336)=0,"",IF(OR(A1336="",B1336="",C1336="",D1336="",E1336="",F1336="",G1336="",NOT(ISNUMBER(I1336))),"Incomplete",IF(COUNTIF(Lists!$H$4:$AA$4,C1336)=0,"Check category",IF(COUNTIF(INDEX(Lists!$H$6:$AA$45,0,MATCH(C1336,Lists!$H$4:$AA$4,0)),D1336)=0,"Check sub-category","OK"))))</f>
        <v/>
      </c>
      <c r="P1336">
        <f>IF(ISNUMBER(I1336),I1336+ROW()/10000000,"")</f>
        <v/>
      </c>
      <c r="Q1336">
        <f>IF(AND(ISNUMBER(P1336),ISNUMBER(A1336)),IF(AND(A1336&gt;=Dashboard!$Q$3,A1336&lt;=Dashboard!$Q$4,OR(J1336&lt;&gt;"Yes",Dashboard!$Q$15="Yes")),P1336,""),"")</f>
        <v/>
      </c>
    </row>
    <row r="1337">
      <c r="A1337" s="47" t="n"/>
      <c r="B1337" s="48" t="n"/>
      <c r="C1337" s="48" t="n"/>
      <c r="D1337" s="48" t="n"/>
      <c r="E1337" s="48" t="n"/>
      <c r="F1337" s="48" t="n"/>
      <c r="G1337" s="48" t="n"/>
      <c r="H1337" s="48" t="n"/>
      <c r="I1337" s="49" t="n"/>
      <c r="J1337" s="50" t="n"/>
      <c r="K1337" s="48" t="n"/>
      <c r="L1337" s="51">
        <f>IF(A1337="","",DATE(YEAR(A1337),MONTH(A1337),1))</f>
        <v/>
      </c>
      <c r="M1337" s="52">
        <f>IF(OR(A1337="",NOT(ISNUMBER(I1337))),"",IF(G1337=Lists!$B$5,I1337/2,IF(G1337=Lists!$B$6,I1337,0)))</f>
        <v/>
      </c>
      <c r="N1337" s="52">
        <f>IF(OR(A1337="",NOT(ISNUMBER(I1337))),"",IF(G1337=Lists!$B$5,I1337/2,IF(G1337=Lists!$B$7,I1337,0)))</f>
        <v/>
      </c>
      <c r="O1337" s="53">
        <f>IF(COUNTA(A1337:K1337)=0,"",IF(OR(A1337="",B1337="",C1337="",D1337="",E1337="",F1337="",G1337="",NOT(ISNUMBER(I1337))),"Incomplete",IF(COUNTIF(Lists!$H$4:$AA$4,C1337)=0,"Check category",IF(COUNTIF(INDEX(Lists!$H$6:$AA$45,0,MATCH(C1337,Lists!$H$4:$AA$4,0)),D1337)=0,"Check sub-category","OK"))))</f>
        <v/>
      </c>
      <c r="P1337">
        <f>IF(ISNUMBER(I1337),I1337+ROW()/10000000,"")</f>
        <v/>
      </c>
      <c r="Q1337">
        <f>IF(AND(ISNUMBER(P1337),ISNUMBER(A1337)),IF(AND(A1337&gt;=Dashboard!$Q$3,A1337&lt;=Dashboard!$Q$4,OR(J1337&lt;&gt;"Yes",Dashboard!$Q$15="Yes")),P1337,""),"")</f>
        <v/>
      </c>
    </row>
    <row r="1338">
      <c r="A1338" s="47" t="n"/>
      <c r="B1338" s="48" t="n"/>
      <c r="C1338" s="48" t="n"/>
      <c r="D1338" s="48" t="n"/>
      <c r="E1338" s="48" t="n"/>
      <c r="F1338" s="48" t="n"/>
      <c r="G1338" s="48" t="n"/>
      <c r="H1338" s="48" t="n"/>
      <c r="I1338" s="49" t="n"/>
      <c r="J1338" s="50" t="n"/>
      <c r="K1338" s="48" t="n"/>
      <c r="L1338" s="51">
        <f>IF(A1338="","",DATE(YEAR(A1338),MONTH(A1338),1))</f>
        <v/>
      </c>
      <c r="M1338" s="52">
        <f>IF(OR(A1338="",NOT(ISNUMBER(I1338))),"",IF(G1338=Lists!$B$5,I1338/2,IF(G1338=Lists!$B$6,I1338,0)))</f>
        <v/>
      </c>
      <c r="N1338" s="52">
        <f>IF(OR(A1338="",NOT(ISNUMBER(I1338))),"",IF(G1338=Lists!$B$5,I1338/2,IF(G1338=Lists!$B$7,I1338,0)))</f>
        <v/>
      </c>
      <c r="O1338" s="53">
        <f>IF(COUNTA(A1338:K1338)=0,"",IF(OR(A1338="",B1338="",C1338="",D1338="",E1338="",F1338="",G1338="",NOT(ISNUMBER(I1338))),"Incomplete",IF(COUNTIF(Lists!$H$4:$AA$4,C1338)=0,"Check category",IF(COUNTIF(INDEX(Lists!$H$6:$AA$45,0,MATCH(C1338,Lists!$H$4:$AA$4,0)),D1338)=0,"Check sub-category","OK"))))</f>
        <v/>
      </c>
      <c r="P1338">
        <f>IF(ISNUMBER(I1338),I1338+ROW()/10000000,"")</f>
        <v/>
      </c>
      <c r="Q1338">
        <f>IF(AND(ISNUMBER(P1338),ISNUMBER(A1338)),IF(AND(A1338&gt;=Dashboard!$Q$3,A1338&lt;=Dashboard!$Q$4,OR(J1338&lt;&gt;"Yes",Dashboard!$Q$15="Yes")),P1338,""),"")</f>
        <v/>
      </c>
    </row>
    <row r="1339">
      <c r="A1339" s="47" t="n"/>
      <c r="B1339" s="48" t="n"/>
      <c r="C1339" s="48" t="n"/>
      <c r="D1339" s="48" t="n"/>
      <c r="E1339" s="48" t="n"/>
      <c r="F1339" s="48" t="n"/>
      <c r="G1339" s="48" t="n"/>
      <c r="H1339" s="48" t="n"/>
      <c r="I1339" s="49" t="n"/>
      <c r="J1339" s="50" t="n"/>
      <c r="K1339" s="48" t="n"/>
      <c r="L1339" s="51">
        <f>IF(A1339="","",DATE(YEAR(A1339),MONTH(A1339),1))</f>
        <v/>
      </c>
      <c r="M1339" s="52">
        <f>IF(OR(A1339="",NOT(ISNUMBER(I1339))),"",IF(G1339=Lists!$B$5,I1339/2,IF(G1339=Lists!$B$6,I1339,0)))</f>
        <v/>
      </c>
      <c r="N1339" s="52">
        <f>IF(OR(A1339="",NOT(ISNUMBER(I1339))),"",IF(G1339=Lists!$B$5,I1339/2,IF(G1339=Lists!$B$7,I1339,0)))</f>
        <v/>
      </c>
      <c r="O1339" s="53">
        <f>IF(COUNTA(A1339:K1339)=0,"",IF(OR(A1339="",B1339="",C1339="",D1339="",E1339="",F1339="",G1339="",NOT(ISNUMBER(I1339))),"Incomplete",IF(COUNTIF(Lists!$H$4:$AA$4,C1339)=0,"Check category",IF(COUNTIF(INDEX(Lists!$H$6:$AA$45,0,MATCH(C1339,Lists!$H$4:$AA$4,0)),D1339)=0,"Check sub-category","OK"))))</f>
        <v/>
      </c>
      <c r="P1339">
        <f>IF(ISNUMBER(I1339),I1339+ROW()/10000000,"")</f>
        <v/>
      </c>
      <c r="Q1339">
        <f>IF(AND(ISNUMBER(P1339),ISNUMBER(A1339)),IF(AND(A1339&gt;=Dashboard!$Q$3,A1339&lt;=Dashboard!$Q$4,OR(J1339&lt;&gt;"Yes",Dashboard!$Q$15="Yes")),P1339,""),"")</f>
        <v/>
      </c>
    </row>
    <row r="1340">
      <c r="A1340" s="47" t="n"/>
      <c r="B1340" s="48" t="n"/>
      <c r="C1340" s="48" t="n"/>
      <c r="D1340" s="48" t="n"/>
      <c r="E1340" s="48" t="n"/>
      <c r="F1340" s="48" t="n"/>
      <c r="G1340" s="48" t="n"/>
      <c r="H1340" s="48" t="n"/>
      <c r="I1340" s="49" t="n"/>
      <c r="J1340" s="50" t="n"/>
      <c r="K1340" s="48" t="n"/>
      <c r="L1340" s="51">
        <f>IF(A1340="","",DATE(YEAR(A1340),MONTH(A1340),1))</f>
        <v/>
      </c>
      <c r="M1340" s="52">
        <f>IF(OR(A1340="",NOT(ISNUMBER(I1340))),"",IF(G1340=Lists!$B$5,I1340/2,IF(G1340=Lists!$B$6,I1340,0)))</f>
        <v/>
      </c>
      <c r="N1340" s="52">
        <f>IF(OR(A1340="",NOT(ISNUMBER(I1340))),"",IF(G1340=Lists!$B$5,I1340/2,IF(G1340=Lists!$B$7,I1340,0)))</f>
        <v/>
      </c>
      <c r="O1340" s="53">
        <f>IF(COUNTA(A1340:K1340)=0,"",IF(OR(A1340="",B1340="",C1340="",D1340="",E1340="",F1340="",G1340="",NOT(ISNUMBER(I1340))),"Incomplete",IF(COUNTIF(Lists!$H$4:$AA$4,C1340)=0,"Check category",IF(COUNTIF(INDEX(Lists!$H$6:$AA$45,0,MATCH(C1340,Lists!$H$4:$AA$4,0)),D1340)=0,"Check sub-category","OK"))))</f>
        <v/>
      </c>
      <c r="P1340">
        <f>IF(ISNUMBER(I1340),I1340+ROW()/10000000,"")</f>
        <v/>
      </c>
      <c r="Q1340">
        <f>IF(AND(ISNUMBER(P1340),ISNUMBER(A1340)),IF(AND(A1340&gt;=Dashboard!$Q$3,A1340&lt;=Dashboard!$Q$4,OR(J1340&lt;&gt;"Yes",Dashboard!$Q$15="Yes")),P1340,""),"")</f>
        <v/>
      </c>
    </row>
    <row r="1341">
      <c r="A1341" s="47" t="n"/>
      <c r="B1341" s="48" t="n"/>
      <c r="C1341" s="48" t="n"/>
      <c r="D1341" s="48" t="n"/>
      <c r="E1341" s="48" t="n"/>
      <c r="F1341" s="48" t="n"/>
      <c r="G1341" s="48" t="n"/>
      <c r="H1341" s="48" t="n"/>
      <c r="I1341" s="49" t="n"/>
      <c r="J1341" s="50" t="n"/>
      <c r="K1341" s="48" t="n"/>
      <c r="L1341" s="51">
        <f>IF(A1341="","",DATE(YEAR(A1341),MONTH(A1341),1))</f>
        <v/>
      </c>
      <c r="M1341" s="52">
        <f>IF(OR(A1341="",NOT(ISNUMBER(I1341))),"",IF(G1341=Lists!$B$5,I1341/2,IF(G1341=Lists!$B$6,I1341,0)))</f>
        <v/>
      </c>
      <c r="N1341" s="52">
        <f>IF(OR(A1341="",NOT(ISNUMBER(I1341))),"",IF(G1341=Lists!$B$5,I1341/2,IF(G1341=Lists!$B$7,I1341,0)))</f>
        <v/>
      </c>
      <c r="O1341" s="53">
        <f>IF(COUNTA(A1341:K1341)=0,"",IF(OR(A1341="",B1341="",C1341="",D1341="",E1341="",F1341="",G1341="",NOT(ISNUMBER(I1341))),"Incomplete",IF(COUNTIF(Lists!$H$4:$AA$4,C1341)=0,"Check category",IF(COUNTIF(INDEX(Lists!$H$6:$AA$45,0,MATCH(C1341,Lists!$H$4:$AA$4,0)),D1341)=0,"Check sub-category","OK"))))</f>
        <v/>
      </c>
      <c r="P1341">
        <f>IF(ISNUMBER(I1341),I1341+ROW()/10000000,"")</f>
        <v/>
      </c>
      <c r="Q1341">
        <f>IF(AND(ISNUMBER(P1341),ISNUMBER(A1341)),IF(AND(A1341&gt;=Dashboard!$Q$3,A1341&lt;=Dashboard!$Q$4,OR(J1341&lt;&gt;"Yes",Dashboard!$Q$15="Yes")),P1341,""),"")</f>
        <v/>
      </c>
    </row>
    <row r="1342">
      <c r="A1342" s="47" t="n"/>
      <c r="B1342" s="48" t="n"/>
      <c r="C1342" s="48" t="n"/>
      <c r="D1342" s="48" t="n"/>
      <c r="E1342" s="48" t="n"/>
      <c r="F1342" s="48" t="n"/>
      <c r="G1342" s="48" t="n"/>
      <c r="H1342" s="48" t="n"/>
      <c r="I1342" s="49" t="n"/>
      <c r="J1342" s="50" t="n"/>
      <c r="K1342" s="48" t="n"/>
      <c r="L1342" s="51">
        <f>IF(A1342="","",DATE(YEAR(A1342),MONTH(A1342),1))</f>
        <v/>
      </c>
      <c r="M1342" s="52">
        <f>IF(OR(A1342="",NOT(ISNUMBER(I1342))),"",IF(G1342=Lists!$B$5,I1342/2,IF(G1342=Lists!$B$6,I1342,0)))</f>
        <v/>
      </c>
      <c r="N1342" s="52">
        <f>IF(OR(A1342="",NOT(ISNUMBER(I1342))),"",IF(G1342=Lists!$B$5,I1342/2,IF(G1342=Lists!$B$7,I1342,0)))</f>
        <v/>
      </c>
      <c r="O1342" s="53">
        <f>IF(COUNTA(A1342:K1342)=0,"",IF(OR(A1342="",B1342="",C1342="",D1342="",E1342="",F1342="",G1342="",NOT(ISNUMBER(I1342))),"Incomplete",IF(COUNTIF(Lists!$H$4:$AA$4,C1342)=0,"Check category",IF(COUNTIF(INDEX(Lists!$H$6:$AA$45,0,MATCH(C1342,Lists!$H$4:$AA$4,0)),D1342)=0,"Check sub-category","OK"))))</f>
        <v/>
      </c>
      <c r="P1342">
        <f>IF(ISNUMBER(I1342),I1342+ROW()/10000000,"")</f>
        <v/>
      </c>
      <c r="Q1342">
        <f>IF(AND(ISNUMBER(P1342),ISNUMBER(A1342)),IF(AND(A1342&gt;=Dashboard!$Q$3,A1342&lt;=Dashboard!$Q$4,OR(J1342&lt;&gt;"Yes",Dashboard!$Q$15="Yes")),P1342,""),"")</f>
        <v/>
      </c>
    </row>
    <row r="1343">
      <c r="A1343" s="47" t="n"/>
      <c r="B1343" s="48" t="n"/>
      <c r="C1343" s="48" t="n"/>
      <c r="D1343" s="48" t="n"/>
      <c r="E1343" s="48" t="n"/>
      <c r="F1343" s="48" t="n"/>
      <c r="G1343" s="48" t="n"/>
      <c r="H1343" s="48" t="n"/>
      <c r="I1343" s="49" t="n"/>
      <c r="J1343" s="50" t="n"/>
      <c r="K1343" s="48" t="n"/>
      <c r="L1343" s="51">
        <f>IF(A1343="","",DATE(YEAR(A1343),MONTH(A1343),1))</f>
        <v/>
      </c>
      <c r="M1343" s="52">
        <f>IF(OR(A1343="",NOT(ISNUMBER(I1343))),"",IF(G1343=Lists!$B$5,I1343/2,IF(G1343=Lists!$B$6,I1343,0)))</f>
        <v/>
      </c>
      <c r="N1343" s="52">
        <f>IF(OR(A1343="",NOT(ISNUMBER(I1343))),"",IF(G1343=Lists!$B$5,I1343/2,IF(G1343=Lists!$B$7,I1343,0)))</f>
        <v/>
      </c>
      <c r="O1343" s="53">
        <f>IF(COUNTA(A1343:K1343)=0,"",IF(OR(A1343="",B1343="",C1343="",D1343="",E1343="",F1343="",G1343="",NOT(ISNUMBER(I1343))),"Incomplete",IF(COUNTIF(Lists!$H$4:$AA$4,C1343)=0,"Check category",IF(COUNTIF(INDEX(Lists!$H$6:$AA$45,0,MATCH(C1343,Lists!$H$4:$AA$4,0)),D1343)=0,"Check sub-category","OK"))))</f>
        <v/>
      </c>
      <c r="P1343">
        <f>IF(ISNUMBER(I1343),I1343+ROW()/10000000,"")</f>
        <v/>
      </c>
      <c r="Q1343">
        <f>IF(AND(ISNUMBER(P1343),ISNUMBER(A1343)),IF(AND(A1343&gt;=Dashboard!$Q$3,A1343&lt;=Dashboard!$Q$4,OR(J1343&lt;&gt;"Yes",Dashboard!$Q$15="Yes")),P1343,""),"")</f>
        <v/>
      </c>
    </row>
    <row r="1344">
      <c r="A1344" s="47" t="n"/>
      <c r="B1344" s="48" t="n"/>
      <c r="C1344" s="48" t="n"/>
      <c r="D1344" s="48" t="n"/>
      <c r="E1344" s="48" t="n"/>
      <c r="F1344" s="48" t="n"/>
      <c r="G1344" s="48" t="n"/>
      <c r="H1344" s="48" t="n"/>
      <c r="I1344" s="49" t="n"/>
      <c r="J1344" s="50" t="n"/>
      <c r="K1344" s="48" t="n"/>
      <c r="L1344" s="51">
        <f>IF(A1344="","",DATE(YEAR(A1344),MONTH(A1344),1))</f>
        <v/>
      </c>
      <c r="M1344" s="52">
        <f>IF(OR(A1344="",NOT(ISNUMBER(I1344))),"",IF(G1344=Lists!$B$5,I1344/2,IF(G1344=Lists!$B$6,I1344,0)))</f>
        <v/>
      </c>
      <c r="N1344" s="52">
        <f>IF(OR(A1344="",NOT(ISNUMBER(I1344))),"",IF(G1344=Lists!$B$5,I1344/2,IF(G1344=Lists!$B$7,I1344,0)))</f>
        <v/>
      </c>
      <c r="O1344" s="53">
        <f>IF(COUNTA(A1344:K1344)=0,"",IF(OR(A1344="",B1344="",C1344="",D1344="",E1344="",F1344="",G1344="",NOT(ISNUMBER(I1344))),"Incomplete",IF(COUNTIF(Lists!$H$4:$AA$4,C1344)=0,"Check category",IF(COUNTIF(INDEX(Lists!$H$6:$AA$45,0,MATCH(C1344,Lists!$H$4:$AA$4,0)),D1344)=0,"Check sub-category","OK"))))</f>
        <v/>
      </c>
      <c r="P1344">
        <f>IF(ISNUMBER(I1344),I1344+ROW()/10000000,"")</f>
        <v/>
      </c>
      <c r="Q1344">
        <f>IF(AND(ISNUMBER(P1344),ISNUMBER(A1344)),IF(AND(A1344&gt;=Dashboard!$Q$3,A1344&lt;=Dashboard!$Q$4,OR(J1344&lt;&gt;"Yes",Dashboard!$Q$15="Yes")),P1344,""),"")</f>
        <v/>
      </c>
    </row>
    <row r="1345">
      <c r="A1345" s="47" t="n"/>
      <c r="B1345" s="48" t="n"/>
      <c r="C1345" s="48" t="n"/>
      <c r="D1345" s="48" t="n"/>
      <c r="E1345" s="48" t="n"/>
      <c r="F1345" s="48" t="n"/>
      <c r="G1345" s="48" t="n"/>
      <c r="H1345" s="48" t="n"/>
      <c r="I1345" s="49" t="n"/>
      <c r="J1345" s="50" t="n"/>
      <c r="K1345" s="48" t="n"/>
      <c r="L1345" s="51">
        <f>IF(A1345="","",DATE(YEAR(A1345),MONTH(A1345),1))</f>
        <v/>
      </c>
      <c r="M1345" s="52">
        <f>IF(OR(A1345="",NOT(ISNUMBER(I1345))),"",IF(G1345=Lists!$B$5,I1345/2,IF(G1345=Lists!$B$6,I1345,0)))</f>
        <v/>
      </c>
      <c r="N1345" s="52">
        <f>IF(OR(A1345="",NOT(ISNUMBER(I1345))),"",IF(G1345=Lists!$B$5,I1345/2,IF(G1345=Lists!$B$7,I1345,0)))</f>
        <v/>
      </c>
      <c r="O1345" s="53">
        <f>IF(COUNTA(A1345:K1345)=0,"",IF(OR(A1345="",B1345="",C1345="",D1345="",E1345="",F1345="",G1345="",NOT(ISNUMBER(I1345))),"Incomplete",IF(COUNTIF(Lists!$H$4:$AA$4,C1345)=0,"Check category",IF(COUNTIF(INDEX(Lists!$H$6:$AA$45,0,MATCH(C1345,Lists!$H$4:$AA$4,0)),D1345)=0,"Check sub-category","OK"))))</f>
        <v/>
      </c>
      <c r="P1345">
        <f>IF(ISNUMBER(I1345),I1345+ROW()/10000000,"")</f>
        <v/>
      </c>
      <c r="Q1345">
        <f>IF(AND(ISNUMBER(P1345),ISNUMBER(A1345)),IF(AND(A1345&gt;=Dashboard!$Q$3,A1345&lt;=Dashboard!$Q$4,OR(J1345&lt;&gt;"Yes",Dashboard!$Q$15="Yes")),P1345,""),"")</f>
        <v/>
      </c>
    </row>
    <row r="1346">
      <c r="A1346" s="47" t="n"/>
      <c r="B1346" s="48" t="n"/>
      <c r="C1346" s="48" t="n"/>
      <c r="D1346" s="48" t="n"/>
      <c r="E1346" s="48" t="n"/>
      <c r="F1346" s="48" t="n"/>
      <c r="G1346" s="48" t="n"/>
      <c r="H1346" s="48" t="n"/>
      <c r="I1346" s="49" t="n"/>
      <c r="J1346" s="50" t="n"/>
      <c r="K1346" s="48" t="n"/>
      <c r="L1346" s="51">
        <f>IF(A1346="","",DATE(YEAR(A1346),MONTH(A1346),1))</f>
        <v/>
      </c>
      <c r="M1346" s="52">
        <f>IF(OR(A1346="",NOT(ISNUMBER(I1346))),"",IF(G1346=Lists!$B$5,I1346/2,IF(G1346=Lists!$B$6,I1346,0)))</f>
        <v/>
      </c>
      <c r="N1346" s="52">
        <f>IF(OR(A1346="",NOT(ISNUMBER(I1346))),"",IF(G1346=Lists!$B$5,I1346/2,IF(G1346=Lists!$B$7,I1346,0)))</f>
        <v/>
      </c>
      <c r="O1346" s="53">
        <f>IF(COUNTA(A1346:K1346)=0,"",IF(OR(A1346="",B1346="",C1346="",D1346="",E1346="",F1346="",G1346="",NOT(ISNUMBER(I1346))),"Incomplete",IF(COUNTIF(Lists!$H$4:$AA$4,C1346)=0,"Check category",IF(COUNTIF(INDEX(Lists!$H$6:$AA$45,0,MATCH(C1346,Lists!$H$4:$AA$4,0)),D1346)=0,"Check sub-category","OK"))))</f>
        <v/>
      </c>
      <c r="P1346">
        <f>IF(ISNUMBER(I1346),I1346+ROW()/10000000,"")</f>
        <v/>
      </c>
      <c r="Q1346">
        <f>IF(AND(ISNUMBER(P1346),ISNUMBER(A1346)),IF(AND(A1346&gt;=Dashboard!$Q$3,A1346&lt;=Dashboard!$Q$4,OR(J1346&lt;&gt;"Yes",Dashboard!$Q$15="Yes")),P1346,""),"")</f>
        <v/>
      </c>
    </row>
    <row r="1347">
      <c r="A1347" s="47" t="n"/>
      <c r="B1347" s="48" t="n"/>
      <c r="C1347" s="48" t="n"/>
      <c r="D1347" s="48" t="n"/>
      <c r="E1347" s="48" t="n"/>
      <c r="F1347" s="48" t="n"/>
      <c r="G1347" s="48" t="n"/>
      <c r="H1347" s="48" t="n"/>
      <c r="I1347" s="49" t="n"/>
      <c r="J1347" s="50" t="n"/>
      <c r="K1347" s="48" t="n"/>
      <c r="L1347" s="51">
        <f>IF(A1347="","",DATE(YEAR(A1347),MONTH(A1347),1))</f>
        <v/>
      </c>
      <c r="M1347" s="52">
        <f>IF(OR(A1347="",NOT(ISNUMBER(I1347))),"",IF(G1347=Lists!$B$5,I1347/2,IF(G1347=Lists!$B$6,I1347,0)))</f>
        <v/>
      </c>
      <c r="N1347" s="52">
        <f>IF(OR(A1347="",NOT(ISNUMBER(I1347))),"",IF(G1347=Lists!$B$5,I1347/2,IF(G1347=Lists!$B$7,I1347,0)))</f>
        <v/>
      </c>
      <c r="O1347" s="53">
        <f>IF(COUNTA(A1347:K1347)=0,"",IF(OR(A1347="",B1347="",C1347="",D1347="",E1347="",F1347="",G1347="",NOT(ISNUMBER(I1347))),"Incomplete",IF(COUNTIF(Lists!$H$4:$AA$4,C1347)=0,"Check category",IF(COUNTIF(INDEX(Lists!$H$6:$AA$45,0,MATCH(C1347,Lists!$H$4:$AA$4,0)),D1347)=0,"Check sub-category","OK"))))</f>
        <v/>
      </c>
      <c r="P1347">
        <f>IF(ISNUMBER(I1347),I1347+ROW()/10000000,"")</f>
        <v/>
      </c>
      <c r="Q1347">
        <f>IF(AND(ISNUMBER(P1347),ISNUMBER(A1347)),IF(AND(A1347&gt;=Dashboard!$Q$3,A1347&lt;=Dashboard!$Q$4,OR(J1347&lt;&gt;"Yes",Dashboard!$Q$15="Yes")),P1347,""),"")</f>
        <v/>
      </c>
    </row>
    <row r="1348">
      <c r="A1348" s="47" t="n"/>
      <c r="B1348" s="48" t="n"/>
      <c r="C1348" s="48" t="n"/>
      <c r="D1348" s="48" t="n"/>
      <c r="E1348" s="48" t="n"/>
      <c r="F1348" s="48" t="n"/>
      <c r="G1348" s="48" t="n"/>
      <c r="H1348" s="48" t="n"/>
      <c r="I1348" s="49" t="n"/>
      <c r="J1348" s="50" t="n"/>
      <c r="K1348" s="48" t="n"/>
      <c r="L1348" s="51">
        <f>IF(A1348="","",DATE(YEAR(A1348),MONTH(A1348),1))</f>
        <v/>
      </c>
      <c r="M1348" s="52">
        <f>IF(OR(A1348="",NOT(ISNUMBER(I1348))),"",IF(G1348=Lists!$B$5,I1348/2,IF(G1348=Lists!$B$6,I1348,0)))</f>
        <v/>
      </c>
      <c r="N1348" s="52">
        <f>IF(OR(A1348="",NOT(ISNUMBER(I1348))),"",IF(G1348=Lists!$B$5,I1348/2,IF(G1348=Lists!$B$7,I1348,0)))</f>
        <v/>
      </c>
      <c r="O1348" s="53">
        <f>IF(COUNTA(A1348:K1348)=0,"",IF(OR(A1348="",B1348="",C1348="",D1348="",E1348="",F1348="",G1348="",NOT(ISNUMBER(I1348))),"Incomplete",IF(COUNTIF(Lists!$H$4:$AA$4,C1348)=0,"Check category",IF(COUNTIF(INDEX(Lists!$H$6:$AA$45,0,MATCH(C1348,Lists!$H$4:$AA$4,0)),D1348)=0,"Check sub-category","OK"))))</f>
        <v/>
      </c>
      <c r="P1348">
        <f>IF(ISNUMBER(I1348),I1348+ROW()/10000000,"")</f>
        <v/>
      </c>
      <c r="Q1348">
        <f>IF(AND(ISNUMBER(P1348),ISNUMBER(A1348)),IF(AND(A1348&gt;=Dashboard!$Q$3,A1348&lt;=Dashboard!$Q$4,OR(J1348&lt;&gt;"Yes",Dashboard!$Q$15="Yes")),P1348,""),"")</f>
        <v/>
      </c>
    </row>
    <row r="1349">
      <c r="A1349" s="47" t="n"/>
      <c r="B1349" s="48" t="n"/>
      <c r="C1349" s="48" t="n"/>
      <c r="D1349" s="48" t="n"/>
      <c r="E1349" s="48" t="n"/>
      <c r="F1349" s="48" t="n"/>
      <c r="G1349" s="48" t="n"/>
      <c r="H1349" s="48" t="n"/>
      <c r="I1349" s="49" t="n"/>
      <c r="J1349" s="50" t="n"/>
      <c r="K1349" s="48" t="n"/>
      <c r="L1349" s="51">
        <f>IF(A1349="","",DATE(YEAR(A1349),MONTH(A1349),1))</f>
        <v/>
      </c>
      <c r="M1349" s="52">
        <f>IF(OR(A1349="",NOT(ISNUMBER(I1349))),"",IF(G1349=Lists!$B$5,I1349/2,IF(G1349=Lists!$B$6,I1349,0)))</f>
        <v/>
      </c>
      <c r="N1349" s="52">
        <f>IF(OR(A1349="",NOT(ISNUMBER(I1349))),"",IF(G1349=Lists!$B$5,I1349/2,IF(G1349=Lists!$B$7,I1349,0)))</f>
        <v/>
      </c>
      <c r="O1349" s="53">
        <f>IF(COUNTA(A1349:K1349)=0,"",IF(OR(A1349="",B1349="",C1349="",D1349="",E1349="",F1349="",G1349="",NOT(ISNUMBER(I1349))),"Incomplete",IF(COUNTIF(Lists!$H$4:$AA$4,C1349)=0,"Check category",IF(COUNTIF(INDEX(Lists!$H$6:$AA$45,0,MATCH(C1349,Lists!$H$4:$AA$4,0)),D1349)=0,"Check sub-category","OK"))))</f>
        <v/>
      </c>
      <c r="P1349">
        <f>IF(ISNUMBER(I1349),I1349+ROW()/10000000,"")</f>
        <v/>
      </c>
      <c r="Q1349">
        <f>IF(AND(ISNUMBER(P1349),ISNUMBER(A1349)),IF(AND(A1349&gt;=Dashboard!$Q$3,A1349&lt;=Dashboard!$Q$4,OR(J1349&lt;&gt;"Yes",Dashboard!$Q$15="Yes")),P1349,""),"")</f>
        <v/>
      </c>
    </row>
    <row r="1350">
      <c r="A1350" s="47" t="n"/>
      <c r="B1350" s="48" t="n"/>
      <c r="C1350" s="48" t="n"/>
      <c r="D1350" s="48" t="n"/>
      <c r="E1350" s="48" t="n"/>
      <c r="F1350" s="48" t="n"/>
      <c r="G1350" s="48" t="n"/>
      <c r="H1350" s="48" t="n"/>
      <c r="I1350" s="49" t="n"/>
      <c r="J1350" s="50" t="n"/>
      <c r="K1350" s="48" t="n"/>
      <c r="L1350" s="51">
        <f>IF(A1350="","",DATE(YEAR(A1350),MONTH(A1350),1))</f>
        <v/>
      </c>
      <c r="M1350" s="52">
        <f>IF(OR(A1350="",NOT(ISNUMBER(I1350))),"",IF(G1350=Lists!$B$5,I1350/2,IF(G1350=Lists!$B$6,I1350,0)))</f>
        <v/>
      </c>
      <c r="N1350" s="52">
        <f>IF(OR(A1350="",NOT(ISNUMBER(I1350))),"",IF(G1350=Lists!$B$5,I1350/2,IF(G1350=Lists!$B$7,I1350,0)))</f>
        <v/>
      </c>
      <c r="O1350" s="53">
        <f>IF(COUNTA(A1350:K1350)=0,"",IF(OR(A1350="",B1350="",C1350="",D1350="",E1350="",F1350="",G1350="",NOT(ISNUMBER(I1350))),"Incomplete",IF(COUNTIF(Lists!$H$4:$AA$4,C1350)=0,"Check category",IF(COUNTIF(INDEX(Lists!$H$6:$AA$45,0,MATCH(C1350,Lists!$H$4:$AA$4,0)),D1350)=0,"Check sub-category","OK"))))</f>
        <v/>
      </c>
      <c r="P1350">
        <f>IF(ISNUMBER(I1350),I1350+ROW()/10000000,"")</f>
        <v/>
      </c>
      <c r="Q1350">
        <f>IF(AND(ISNUMBER(P1350),ISNUMBER(A1350)),IF(AND(A1350&gt;=Dashboard!$Q$3,A1350&lt;=Dashboard!$Q$4,OR(J1350&lt;&gt;"Yes",Dashboard!$Q$15="Yes")),P1350,""),"")</f>
        <v/>
      </c>
    </row>
    <row r="1351">
      <c r="A1351" s="47" t="n"/>
      <c r="B1351" s="48" t="n"/>
      <c r="C1351" s="48" t="n"/>
      <c r="D1351" s="48" t="n"/>
      <c r="E1351" s="48" t="n"/>
      <c r="F1351" s="48" t="n"/>
      <c r="G1351" s="48" t="n"/>
      <c r="H1351" s="48" t="n"/>
      <c r="I1351" s="49" t="n"/>
      <c r="J1351" s="50" t="n"/>
      <c r="K1351" s="48" t="n"/>
      <c r="L1351" s="51">
        <f>IF(A1351="","",DATE(YEAR(A1351),MONTH(A1351),1))</f>
        <v/>
      </c>
      <c r="M1351" s="52">
        <f>IF(OR(A1351="",NOT(ISNUMBER(I1351))),"",IF(G1351=Lists!$B$5,I1351/2,IF(G1351=Lists!$B$6,I1351,0)))</f>
        <v/>
      </c>
      <c r="N1351" s="52">
        <f>IF(OR(A1351="",NOT(ISNUMBER(I1351))),"",IF(G1351=Lists!$B$5,I1351/2,IF(G1351=Lists!$B$7,I1351,0)))</f>
        <v/>
      </c>
      <c r="O1351" s="53">
        <f>IF(COUNTA(A1351:K1351)=0,"",IF(OR(A1351="",B1351="",C1351="",D1351="",E1351="",F1351="",G1351="",NOT(ISNUMBER(I1351))),"Incomplete",IF(COUNTIF(Lists!$H$4:$AA$4,C1351)=0,"Check category",IF(COUNTIF(INDEX(Lists!$H$6:$AA$45,0,MATCH(C1351,Lists!$H$4:$AA$4,0)),D1351)=0,"Check sub-category","OK"))))</f>
        <v/>
      </c>
      <c r="P1351">
        <f>IF(ISNUMBER(I1351),I1351+ROW()/10000000,"")</f>
        <v/>
      </c>
      <c r="Q1351">
        <f>IF(AND(ISNUMBER(P1351),ISNUMBER(A1351)),IF(AND(A1351&gt;=Dashboard!$Q$3,A1351&lt;=Dashboard!$Q$4,OR(J1351&lt;&gt;"Yes",Dashboard!$Q$15="Yes")),P1351,""),"")</f>
        <v/>
      </c>
    </row>
    <row r="1352">
      <c r="A1352" s="47" t="n"/>
      <c r="B1352" s="48" t="n"/>
      <c r="C1352" s="48" t="n"/>
      <c r="D1352" s="48" t="n"/>
      <c r="E1352" s="48" t="n"/>
      <c r="F1352" s="48" t="n"/>
      <c r="G1352" s="48" t="n"/>
      <c r="H1352" s="48" t="n"/>
      <c r="I1352" s="49" t="n"/>
      <c r="J1352" s="50" t="n"/>
      <c r="K1352" s="48" t="n"/>
      <c r="L1352" s="51">
        <f>IF(A1352="","",DATE(YEAR(A1352),MONTH(A1352),1))</f>
        <v/>
      </c>
      <c r="M1352" s="52">
        <f>IF(OR(A1352="",NOT(ISNUMBER(I1352))),"",IF(G1352=Lists!$B$5,I1352/2,IF(G1352=Lists!$B$6,I1352,0)))</f>
        <v/>
      </c>
      <c r="N1352" s="52">
        <f>IF(OR(A1352="",NOT(ISNUMBER(I1352))),"",IF(G1352=Lists!$B$5,I1352/2,IF(G1352=Lists!$B$7,I1352,0)))</f>
        <v/>
      </c>
      <c r="O1352" s="53">
        <f>IF(COUNTA(A1352:K1352)=0,"",IF(OR(A1352="",B1352="",C1352="",D1352="",E1352="",F1352="",G1352="",NOT(ISNUMBER(I1352))),"Incomplete",IF(COUNTIF(Lists!$H$4:$AA$4,C1352)=0,"Check category",IF(COUNTIF(INDEX(Lists!$H$6:$AA$45,0,MATCH(C1352,Lists!$H$4:$AA$4,0)),D1352)=0,"Check sub-category","OK"))))</f>
        <v/>
      </c>
      <c r="P1352">
        <f>IF(ISNUMBER(I1352),I1352+ROW()/10000000,"")</f>
        <v/>
      </c>
      <c r="Q1352">
        <f>IF(AND(ISNUMBER(P1352),ISNUMBER(A1352)),IF(AND(A1352&gt;=Dashboard!$Q$3,A1352&lt;=Dashboard!$Q$4,OR(J1352&lt;&gt;"Yes",Dashboard!$Q$15="Yes")),P1352,""),"")</f>
        <v/>
      </c>
    </row>
    <row r="1353">
      <c r="A1353" s="47" t="n"/>
      <c r="B1353" s="48" t="n"/>
      <c r="C1353" s="48" t="n"/>
      <c r="D1353" s="48" t="n"/>
      <c r="E1353" s="48" t="n"/>
      <c r="F1353" s="48" t="n"/>
      <c r="G1353" s="48" t="n"/>
      <c r="H1353" s="48" t="n"/>
      <c r="I1353" s="49" t="n"/>
      <c r="J1353" s="50" t="n"/>
      <c r="K1353" s="48" t="n"/>
      <c r="L1353" s="51">
        <f>IF(A1353="","",DATE(YEAR(A1353),MONTH(A1353),1))</f>
        <v/>
      </c>
      <c r="M1353" s="52">
        <f>IF(OR(A1353="",NOT(ISNUMBER(I1353))),"",IF(G1353=Lists!$B$5,I1353/2,IF(G1353=Lists!$B$6,I1353,0)))</f>
        <v/>
      </c>
      <c r="N1353" s="52">
        <f>IF(OR(A1353="",NOT(ISNUMBER(I1353))),"",IF(G1353=Lists!$B$5,I1353/2,IF(G1353=Lists!$B$7,I1353,0)))</f>
        <v/>
      </c>
      <c r="O1353" s="53">
        <f>IF(COUNTA(A1353:K1353)=0,"",IF(OR(A1353="",B1353="",C1353="",D1353="",E1353="",F1353="",G1353="",NOT(ISNUMBER(I1353))),"Incomplete",IF(COUNTIF(Lists!$H$4:$AA$4,C1353)=0,"Check category",IF(COUNTIF(INDEX(Lists!$H$6:$AA$45,0,MATCH(C1353,Lists!$H$4:$AA$4,0)),D1353)=0,"Check sub-category","OK"))))</f>
        <v/>
      </c>
      <c r="P1353">
        <f>IF(ISNUMBER(I1353),I1353+ROW()/10000000,"")</f>
        <v/>
      </c>
      <c r="Q1353">
        <f>IF(AND(ISNUMBER(P1353),ISNUMBER(A1353)),IF(AND(A1353&gt;=Dashboard!$Q$3,A1353&lt;=Dashboard!$Q$4,OR(J1353&lt;&gt;"Yes",Dashboard!$Q$15="Yes")),P1353,""),"")</f>
        <v/>
      </c>
    </row>
    <row r="1354">
      <c r="A1354" s="47" t="n"/>
      <c r="B1354" s="48" t="n"/>
      <c r="C1354" s="48" t="n"/>
      <c r="D1354" s="48" t="n"/>
      <c r="E1354" s="48" t="n"/>
      <c r="F1354" s="48" t="n"/>
      <c r="G1354" s="48" t="n"/>
      <c r="H1354" s="48" t="n"/>
      <c r="I1354" s="49" t="n"/>
      <c r="J1354" s="50" t="n"/>
      <c r="K1354" s="48" t="n"/>
      <c r="L1354" s="51">
        <f>IF(A1354="","",DATE(YEAR(A1354),MONTH(A1354),1))</f>
        <v/>
      </c>
      <c r="M1354" s="52">
        <f>IF(OR(A1354="",NOT(ISNUMBER(I1354))),"",IF(G1354=Lists!$B$5,I1354/2,IF(G1354=Lists!$B$6,I1354,0)))</f>
        <v/>
      </c>
      <c r="N1354" s="52">
        <f>IF(OR(A1354="",NOT(ISNUMBER(I1354))),"",IF(G1354=Lists!$B$5,I1354/2,IF(G1354=Lists!$B$7,I1354,0)))</f>
        <v/>
      </c>
      <c r="O1354" s="53">
        <f>IF(COUNTA(A1354:K1354)=0,"",IF(OR(A1354="",B1354="",C1354="",D1354="",E1354="",F1354="",G1354="",NOT(ISNUMBER(I1354))),"Incomplete",IF(COUNTIF(Lists!$H$4:$AA$4,C1354)=0,"Check category",IF(COUNTIF(INDEX(Lists!$H$6:$AA$45,0,MATCH(C1354,Lists!$H$4:$AA$4,0)),D1354)=0,"Check sub-category","OK"))))</f>
        <v/>
      </c>
      <c r="P1354">
        <f>IF(ISNUMBER(I1354),I1354+ROW()/10000000,"")</f>
        <v/>
      </c>
      <c r="Q1354">
        <f>IF(AND(ISNUMBER(P1354),ISNUMBER(A1354)),IF(AND(A1354&gt;=Dashboard!$Q$3,A1354&lt;=Dashboard!$Q$4,OR(J1354&lt;&gt;"Yes",Dashboard!$Q$15="Yes")),P1354,""),"")</f>
        <v/>
      </c>
    </row>
    <row r="1355">
      <c r="A1355" s="47" t="n"/>
      <c r="B1355" s="48" t="n"/>
      <c r="C1355" s="48" t="n"/>
      <c r="D1355" s="48" t="n"/>
      <c r="E1355" s="48" t="n"/>
      <c r="F1355" s="48" t="n"/>
      <c r="G1355" s="48" t="n"/>
      <c r="H1355" s="48" t="n"/>
      <c r="I1355" s="49" t="n"/>
      <c r="J1355" s="50" t="n"/>
      <c r="K1355" s="48" t="n"/>
      <c r="L1355" s="51">
        <f>IF(A1355="","",DATE(YEAR(A1355),MONTH(A1355),1))</f>
        <v/>
      </c>
      <c r="M1355" s="52">
        <f>IF(OR(A1355="",NOT(ISNUMBER(I1355))),"",IF(G1355=Lists!$B$5,I1355/2,IF(G1355=Lists!$B$6,I1355,0)))</f>
        <v/>
      </c>
      <c r="N1355" s="52">
        <f>IF(OR(A1355="",NOT(ISNUMBER(I1355))),"",IF(G1355=Lists!$B$5,I1355/2,IF(G1355=Lists!$B$7,I1355,0)))</f>
        <v/>
      </c>
      <c r="O1355" s="53">
        <f>IF(COUNTA(A1355:K1355)=0,"",IF(OR(A1355="",B1355="",C1355="",D1355="",E1355="",F1355="",G1355="",NOT(ISNUMBER(I1355))),"Incomplete",IF(COUNTIF(Lists!$H$4:$AA$4,C1355)=0,"Check category",IF(COUNTIF(INDEX(Lists!$H$6:$AA$45,0,MATCH(C1355,Lists!$H$4:$AA$4,0)),D1355)=0,"Check sub-category","OK"))))</f>
        <v/>
      </c>
      <c r="P1355">
        <f>IF(ISNUMBER(I1355),I1355+ROW()/10000000,"")</f>
        <v/>
      </c>
      <c r="Q1355">
        <f>IF(AND(ISNUMBER(P1355),ISNUMBER(A1355)),IF(AND(A1355&gt;=Dashboard!$Q$3,A1355&lt;=Dashboard!$Q$4,OR(J1355&lt;&gt;"Yes",Dashboard!$Q$15="Yes")),P1355,""),"")</f>
        <v/>
      </c>
    </row>
    <row r="1356">
      <c r="A1356" s="47" t="n"/>
      <c r="B1356" s="48" t="n"/>
      <c r="C1356" s="48" t="n"/>
      <c r="D1356" s="48" t="n"/>
      <c r="E1356" s="48" t="n"/>
      <c r="F1356" s="48" t="n"/>
      <c r="G1356" s="48" t="n"/>
      <c r="H1356" s="48" t="n"/>
      <c r="I1356" s="49" t="n"/>
      <c r="J1356" s="50" t="n"/>
      <c r="K1356" s="48" t="n"/>
      <c r="L1356" s="51">
        <f>IF(A1356="","",DATE(YEAR(A1356),MONTH(A1356),1))</f>
        <v/>
      </c>
      <c r="M1356" s="52">
        <f>IF(OR(A1356="",NOT(ISNUMBER(I1356))),"",IF(G1356=Lists!$B$5,I1356/2,IF(G1356=Lists!$B$6,I1356,0)))</f>
        <v/>
      </c>
      <c r="N1356" s="52">
        <f>IF(OR(A1356="",NOT(ISNUMBER(I1356))),"",IF(G1356=Lists!$B$5,I1356/2,IF(G1356=Lists!$B$7,I1356,0)))</f>
        <v/>
      </c>
      <c r="O1356" s="53">
        <f>IF(COUNTA(A1356:K1356)=0,"",IF(OR(A1356="",B1356="",C1356="",D1356="",E1356="",F1356="",G1356="",NOT(ISNUMBER(I1356))),"Incomplete",IF(COUNTIF(Lists!$H$4:$AA$4,C1356)=0,"Check category",IF(COUNTIF(INDEX(Lists!$H$6:$AA$45,0,MATCH(C1356,Lists!$H$4:$AA$4,0)),D1356)=0,"Check sub-category","OK"))))</f>
        <v/>
      </c>
      <c r="P1356">
        <f>IF(ISNUMBER(I1356),I1356+ROW()/10000000,"")</f>
        <v/>
      </c>
      <c r="Q1356">
        <f>IF(AND(ISNUMBER(P1356),ISNUMBER(A1356)),IF(AND(A1356&gt;=Dashboard!$Q$3,A1356&lt;=Dashboard!$Q$4,OR(J1356&lt;&gt;"Yes",Dashboard!$Q$15="Yes")),P1356,""),"")</f>
        <v/>
      </c>
    </row>
    <row r="1357">
      <c r="A1357" s="47" t="n"/>
      <c r="B1357" s="48" t="n"/>
      <c r="C1357" s="48" t="n"/>
      <c r="D1357" s="48" t="n"/>
      <c r="E1357" s="48" t="n"/>
      <c r="F1357" s="48" t="n"/>
      <c r="G1357" s="48" t="n"/>
      <c r="H1357" s="48" t="n"/>
      <c r="I1357" s="49" t="n"/>
      <c r="J1357" s="50" t="n"/>
      <c r="K1357" s="48" t="n"/>
      <c r="L1357" s="51">
        <f>IF(A1357="","",DATE(YEAR(A1357),MONTH(A1357),1))</f>
        <v/>
      </c>
      <c r="M1357" s="52">
        <f>IF(OR(A1357="",NOT(ISNUMBER(I1357))),"",IF(G1357=Lists!$B$5,I1357/2,IF(G1357=Lists!$B$6,I1357,0)))</f>
        <v/>
      </c>
      <c r="N1357" s="52">
        <f>IF(OR(A1357="",NOT(ISNUMBER(I1357))),"",IF(G1357=Lists!$B$5,I1357/2,IF(G1357=Lists!$B$7,I1357,0)))</f>
        <v/>
      </c>
      <c r="O1357" s="53">
        <f>IF(COUNTA(A1357:K1357)=0,"",IF(OR(A1357="",B1357="",C1357="",D1357="",E1357="",F1357="",G1357="",NOT(ISNUMBER(I1357))),"Incomplete",IF(COUNTIF(Lists!$H$4:$AA$4,C1357)=0,"Check category",IF(COUNTIF(INDEX(Lists!$H$6:$AA$45,0,MATCH(C1357,Lists!$H$4:$AA$4,0)),D1357)=0,"Check sub-category","OK"))))</f>
        <v/>
      </c>
      <c r="P1357">
        <f>IF(ISNUMBER(I1357),I1357+ROW()/10000000,"")</f>
        <v/>
      </c>
      <c r="Q1357">
        <f>IF(AND(ISNUMBER(P1357),ISNUMBER(A1357)),IF(AND(A1357&gt;=Dashboard!$Q$3,A1357&lt;=Dashboard!$Q$4,OR(J1357&lt;&gt;"Yes",Dashboard!$Q$15="Yes")),P1357,""),"")</f>
        <v/>
      </c>
    </row>
    <row r="1358">
      <c r="A1358" s="47" t="n"/>
      <c r="B1358" s="48" t="n"/>
      <c r="C1358" s="48" t="n"/>
      <c r="D1358" s="48" t="n"/>
      <c r="E1358" s="48" t="n"/>
      <c r="F1358" s="48" t="n"/>
      <c r="G1358" s="48" t="n"/>
      <c r="H1358" s="48" t="n"/>
      <c r="I1358" s="49" t="n"/>
      <c r="J1358" s="50" t="n"/>
      <c r="K1358" s="48" t="n"/>
      <c r="L1358" s="51">
        <f>IF(A1358="","",DATE(YEAR(A1358),MONTH(A1358),1))</f>
        <v/>
      </c>
      <c r="M1358" s="52">
        <f>IF(OR(A1358="",NOT(ISNUMBER(I1358))),"",IF(G1358=Lists!$B$5,I1358/2,IF(G1358=Lists!$B$6,I1358,0)))</f>
        <v/>
      </c>
      <c r="N1358" s="52">
        <f>IF(OR(A1358="",NOT(ISNUMBER(I1358))),"",IF(G1358=Lists!$B$5,I1358/2,IF(G1358=Lists!$B$7,I1358,0)))</f>
        <v/>
      </c>
      <c r="O1358" s="53">
        <f>IF(COUNTA(A1358:K1358)=0,"",IF(OR(A1358="",B1358="",C1358="",D1358="",E1358="",F1358="",G1358="",NOT(ISNUMBER(I1358))),"Incomplete",IF(COUNTIF(Lists!$H$4:$AA$4,C1358)=0,"Check category",IF(COUNTIF(INDEX(Lists!$H$6:$AA$45,0,MATCH(C1358,Lists!$H$4:$AA$4,0)),D1358)=0,"Check sub-category","OK"))))</f>
        <v/>
      </c>
      <c r="P1358">
        <f>IF(ISNUMBER(I1358),I1358+ROW()/10000000,"")</f>
        <v/>
      </c>
      <c r="Q1358">
        <f>IF(AND(ISNUMBER(P1358),ISNUMBER(A1358)),IF(AND(A1358&gt;=Dashboard!$Q$3,A1358&lt;=Dashboard!$Q$4,OR(J1358&lt;&gt;"Yes",Dashboard!$Q$15="Yes")),P1358,""),"")</f>
        <v/>
      </c>
    </row>
    <row r="1359">
      <c r="A1359" s="47" t="n"/>
      <c r="B1359" s="48" t="n"/>
      <c r="C1359" s="48" t="n"/>
      <c r="D1359" s="48" t="n"/>
      <c r="E1359" s="48" t="n"/>
      <c r="F1359" s="48" t="n"/>
      <c r="G1359" s="48" t="n"/>
      <c r="H1359" s="48" t="n"/>
      <c r="I1359" s="49" t="n"/>
      <c r="J1359" s="50" t="n"/>
      <c r="K1359" s="48" t="n"/>
      <c r="L1359" s="51">
        <f>IF(A1359="","",DATE(YEAR(A1359),MONTH(A1359),1))</f>
        <v/>
      </c>
      <c r="M1359" s="52">
        <f>IF(OR(A1359="",NOT(ISNUMBER(I1359))),"",IF(G1359=Lists!$B$5,I1359/2,IF(G1359=Lists!$B$6,I1359,0)))</f>
        <v/>
      </c>
      <c r="N1359" s="52">
        <f>IF(OR(A1359="",NOT(ISNUMBER(I1359))),"",IF(G1359=Lists!$B$5,I1359/2,IF(G1359=Lists!$B$7,I1359,0)))</f>
        <v/>
      </c>
      <c r="O1359" s="53">
        <f>IF(COUNTA(A1359:K1359)=0,"",IF(OR(A1359="",B1359="",C1359="",D1359="",E1359="",F1359="",G1359="",NOT(ISNUMBER(I1359))),"Incomplete",IF(COUNTIF(Lists!$H$4:$AA$4,C1359)=0,"Check category",IF(COUNTIF(INDEX(Lists!$H$6:$AA$45,0,MATCH(C1359,Lists!$H$4:$AA$4,0)),D1359)=0,"Check sub-category","OK"))))</f>
        <v/>
      </c>
      <c r="P1359">
        <f>IF(ISNUMBER(I1359),I1359+ROW()/10000000,"")</f>
        <v/>
      </c>
      <c r="Q1359">
        <f>IF(AND(ISNUMBER(P1359),ISNUMBER(A1359)),IF(AND(A1359&gt;=Dashboard!$Q$3,A1359&lt;=Dashboard!$Q$4,OR(J1359&lt;&gt;"Yes",Dashboard!$Q$15="Yes")),P1359,""),"")</f>
        <v/>
      </c>
    </row>
    <row r="1360">
      <c r="A1360" s="47" t="n"/>
      <c r="B1360" s="48" t="n"/>
      <c r="C1360" s="48" t="n"/>
      <c r="D1360" s="48" t="n"/>
      <c r="E1360" s="48" t="n"/>
      <c r="F1360" s="48" t="n"/>
      <c r="G1360" s="48" t="n"/>
      <c r="H1360" s="48" t="n"/>
      <c r="I1360" s="49" t="n"/>
      <c r="J1360" s="50" t="n"/>
      <c r="K1360" s="48" t="n"/>
      <c r="L1360" s="51">
        <f>IF(A1360="","",DATE(YEAR(A1360),MONTH(A1360),1))</f>
        <v/>
      </c>
      <c r="M1360" s="52">
        <f>IF(OR(A1360="",NOT(ISNUMBER(I1360))),"",IF(G1360=Lists!$B$5,I1360/2,IF(G1360=Lists!$B$6,I1360,0)))</f>
        <v/>
      </c>
      <c r="N1360" s="52">
        <f>IF(OR(A1360="",NOT(ISNUMBER(I1360))),"",IF(G1360=Lists!$B$5,I1360/2,IF(G1360=Lists!$B$7,I1360,0)))</f>
        <v/>
      </c>
      <c r="O1360" s="53">
        <f>IF(COUNTA(A1360:K1360)=0,"",IF(OR(A1360="",B1360="",C1360="",D1360="",E1360="",F1360="",G1360="",NOT(ISNUMBER(I1360))),"Incomplete",IF(COUNTIF(Lists!$H$4:$AA$4,C1360)=0,"Check category",IF(COUNTIF(INDEX(Lists!$H$6:$AA$45,0,MATCH(C1360,Lists!$H$4:$AA$4,0)),D1360)=0,"Check sub-category","OK"))))</f>
        <v/>
      </c>
      <c r="P1360">
        <f>IF(ISNUMBER(I1360),I1360+ROW()/10000000,"")</f>
        <v/>
      </c>
      <c r="Q1360">
        <f>IF(AND(ISNUMBER(P1360),ISNUMBER(A1360)),IF(AND(A1360&gt;=Dashboard!$Q$3,A1360&lt;=Dashboard!$Q$4,OR(J1360&lt;&gt;"Yes",Dashboard!$Q$15="Yes")),P1360,""),"")</f>
        <v/>
      </c>
    </row>
    <row r="1361">
      <c r="A1361" s="47" t="n"/>
      <c r="B1361" s="48" t="n"/>
      <c r="C1361" s="48" t="n"/>
      <c r="D1361" s="48" t="n"/>
      <c r="E1361" s="48" t="n"/>
      <c r="F1361" s="48" t="n"/>
      <c r="G1361" s="48" t="n"/>
      <c r="H1361" s="48" t="n"/>
      <c r="I1361" s="49" t="n"/>
      <c r="J1361" s="50" t="n"/>
      <c r="K1361" s="48" t="n"/>
      <c r="L1361" s="51">
        <f>IF(A1361="","",DATE(YEAR(A1361),MONTH(A1361),1))</f>
        <v/>
      </c>
      <c r="M1361" s="52">
        <f>IF(OR(A1361="",NOT(ISNUMBER(I1361))),"",IF(G1361=Lists!$B$5,I1361/2,IF(G1361=Lists!$B$6,I1361,0)))</f>
        <v/>
      </c>
      <c r="N1361" s="52">
        <f>IF(OR(A1361="",NOT(ISNUMBER(I1361))),"",IF(G1361=Lists!$B$5,I1361/2,IF(G1361=Lists!$B$7,I1361,0)))</f>
        <v/>
      </c>
      <c r="O1361" s="53">
        <f>IF(COUNTA(A1361:K1361)=0,"",IF(OR(A1361="",B1361="",C1361="",D1361="",E1361="",F1361="",G1361="",NOT(ISNUMBER(I1361))),"Incomplete",IF(COUNTIF(Lists!$H$4:$AA$4,C1361)=0,"Check category",IF(COUNTIF(INDEX(Lists!$H$6:$AA$45,0,MATCH(C1361,Lists!$H$4:$AA$4,0)),D1361)=0,"Check sub-category","OK"))))</f>
        <v/>
      </c>
      <c r="P1361">
        <f>IF(ISNUMBER(I1361),I1361+ROW()/10000000,"")</f>
        <v/>
      </c>
      <c r="Q1361">
        <f>IF(AND(ISNUMBER(P1361),ISNUMBER(A1361)),IF(AND(A1361&gt;=Dashboard!$Q$3,A1361&lt;=Dashboard!$Q$4,OR(J1361&lt;&gt;"Yes",Dashboard!$Q$15="Yes")),P1361,""),"")</f>
        <v/>
      </c>
    </row>
    <row r="1362">
      <c r="A1362" s="47" t="n"/>
      <c r="B1362" s="48" t="n"/>
      <c r="C1362" s="48" t="n"/>
      <c r="D1362" s="48" t="n"/>
      <c r="E1362" s="48" t="n"/>
      <c r="F1362" s="48" t="n"/>
      <c r="G1362" s="48" t="n"/>
      <c r="H1362" s="48" t="n"/>
      <c r="I1362" s="49" t="n"/>
      <c r="J1362" s="50" t="n"/>
      <c r="K1362" s="48" t="n"/>
      <c r="L1362" s="51">
        <f>IF(A1362="","",DATE(YEAR(A1362),MONTH(A1362),1))</f>
        <v/>
      </c>
      <c r="M1362" s="52">
        <f>IF(OR(A1362="",NOT(ISNUMBER(I1362))),"",IF(G1362=Lists!$B$5,I1362/2,IF(G1362=Lists!$B$6,I1362,0)))</f>
        <v/>
      </c>
      <c r="N1362" s="52">
        <f>IF(OR(A1362="",NOT(ISNUMBER(I1362))),"",IF(G1362=Lists!$B$5,I1362/2,IF(G1362=Lists!$B$7,I1362,0)))</f>
        <v/>
      </c>
      <c r="O1362" s="53">
        <f>IF(COUNTA(A1362:K1362)=0,"",IF(OR(A1362="",B1362="",C1362="",D1362="",E1362="",F1362="",G1362="",NOT(ISNUMBER(I1362))),"Incomplete",IF(COUNTIF(Lists!$H$4:$AA$4,C1362)=0,"Check category",IF(COUNTIF(INDEX(Lists!$H$6:$AA$45,0,MATCH(C1362,Lists!$H$4:$AA$4,0)),D1362)=0,"Check sub-category","OK"))))</f>
        <v/>
      </c>
      <c r="P1362">
        <f>IF(ISNUMBER(I1362),I1362+ROW()/10000000,"")</f>
        <v/>
      </c>
      <c r="Q1362">
        <f>IF(AND(ISNUMBER(P1362),ISNUMBER(A1362)),IF(AND(A1362&gt;=Dashboard!$Q$3,A1362&lt;=Dashboard!$Q$4,OR(J1362&lt;&gt;"Yes",Dashboard!$Q$15="Yes")),P1362,""),"")</f>
        <v/>
      </c>
    </row>
    <row r="1363">
      <c r="A1363" s="47" t="n"/>
      <c r="B1363" s="48" t="n"/>
      <c r="C1363" s="48" t="n"/>
      <c r="D1363" s="48" t="n"/>
      <c r="E1363" s="48" t="n"/>
      <c r="F1363" s="48" t="n"/>
      <c r="G1363" s="48" t="n"/>
      <c r="H1363" s="48" t="n"/>
      <c r="I1363" s="49" t="n"/>
      <c r="J1363" s="50" t="n"/>
      <c r="K1363" s="48" t="n"/>
      <c r="L1363" s="51">
        <f>IF(A1363="","",DATE(YEAR(A1363),MONTH(A1363),1))</f>
        <v/>
      </c>
      <c r="M1363" s="52">
        <f>IF(OR(A1363="",NOT(ISNUMBER(I1363))),"",IF(G1363=Lists!$B$5,I1363/2,IF(G1363=Lists!$B$6,I1363,0)))</f>
        <v/>
      </c>
      <c r="N1363" s="52">
        <f>IF(OR(A1363="",NOT(ISNUMBER(I1363))),"",IF(G1363=Lists!$B$5,I1363/2,IF(G1363=Lists!$B$7,I1363,0)))</f>
        <v/>
      </c>
      <c r="O1363" s="53">
        <f>IF(COUNTA(A1363:K1363)=0,"",IF(OR(A1363="",B1363="",C1363="",D1363="",E1363="",F1363="",G1363="",NOT(ISNUMBER(I1363))),"Incomplete",IF(COUNTIF(Lists!$H$4:$AA$4,C1363)=0,"Check category",IF(COUNTIF(INDEX(Lists!$H$6:$AA$45,0,MATCH(C1363,Lists!$H$4:$AA$4,0)),D1363)=0,"Check sub-category","OK"))))</f>
        <v/>
      </c>
      <c r="P1363">
        <f>IF(ISNUMBER(I1363),I1363+ROW()/10000000,"")</f>
        <v/>
      </c>
      <c r="Q1363">
        <f>IF(AND(ISNUMBER(P1363),ISNUMBER(A1363)),IF(AND(A1363&gt;=Dashboard!$Q$3,A1363&lt;=Dashboard!$Q$4,OR(J1363&lt;&gt;"Yes",Dashboard!$Q$15="Yes")),P1363,""),"")</f>
        <v/>
      </c>
    </row>
    <row r="1364">
      <c r="A1364" s="47" t="n"/>
      <c r="B1364" s="48" t="n"/>
      <c r="C1364" s="48" t="n"/>
      <c r="D1364" s="48" t="n"/>
      <c r="E1364" s="48" t="n"/>
      <c r="F1364" s="48" t="n"/>
      <c r="G1364" s="48" t="n"/>
      <c r="H1364" s="48" t="n"/>
      <c r="I1364" s="49" t="n"/>
      <c r="J1364" s="50" t="n"/>
      <c r="K1364" s="48" t="n"/>
      <c r="L1364" s="51">
        <f>IF(A1364="","",DATE(YEAR(A1364),MONTH(A1364),1))</f>
        <v/>
      </c>
      <c r="M1364" s="52">
        <f>IF(OR(A1364="",NOT(ISNUMBER(I1364))),"",IF(G1364=Lists!$B$5,I1364/2,IF(G1364=Lists!$B$6,I1364,0)))</f>
        <v/>
      </c>
      <c r="N1364" s="52">
        <f>IF(OR(A1364="",NOT(ISNUMBER(I1364))),"",IF(G1364=Lists!$B$5,I1364/2,IF(G1364=Lists!$B$7,I1364,0)))</f>
        <v/>
      </c>
      <c r="O1364" s="53">
        <f>IF(COUNTA(A1364:K1364)=0,"",IF(OR(A1364="",B1364="",C1364="",D1364="",E1364="",F1364="",G1364="",NOT(ISNUMBER(I1364))),"Incomplete",IF(COUNTIF(Lists!$H$4:$AA$4,C1364)=0,"Check category",IF(COUNTIF(INDEX(Lists!$H$6:$AA$45,0,MATCH(C1364,Lists!$H$4:$AA$4,0)),D1364)=0,"Check sub-category","OK"))))</f>
        <v/>
      </c>
      <c r="P1364">
        <f>IF(ISNUMBER(I1364),I1364+ROW()/10000000,"")</f>
        <v/>
      </c>
      <c r="Q1364">
        <f>IF(AND(ISNUMBER(P1364),ISNUMBER(A1364)),IF(AND(A1364&gt;=Dashboard!$Q$3,A1364&lt;=Dashboard!$Q$4,OR(J1364&lt;&gt;"Yes",Dashboard!$Q$15="Yes")),P1364,""),"")</f>
        <v/>
      </c>
    </row>
    <row r="1365">
      <c r="A1365" s="47" t="n"/>
      <c r="B1365" s="48" t="n"/>
      <c r="C1365" s="48" t="n"/>
      <c r="D1365" s="48" t="n"/>
      <c r="E1365" s="48" t="n"/>
      <c r="F1365" s="48" t="n"/>
      <c r="G1365" s="48" t="n"/>
      <c r="H1365" s="48" t="n"/>
      <c r="I1365" s="49" t="n"/>
      <c r="J1365" s="50" t="n"/>
      <c r="K1365" s="48" t="n"/>
      <c r="L1365" s="51">
        <f>IF(A1365="","",DATE(YEAR(A1365),MONTH(A1365),1))</f>
        <v/>
      </c>
      <c r="M1365" s="52">
        <f>IF(OR(A1365="",NOT(ISNUMBER(I1365))),"",IF(G1365=Lists!$B$5,I1365/2,IF(G1365=Lists!$B$6,I1365,0)))</f>
        <v/>
      </c>
      <c r="N1365" s="52">
        <f>IF(OR(A1365="",NOT(ISNUMBER(I1365))),"",IF(G1365=Lists!$B$5,I1365/2,IF(G1365=Lists!$B$7,I1365,0)))</f>
        <v/>
      </c>
      <c r="O1365" s="53">
        <f>IF(COUNTA(A1365:K1365)=0,"",IF(OR(A1365="",B1365="",C1365="",D1365="",E1365="",F1365="",G1365="",NOT(ISNUMBER(I1365))),"Incomplete",IF(COUNTIF(Lists!$H$4:$AA$4,C1365)=0,"Check category",IF(COUNTIF(INDEX(Lists!$H$6:$AA$45,0,MATCH(C1365,Lists!$H$4:$AA$4,0)),D1365)=0,"Check sub-category","OK"))))</f>
        <v/>
      </c>
      <c r="P1365">
        <f>IF(ISNUMBER(I1365),I1365+ROW()/10000000,"")</f>
        <v/>
      </c>
      <c r="Q1365">
        <f>IF(AND(ISNUMBER(P1365),ISNUMBER(A1365)),IF(AND(A1365&gt;=Dashboard!$Q$3,A1365&lt;=Dashboard!$Q$4,OR(J1365&lt;&gt;"Yes",Dashboard!$Q$15="Yes")),P1365,""),"")</f>
        <v/>
      </c>
    </row>
    <row r="1366">
      <c r="A1366" s="47" t="n"/>
      <c r="B1366" s="48" t="n"/>
      <c r="C1366" s="48" t="n"/>
      <c r="D1366" s="48" t="n"/>
      <c r="E1366" s="48" t="n"/>
      <c r="F1366" s="48" t="n"/>
      <c r="G1366" s="48" t="n"/>
      <c r="H1366" s="48" t="n"/>
      <c r="I1366" s="49" t="n"/>
      <c r="J1366" s="50" t="n"/>
      <c r="K1366" s="48" t="n"/>
      <c r="L1366" s="51">
        <f>IF(A1366="","",DATE(YEAR(A1366),MONTH(A1366),1))</f>
        <v/>
      </c>
      <c r="M1366" s="52">
        <f>IF(OR(A1366="",NOT(ISNUMBER(I1366))),"",IF(G1366=Lists!$B$5,I1366/2,IF(G1366=Lists!$B$6,I1366,0)))</f>
        <v/>
      </c>
      <c r="N1366" s="52">
        <f>IF(OR(A1366="",NOT(ISNUMBER(I1366))),"",IF(G1366=Lists!$B$5,I1366/2,IF(G1366=Lists!$B$7,I1366,0)))</f>
        <v/>
      </c>
      <c r="O1366" s="53">
        <f>IF(COUNTA(A1366:K1366)=0,"",IF(OR(A1366="",B1366="",C1366="",D1366="",E1366="",F1366="",G1366="",NOT(ISNUMBER(I1366))),"Incomplete",IF(COUNTIF(Lists!$H$4:$AA$4,C1366)=0,"Check category",IF(COUNTIF(INDEX(Lists!$H$6:$AA$45,0,MATCH(C1366,Lists!$H$4:$AA$4,0)),D1366)=0,"Check sub-category","OK"))))</f>
        <v/>
      </c>
      <c r="P1366">
        <f>IF(ISNUMBER(I1366),I1366+ROW()/10000000,"")</f>
        <v/>
      </c>
      <c r="Q1366">
        <f>IF(AND(ISNUMBER(P1366),ISNUMBER(A1366)),IF(AND(A1366&gt;=Dashboard!$Q$3,A1366&lt;=Dashboard!$Q$4,OR(J1366&lt;&gt;"Yes",Dashboard!$Q$15="Yes")),P1366,""),"")</f>
        <v/>
      </c>
    </row>
    <row r="1367">
      <c r="A1367" s="47" t="n"/>
      <c r="B1367" s="48" t="n"/>
      <c r="C1367" s="48" t="n"/>
      <c r="D1367" s="48" t="n"/>
      <c r="E1367" s="48" t="n"/>
      <c r="F1367" s="48" t="n"/>
      <c r="G1367" s="48" t="n"/>
      <c r="H1367" s="48" t="n"/>
      <c r="I1367" s="49" t="n"/>
      <c r="J1367" s="50" t="n"/>
      <c r="K1367" s="48" t="n"/>
      <c r="L1367" s="51">
        <f>IF(A1367="","",DATE(YEAR(A1367),MONTH(A1367),1))</f>
        <v/>
      </c>
      <c r="M1367" s="52">
        <f>IF(OR(A1367="",NOT(ISNUMBER(I1367))),"",IF(G1367=Lists!$B$5,I1367/2,IF(G1367=Lists!$B$6,I1367,0)))</f>
        <v/>
      </c>
      <c r="N1367" s="52">
        <f>IF(OR(A1367="",NOT(ISNUMBER(I1367))),"",IF(G1367=Lists!$B$5,I1367/2,IF(G1367=Lists!$B$7,I1367,0)))</f>
        <v/>
      </c>
      <c r="O1367" s="53">
        <f>IF(COUNTA(A1367:K1367)=0,"",IF(OR(A1367="",B1367="",C1367="",D1367="",E1367="",F1367="",G1367="",NOT(ISNUMBER(I1367))),"Incomplete",IF(COUNTIF(Lists!$H$4:$AA$4,C1367)=0,"Check category",IF(COUNTIF(INDEX(Lists!$H$6:$AA$45,0,MATCH(C1367,Lists!$H$4:$AA$4,0)),D1367)=0,"Check sub-category","OK"))))</f>
        <v/>
      </c>
      <c r="P1367">
        <f>IF(ISNUMBER(I1367),I1367+ROW()/10000000,"")</f>
        <v/>
      </c>
      <c r="Q1367">
        <f>IF(AND(ISNUMBER(P1367),ISNUMBER(A1367)),IF(AND(A1367&gt;=Dashboard!$Q$3,A1367&lt;=Dashboard!$Q$4,OR(J1367&lt;&gt;"Yes",Dashboard!$Q$15="Yes")),P1367,""),"")</f>
        <v/>
      </c>
    </row>
    <row r="1368">
      <c r="A1368" s="47" t="n"/>
      <c r="B1368" s="48" t="n"/>
      <c r="C1368" s="48" t="n"/>
      <c r="D1368" s="48" t="n"/>
      <c r="E1368" s="48" t="n"/>
      <c r="F1368" s="48" t="n"/>
      <c r="G1368" s="48" t="n"/>
      <c r="H1368" s="48" t="n"/>
      <c r="I1368" s="49" t="n"/>
      <c r="J1368" s="50" t="n"/>
      <c r="K1368" s="48" t="n"/>
      <c r="L1368" s="51">
        <f>IF(A1368="","",DATE(YEAR(A1368),MONTH(A1368),1))</f>
        <v/>
      </c>
      <c r="M1368" s="52">
        <f>IF(OR(A1368="",NOT(ISNUMBER(I1368))),"",IF(G1368=Lists!$B$5,I1368/2,IF(G1368=Lists!$B$6,I1368,0)))</f>
        <v/>
      </c>
      <c r="N1368" s="52">
        <f>IF(OR(A1368="",NOT(ISNUMBER(I1368))),"",IF(G1368=Lists!$B$5,I1368/2,IF(G1368=Lists!$B$7,I1368,0)))</f>
        <v/>
      </c>
      <c r="O1368" s="53">
        <f>IF(COUNTA(A1368:K1368)=0,"",IF(OR(A1368="",B1368="",C1368="",D1368="",E1368="",F1368="",G1368="",NOT(ISNUMBER(I1368))),"Incomplete",IF(COUNTIF(Lists!$H$4:$AA$4,C1368)=0,"Check category",IF(COUNTIF(INDEX(Lists!$H$6:$AA$45,0,MATCH(C1368,Lists!$H$4:$AA$4,0)),D1368)=0,"Check sub-category","OK"))))</f>
        <v/>
      </c>
      <c r="P1368">
        <f>IF(ISNUMBER(I1368),I1368+ROW()/10000000,"")</f>
        <v/>
      </c>
      <c r="Q1368">
        <f>IF(AND(ISNUMBER(P1368),ISNUMBER(A1368)),IF(AND(A1368&gt;=Dashboard!$Q$3,A1368&lt;=Dashboard!$Q$4,OR(J1368&lt;&gt;"Yes",Dashboard!$Q$15="Yes")),P1368,""),"")</f>
        <v/>
      </c>
    </row>
    <row r="1369">
      <c r="A1369" s="47" t="n"/>
      <c r="B1369" s="48" t="n"/>
      <c r="C1369" s="48" t="n"/>
      <c r="D1369" s="48" t="n"/>
      <c r="E1369" s="48" t="n"/>
      <c r="F1369" s="48" t="n"/>
      <c r="G1369" s="48" t="n"/>
      <c r="H1369" s="48" t="n"/>
      <c r="I1369" s="49" t="n"/>
      <c r="J1369" s="50" t="n"/>
      <c r="K1369" s="48" t="n"/>
      <c r="L1369" s="51">
        <f>IF(A1369="","",DATE(YEAR(A1369),MONTH(A1369),1))</f>
        <v/>
      </c>
      <c r="M1369" s="52">
        <f>IF(OR(A1369="",NOT(ISNUMBER(I1369))),"",IF(G1369=Lists!$B$5,I1369/2,IF(G1369=Lists!$B$6,I1369,0)))</f>
        <v/>
      </c>
      <c r="N1369" s="52">
        <f>IF(OR(A1369="",NOT(ISNUMBER(I1369))),"",IF(G1369=Lists!$B$5,I1369/2,IF(G1369=Lists!$B$7,I1369,0)))</f>
        <v/>
      </c>
      <c r="O1369" s="53">
        <f>IF(COUNTA(A1369:K1369)=0,"",IF(OR(A1369="",B1369="",C1369="",D1369="",E1369="",F1369="",G1369="",NOT(ISNUMBER(I1369))),"Incomplete",IF(COUNTIF(Lists!$H$4:$AA$4,C1369)=0,"Check category",IF(COUNTIF(INDEX(Lists!$H$6:$AA$45,0,MATCH(C1369,Lists!$H$4:$AA$4,0)),D1369)=0,"Check sub-category","OK"))))</f>
        <v/>
      </c>
      <c r="P1369">
        <f>IF(ISNUMBER(I1369),I1369+ROW()/10000000,"")</f>
        <v/>
      </c>
      <c r="Q1369">
        <f>IF(AND(ISNUMBER(P1369),ISNUMBER(A1369)),IF(AND(A1369&gt;=Dashboard!$Q$3,A1369&lt;=Dashboard!$Q$4,OR(J1369&lt;&gt;"Yes",Dashboard!$Q$15="Yes")),P1369,""),"")</f>
        <v/>
      </c>
    </row>
    <row r="1370">
      <c r="A1370" s="47" t="n"/>
      <c r="B1370" s="48" t="n"/>
      <c r="C1370" s="48" t="n"/>
      <c r="D1370" s="48" t="n"/>
      <c r="E1370" s="48" t="n"/>
      <c r="F1370" s="48" t="n"/>
      <c r="G1370" s="48" t="n"/>
      <c r="H1370" s="48" t="n"/>
      <c r="I1370" s="49" t="n"/>
      <c r="J1370" s="50" t="n"/>
      <c r="K1370" s="48" t="n"/>
      <c r="L1370" s="51">
        <f>IF(A1370="","",DATE(YEAR(A1370),MONTH(A1370),1))</f>
        <v/>
      </c>
      <c r="M1370" s="52">
        <f>IF(OR(A1370="",NOT(ISNUMBER(I1370))),"",IF(G1370=Lists!$B$5,I1370/2,IF(G1370=Lists!$B$6,I1370,0)))</f>
        <v/>
      </c>
      <c r="N1370" s="52">
        <f>IF(OR(A1370="",NOT(ISNUMBER(I1370))),"",IF(G1370=Lists!$B$5,I1370/2,IF(G1370=Lists!$B$7,I1370,0)))</f>
        <v/>
      </c>
      <c r="O1370" s="53">
        <f>IF(COUNTA(A1370:K1370)=0,"",IF(OR(A1370="",B1370="",C1370="",D1370="",E1370="",F1370="",G1370="",NOT(ISNUMBER(I1370))),"Incomplete",IF(COUNTIF(Lists!$H$4:$AA$4,C1370)=0,"Check category",IF(COUNTIF(INDEX(Lists!$H$6:$AA$45,0,MATCH(C1370,Lists!$H$4:$AA$4,0)),D1370)=0,"Check sub-category","OK"))))</f>
        <v/>
      </c>
      <c r="P1370">
        <f>IF(ISNUMBER(I1370),I1370+ROW()/10000000,"")</f>
        <v/>
      </c>
      <c r="Q1370">
        <f>IF(AND(ISNUMBER(P1370),ISNUMBER(A1370)),IF(AND(A1370&gt;=Dashboard!$Q$3,A1370&lt;=Dashboard!$Q$4,OR(J1370&lt;&gt;"Yes",Dashboard!$Q$15="Yes")),P1370,""),"")</f>
        <v/>
      </c>
    </row>
    <row r="1371">
      <c r="A1371" s="47" t="n"/>
      <c r="B1371" s="48" t="n"/>
      <c r="C1371" s="48" t="n"/>
      <c r="D1371" s="48" t="n"/>
      <c r="E1371" s="48" t="n"/>
      <c r="F1371" s="48" t="n"/>
      <c r="G1371" s="48" t="n"/>
      <c r="H1371" s="48" t="n"/>
      <c r="I1371" s="49" t="n"/>
      <c r="J1371" s="50" t="n"/>
      <c r="K1371" s="48" t="n"/>
      <c r="L1371" s="51">
        <f>IF(A1371="","",DATE(YEAR(A1371),MONTH(A1371),1))</f>
        <v/>
      </c>
      <c r="M1371" s="52">
        <f>IF(OR(A1371="",NOT(ISNUMBER(I1371))),"",IF(G1371=Lists!$B$5,I1371/2,IF(G1371=Lists!$B$6,I1371,0)))</f>
        <v/>
      </c>
      <c r="N1371" s="52">
        <f>IF(OR(A1371="",NOT(ISNUMBER(I1371))),"",IF(G1371=Lists!$B$5,I1371/2,IF(G1371=Lists!$B$7,I1371,0)))</f>
        <v/>
      </c>
      <c r="O1371" s="53">
        <f>IF(COUNTA(A1371:K1371)=0,"",IF(OR(A1371="",B1371="",C1371="",D1371="",E1371="",F1371="",G1371="",NOT(ISNUMBER(I1371))),"Incomplete",IF(COUNTIF(Lists!$H$4:$AA$4,C1371)=0,"Check category",IF(COUNTIF(INDEX(Lists!$H$6:$AA$45,0,MATCH(C1371,Lists!$H$4:$AA$4,0)),D1371)=0,"Check sub-category","OK"))))</f>
        <v/>
      </c>
      <c r="P1371">
        <f>IF(ISNUMBER(I1371),I1371+ROW()/10000000,"")</f>
        <v/>
      </c>
      <c r="Q1371">
        <f>IF(AND(ISNUMBER(P1371),ISNUMBER(A1371)),IF(AND(A1371&gt;=Dashboard!$Q$3,A1371&lt;=Dashboard!$Q$4,OR(J1371&lt;&gt;"Yes",Dashboard!$Q$15="Yes")),P1371,""),"")</f>
        <v/>
      </c>
    </row>
    <row r="1372">
      <c r="A1372" s="47" t="n"/>
      <c r="B1372" s="48" t="n"/>
      <c r="C1372" s="48" t="n"/>
      <c r="D1372" s="48" t="n"/>
      <c r="E1372" s="48" t="n"/>
      <c r="F1372" s="48" t="n"/>
      <c r="G1372" s="48" t="n"/>
      <c r="H1372" s="48" t="n"/>
      <c r="I1372" s="49" t="n"/>
      <c r="J1372" s="50" t="n"/>
      <c r="K1372" s="48" t="n"/>
      <c r="L1372" s="51">
        <f>IF(A1372="","",DATE(YEAR(A1372),MONTH(A1372),1))</f>
        <v/>
      </c>
      <c r="M1372" s="52">
        <f>IF(OR(A1372="",NOT(ISNUMBER(I1372))),"",IF(G1372=Lists!$B$5,I1372/2,IF(G1372=Lists!$B$6,I1372,0)))</f>
        <v/>
      </c>
      <c r="N1372" s="52">
        <f>IF(OR(A1372="",NOT(ISNUMBER(I1372))),"",IF(G1372=Lists!$B$5,I1372/2,IF(G1372=Lists!$B$7,I1372,0)))</f>
        <v/>
      </c>
      <c r="O1372" s="53">
        <f>IF(COUNTA(A1372:K1372)=0,"",IF(OR(A1372="",B1372="",C1372="",D1372="",E1372="",F1372="",G1372="",NOT(ISNUMBER(I1372))),"Incomplete",IF(COUNTIF(Lists!$H$4:$AA$4,C1372)=0,"Check category",IF(COUNTIF(INDEX(Lists!$H$6:$AA$45,0,MATCH(C1372,Lists!$H$4:$AA$4,0)),D1372)=0,"Check sub-category","OK"))))</f>
        <v/>
      </c>
      <c r="P1372">
        <f>IF(ISNUMBER(I1372),I1372+ROW()/10000000,"")</f>
        <v/>
      </c>
      <c r="Q1372">
        <f>IF(AND(ISNUMBER(P1372),ISNUMBER(A1372)),IF(AND(A1372&gt;=Dashboard!$Q$3,A1372&lt;=Dashboard!$Q$4,OR(J1372&lt;&gt;"Yes",Dashboard!$Q$15="Yes")),P1372,""),"")</f>
        <v/>
      </c>
    </row>
    <row r="1373">
      <c r="A1373" s="47" t="n"/>
      <c r="B1373" s="48" t="n"/>
      <c r="C1373" s="48" t="n"/>
      <c r="D1373" s="48" t="n"/>
      <c r="E1373" s="48" t="n"/>
      <c r="F1373" s="48" t="n"/>
      <c r="G1373" s="48" t="n"/>
      <c r="H1373" s="48" t="n"/>
      <c r="I1373" s="49" t="n"/>
      <c r="J1373" s="50" t="n"/>
      <c r="K1373" s="48" t="n"/>
      <c r="L1373" s="51">
        <f>IF(A1373="","",DATE(YEAR(A1373),MONTH(A1373),1))</f>
        <v/>
      </c>
      <c r="M1373" s="52">
        <f>IF(OR(A1373="",NOT(ISNUMBER(I1373))),"",IF(G1373=Lists!$B$5,I1373/2,IF(G1373=Lists!$B$6,I1373,0)))</f>
        <v/>
      </c>
      <c r="N1373" s="52">
        <f>IF(OR(A1373="",NOT(ISNUMBER(I1373))),"",IF(G1373=Lists!$B$5,I1373/2,IF(G1373=Lists!$B$7,I1373,0)))</f>
        <v/>
      </c>
      <c r="O1373" s="53">
        <f>IF(COUNTA(A1373:K1373)=0,"",IF(OR(A1373="",B1373="",C1373="",D1373="",E1373="",F1373="",G1373="",NOT(ISNUMBER(I1373))),"Incomplete",IF(COUNTIF(Lists!$H$4:$AA$4,C1373)=0,"Check category",IF(COUNTIF(INDEX(Lists!$H$6:$AA$45,0,MATCH(C1373,Lists!$H$4:$AA$4,0)),D1373)=0,"Check sub-category","OK"))))</f>
        <v/>
      </c>
      <c r="P1373">
        <f>IF(ISNUMBER(I1373),I1373+ROW()/10000000,"")</f>
        <v/>
      </c>
      <c r="Q1373">
        <f>IF(AND(ISNUMBER(P1373),ISNUMBER(A1373)),IF(AND(A1373&gt;=Dashboard!$Q$3,A1373&lt;=Dashboard!$Q$4,OR(J1373&lt;&gt;"Yes",Dashboard!$Q$15="Yes")),P1373,""),"")</f>
        <v/>
      </c>
    </row>
    <row r="1374">
      <c r="A1374" s="47" t="n"/>
      <c r="B1374" s="48" t="n"/>
      <c r="C1374" s="48" t="n"/>
      <c r="D1374" s="48" t="n"/>
      <c r="E1374" s="48" t="n"/>
      <c r="F1374" s="48" t="n"/>
      <c r="G1374" s="48" t="n"/>
      <c r="H1374" s="48" t="n"/>
      <c r="I1374" s="49" t="n"/>
      <c r="J1374" s="50" t="n"/>
      <c r="K1374" s="48" t="n"/>
      <c r="L1374" s="51">
        <f>IF(A1374="","",DATE(YEAR(A1374),MONTH(A1374),1))</f>
        <v/>
      </c>
      <c r="M1374" s="52">
        <f>IF(OR(A1374="",NOT(ISNUMBER(I1374))),"",IF(G1374=Lists!$B$5,I1374/2,IF(G1374=Lists!$B$6,I1374,0)))</f>
        <v/>
      </c>
      <c r="N1374" s="52">
        <f>IF(OR(A1374="",NOT(ISNUMBER(I1374))),"",IF(G1374=Lists!$B$5,I1374/2,IF(G1374=Lists!$B$7,I1374,0)))</f>
        <v/>
      </c>
      <c r="O1374" s="53">
        <f>IF(COUNTA(A1374:K1374)=0,"",IF(OR(A1374="",B1374="",C1374="",D1374="",E1374="",F1374="",G1374="",NOT(ISNUMBER(I1374))),"Incomplete",IF(COUNTIF(Lists!$H$4:$AA$4,C1374)=0,"Check category",IF(COUNTIF(INDEX(Lists!$H$6:$AA$45,0,MATCH(C1374,Lists!$H$4:$AA$4,0)),D1374)=0,"Check sub-category","OK"))))</f>
        <v/>
      </c>
      <c r="P1374">
        <f>IF(ISNUMBER(I1374),I1374+ROW()/10000000,"")</f>
        <v/>
      </c>
      <c r="Q1374">
        <f>IF(AND(ISNUMBER(P1374),ISNUMBER(A1374)),IF(AND(A1374&gt;=Dashboard!$Q$3,A1374&lt;=Dashboard!$Q$4,OR(J1374&lt;&gt;"Yes",Dashboard!$Q$15="Yes")),P1374,""),"")</f>
        <v/>
      </c>
    </row>
    <row r="1375">
      <c r="A1375" s="47" t="n"/>
      <c r="B1375" s="48" t="n"/>
      <c r="C1375" s="48" t="n"/>
      <c r="D1375" s="48" t="n"/>
      <c r="E1375" s="48" t="n"/>
      <c r="F1375" s="48" t="n"/>
      <c r="G1375" s="48" t="n"/>
      <c r="H1375" s="48" t="n"/>
      <c r="I1375" s="49" t="n"/>
      <c r="J1375" s="50" t="n"/>
      <c r="K1375" s="48" t="n"/>
      <c r="L1375" s="51">
        <f>IF(A1375="","",DATE(YEAR(A1375),MONTH(A1375),1))</f>
        <v/>
      </c>
      <c r="M1375" s="52">
        <f>IF(OR(A1375="",NOT(ISNUMBER(I1375))),"",IF(G1375=Lists!$B$5,I1375/2,IF(G1375=Lists!$B$6,I1375,0)))</f>
        <v/>
      </c>
      <c r="N1375" s="52">
        <f>IF(OR(A1375="",NOT(ISNUMBER(I1375))),"",IF(G1375=Lists!$B$5,I1375/2,IF(G1375=Lists!$B$7,I1375,0)))</f>
        <v/>
      </c>
      <c r="O1375" s="53">
        <f>IF(COUNTA(A1375:K1375)=0,"",IF(OR(A1375="",B1375="",C1375="",D1375="",E1375="",F1375="",G1375="",NOT(ISNUMBER(I1375))),"Incomplete",IF(COUNTIF(Lists!$H$4:$AA$4,C1375)=0,"Check category",IF(COUNTIF(INDEX(Lists!$H$6:$AA$45,0,MATCH(C1375,Lists!$H$4:$AA$4,0)),D1375)=0,"Check sub-category","OK"))))</f>
        <v/>
      </c>
      <c r="P1375">
        <f>IF(ISNUMBER(I1375),I1375+ROW()/10000000,"")</f>
        <v/>
      </c>
      <c r="Q1375">
        <f>IF(AND(ISNUMBER(P1375),ISNUMBER(A1375)),IF(AND(A1375&gt;=Dashboard!$Q$3,A1375&lt;=Dashboard!$Q$4,OR(J1375&lt;&gt;"Yes",Dashboard!$Q$15="Yes")),P1375,""),"")</f>
        <v/>
      </c>
    </row>
    <row r="1376">
      <c r="A1376" s="47" t="n"/>
      <c r="B1376" s="48" t="n"/>
      <c r="C1376" s="48" t="n"/>
      <c r="D1376" s="48" t="n"/>
      <c r="E1376" s="48" t="n"/>
      <c r="F1376" s="48" t="n"/>
      <c r="G1376" s="48" t="n"/>
      <c r="H1376" s="48" t="n"/>
      <c r="I1376" s="49" t="n"/>
      <c r="J1376" s="50" t="n"/>
      <c r="K1376" s="48" t="n"/>
      <c r="L1376" s="51">
        <f>IF(A1376="","",DATE(YEAR(A1376),MONTH(A1376),1))</f>
        <v/>
      </c>
      <c r="M1376" s="52">
        <f>IF(OR(A1376="",NOT(ISNUMBER(I1376))),"",IF(G1376=Lists!$B$5,I1376/2,IF(G1376=Lists!$B$6,I1376,0)))</f>
        <v/>
      </c>
      <c r="N1376" s="52">
        <f>IF(OR(A1376="",NOT(ISNUMBER(I1376))),"",IF(G1376=Lists!$B$5,I1376/2,IF(G1376=Lists!$B$7,I1376,0)))</f>
        <v/>
      </c>
      <c r="O1376" s="53">
        <f>IF(COUNTA(A1376:K1376)=0,"",IF(OR(A1376="",B1376="",C1376="",D1376="",E1376="",F1376="",G1376="",NOT(ISNUMBER(I1376))),"Incomplete",IF(COUNTIF(Lists!$H$4:$AA$4,C1376)=0,"Check category",IF(COUNTIF(INDEX(Lists!$H$6:$AA$45,0,MATCH(C1376,Lists!$H$4:$AA$4,0)),D1376)=0,"Check sub-category","OK"))))</f>
        <v/>
      </c>
      <c r="P1376">
        <f>IF(ISNUMBER(I1376),I1376+ROW()/10000000,"")</f>
        <v/>
      </c>
      <c r="Q1376">
        <f>IF(AND(ISNUMBER(P1376),ISNUMBER(A1376)),IF(AND(A1376&gt;=Dashboard!$Q$3,A1376&lt;=Dashboard!$Q$4,OR(J1376&lt;&gt;"Yes",Dashboard!$Q$15="Yes")),P1376,""),"")</f>
        <v/>
      </c>
    </row>
    <row r="1377">
      <c r="A1377" s="47" t="n"/>
      <c r="B1377" s="48" t="n"/>
      <c r="C1377" s="48" t="n"/>
      <c r="D1377" s="48" t="n"/>
      <c r="E1377" s="48" t="n"/>
      <c r="F1377" s="48" t="n"/>
      <c r="G1377" s="48" t="n"/>
      <c r="H1377" s="48" t="n"/>
      <c r="I1377" s="49" t="n"/>
      <c r="J1377" s="50" t="n"/>
      <c r="K1377" s="48" t="n"/>
      <c r="L1377" s="51">
        <f>IF(A1377="","",DATE(YEAR(A1377),MONTH(A1377),1))</f>
        <v/>
      </c>
      <c r="M1377" s="52">
        <f>IF(OR(A1377="",NOT(ISNUMBER(I1377))),"",IF(G1377=Lists!$B$5,I1377/2,IF(G1377=Lists!$B$6,I1377,0)))</f>
        <v/>
      </c>
      <c r="N1377" s="52">
        <f>IF(OR(A1377="",NOT(ISNUMBER(I1377))),"",IF(G1377=Lists!$B$5,I1377/2,IF(G1377=Lists!$B$7,I1377,0)))</f>
        <v/>
      </c>
      <c r="O1377" s="53">
        <f>IF(COUNTA(A1377:K1377)=0,"",IF(OR(A1377="",B1377="",C1377="",D1377="",E1377="",F1377="",G1377="",NOT(ISNUMBER(I1377))),"Incomplete",IF(COUNTIF(Lists!$H$4:$AA$4,C1377)=0,"Check category",IF(COUNTIF(INDEX(Lists!$H$6:$AA$45,0,MATCH(C1377,Lists!$H$4:$AA$4,0)),D1377)=0,"Check sub-category","OK"))))</f>
        <v/>
      </c>
      <c r="P1377">
        <f>IF(ISNUMBER(I1377),I1377+ROW()/10000000,"")</f>
        <v/>
      </c>
      <c r="Q1377">
        <f>IF(AND(ISNUMBER(P1377),ISNUMBER(A1377)),IF(AND(A1377&gt;=Dashboard!$Q$3,A1377&lt;=Dashboard!$Q$4,OR(J1377&lt;&gt;"Yes",Dashboard!$Q$15="Yes")),P1377,""),"")</f>
        <v/>
      </c>
    </row>
    <row r="1378">
      <c r="A1378" s="47" t="n"/>
      <c r="B1378" s="48" t="n"/>
      <c r="C1378" s="48" t="n"/>
      <c r="D1378" s="48" t="n"/>
      <c r="E1378" s="48" t="n"/>
      <c r="F1378" s="48" t="n"/>
      <c r="G1378" s="48" t="n"/>
      <c r="H1378" s="48" t="n"/>
      <c r="I1378" s="49" t="n"/>
      <c r="J1378" s="50" t="n"/>
      <c r="K1378" s="48" t="n"/>
      <c r="L1378" s="51">
        <f>IF(A1378="","",DATE(YEAR(A1378),MONTH(A1378),1))</f>
        <v/>
      </c>
      <c r="M1378" s="52">
        <f>IF(OR(A1378="",NOT(ISNUMBER(I1378))),"",IF(G1378=Lists!$B$5,I1378/2,IF(G1378=Lists!$B$6,I1378,0)))</f>
        <v/>
      </c>
      <c r="N1378" s="52">
        <f>IF(OR(A1378="",NOT(ISNUMBER(I1378))),"",IF(G1378=Lists!$B$5,I1378/2,IF(G1378=Lists!$B$7,I1378,0)))</f>
        <v/>
      </c>
      <c r="O1378" s="53">
        <f>IF(COUNTA(A1378:K1378)=0,"",IF(OR(A1378="",B1378="",C1378="",D1378="",E1378="",F1378="",G1378="",NOT(ISNUMBER(I1378))),"Incomplete",IF(COUNTIF(Lists!$H$4:$AA$4,C1378)=0,"Check category",IF(COUNTIF(INDEX(Lists!$H$6:$AA$45,0,MATCH(C1378,Lists!$H$4:$AA$4,0)),D1378)=0,"Check sub-category","OK"))))</f>
        <v/>
      </c>
      <c r="P1378">
        <f>IF(ISNUMBER(I1378),I1378+ROW()/10000000,"")</f>
        <v/>
      </c>
      <c r="Q1378">
        <f>IF(AND(ISNUMBER(P1378),ISNUMBER(A1378)),IF(AND(A1378&gt;=Dashboard!$Q$3,A1378&lt;=Dashboard!$Q$4,OR(J1378&lt;&gt;"Yes",Dashboard!$Q$15="Yes")),P1378,""),"")</f>
        <v/>
      </c>
    </row>
    <row r="1379">
      <c r="A1379" s="47" t="n"/>
      <c r="B1379" s="48" t="n"/>
      <c r="C1379" s="48" t="n"/>
      <c r="D1379" s="48" t="n"/>
      <c r="E1379" s="48" t="n"/>
      <c r="F1379" s="48" t="n"/>
      <c r="G1379" s="48" t="n"/>
      <c r="H1379" s="48" t="n"/>
      <c r="I1379" s="49" t="n"/>
      <c r="J1379" s="50" t="n"/>
      <c r="K1379" s="48" t="n"/>
      <c r="L1379" s="51">
        <f>IF(A1379="","",DATE(YEAR(A1379),MONTH(A1379),1))</f>
        <v/>
      </c>
      <c r="M1379" s="52">
        <f>IF(OR(A1379="",NOT(ISNUMBER(I1379))),"",IF(G1379=Lists!$B$5,I1379/2,IF(G1379=Lists!$B$6,I1379,0)))</f>
        <v/>
      </c>
      <c r="N1379" s="52">
        <f>IF(OR(A1379="",NOT(ISNUMBER(I1379))),"",IF(G1379=Lists!$B$5,I1379/2,IF(G1379=Lists!$B$7,I1379,0)))</f>
        <v/>
      </c>
      <c r="O1379" s="53">
        <f>IF(COUNTA(A1379:K1379)=0,"",IF(OR(A1379="",B1379="",C1379="",D1379="",E1379="",F1379="",G1379="",NOT(ISNUMBER(I1379))),"Incomplete",IF(COUNTIF(Lists!$H$4:$AA$4,C1379)=0,"Check category",IF(COUNTIF(INDEX(Lists!$H$6:$AA$45,0,MATCH(C1379,Lists!$H$4:$AA$4,0)),D1379)=0,"Check sub-category","OK"))))</f>
        <v/>
      </c>
      <c r="P1379">
        <f>IF(ISNUMBER(I1379),I1379+ROW()/10000000,"")</f>
        <v/>
      </c>
      <c r="Q1379">
        <f>IF(AND(ISNUMBER(P1379),ISNUMBER(A1379)),IF(AND(A1379&gt;=Dashboard!$Q$3,A1379&lt;=Dashboard!$Q$4,OR(J1379&lt;&gt;"Yes",Dashboard!$Q$15="Yes")),P1379,""),"")</f>
        <v/>
      </c>
    </row>
    <row r="1380">
      <c r="A1380" s="47" t="n"/>
      <c r="B1380" s="48" t="n"/>
      <c r="C1380" s="48" t="n"/>
      <c r="D1380" s="48" t="n"/>
      <c r="E1380" s="48" t="n"/>
      <c r="F1380" s="48" t="n"/>
      <c r="G1380" s="48" t="n"/>
      <c r="H1380" s="48" t="n"/>
      <c r="I1380" s="49" t="n"/>
      <c r="J1380" s="50" t="n"/>
      <c r="K1380" s="48" t="n"/>
      <c r="L1380" s="51">
        <f>IF(A1380="","",DATE(YEAR(A1380),MONTH(A1380),1))</f>
        <v/>
      </c>
      <c r="M1380" s="52">
        <f>IF(OR(A1380="",NOT(ISNUMBER(I1380))),"",IF(G1380=Lists!$B$5,I1380/2,IF(G1380=Lists!$B$6,I1380,0)))</f>
        <v/>
      </c>
      <c r="N1380" s="52">
        <f>IF(OR(A1380="",NOT(ISNUMBER(I1380))),"",IF(G1380=Lists!$B$5,I1380/2,IF(G1380=Lists!$B$7,I1380,0)))</f>
        <v/>
      </c>
      <c r="O1380" s="53">
        <f>IF(COUNTA(A1380:K1380)=0,"",IF(OR(A1380="",B1380="",C1380="",D1380="",E1380="",F1380="",G1380="",NOT(ISNUMBER(I1380))),"Incomplete",IF(COUNTIF(Lists!$H$4:$AA$4,C1380)=0,"Check category",IF(COUNTIF(INDEX(Lists!$H$6:$AA$45,0,MATCH(C1380,Lists!$H$4:$AA$4,0)),D1380)=0,"Check sub-category","OK"))))</f>
        <v/>
      </c>
      <c r="P1380">
        <f>IF(ISNUMBER(I1380),I1380+ROW()/10000000,"")</f>
        <v/>
      </c>
      <c r="Q1380">
        <f>IF(AND(ISNUMBER(P1380),ISNUMBER(A1380)),IF(AND(A1380&gt;=Dashboard!$Q$3,A1380&lt;=Dashboard!$Q$4,OR(J1380&lt;&gt;"Yes",Dashboard!$Q$15="Yes")),P1380,""),"")</f>
        <v/>
      </c>
    </row>
    <row r="1381">
      <c r="A1381" s="47" t="n"/>
      <c r="B1381" s="48" t="n"/>
      <c r="C1381" s="48" t="n"/>
      <c r="D1381" s="48" t="n"/>
      <c r="E1381" s="48" t="n"/>
      <c r="F1381" s="48" t="n"/>
      <c r="G1381" s="48" t="n"/>
      <c r="H1381" s="48" t="n"/>
      <c r="I1381" s="49" t="n"/>
      <c r="J1381" s="50" t="n"/>
      <c r="K1381" s="48" t="n"/>
      <c r="L1381" s="51">
        <f>IF(A1381="","",DATE(YEAR(A1381),MONTH(A1381),1))</f>
        <v/>
      </c>
      <c r="M1381" s="52">
        <f>IF(OR(A1381="",NOT(ISNUMBER(I1381))),"",IF(G1381=Lists!$B$5,I1381/2,IF(G1381=Lists!$B$6,I1381,0)))</f>
        <v/>
      </c>
      <c r="N1381" s="52">
        <f>IF(OR(A1381="",NOT(ISNUMBER(I1381))),"",IF(G1381=Lists!$B$5,I1381/2,IF(G1381=Lists!$B$7,I1381,0)))</f>
        <v/>
      </c>
      <c r="O1381" s="53">
        <f>IF(COUNTA(A1381:K1381)=0,"",IF(OR(A1381="",B1381="",C1381="",D1381="",E1381="",F1381="",G1381="",NOT(ISNUMBER(I1381))),"Incomplete",IF(COUNTIF(Lists!$H$4:$AA$4,C1381)=0,"Check category",IF(COUNTIF(INDEX(Lists!$H$6:$AA$45,0,MATCH(C1381,Lists!$H$4:$AA$4,0)),D1381)=0,"Check sub-category","OK"))))</f>
        <v/>
      </c>
      <c r="P1381">
        <f>IF(ISNUMBER(I1381),I1381+ROW()/10000000,"")</f>
        <v/>
      </c>
      <c r="Q1381">
        <f>IF(AND(ISNUMBER(P1381),ISNUMBER(A1381)),IF(AND(A1381&gt;=Dashboard!$Q$3,A1381&lt;=Dashboard!$Q$4,OR(J1381&lt;&gt;"Yes",Dashboard!$Q$15="Yes")),P1381,""),"")</f>
        <v/>
      </c>
    </row>
    <row r="1382">
      <c r="A1382" s="47" t="n"/>
      <c r="B1382" s="48" t="n"/>
      <c r="C1382" s="48" t="n"/>
      <c r="D1382" s="48" t="n"/>
      <c r="E1382" s="48" t="n"/>
      <c r="F1382" s="48" t="n"/>
      <c r="G1382" s="48" t="n"/>
      <c r="H1382" s="48" t="n"/>
      <c r="I1382" s="49" t="n"/>
      <c r="J1382" s="50" t="n"/>
      <c r="K1382" s="48" t="n"/>
      <c r="L1382" s="51">
        <f>IF(A1382="","",DATE(YEAR(A1382),MONTH(A1382),1))</f>
        <v/>
      </c>
      <c r="M1382" s="52">
        <f>IF(OR(A1382="",NOT(ISNUMBER(I1382))),"",IF(G1382=Lists!$B$5,I1382/2,IF(G1382=Lists!$B$6,I1382,0)))</f>
        <v/>
      </c>
      <c r="N1382" s="52">
        <f>IF(OR(A1382="",NOT(ISNUMBER(I1382))),"",IF(G1382=Lists!$B$5,I1382/2,IF(G1382=Lists!$B$7,I1382,0)))</f>
        <v/>
      </c>
      <c r="O1382" s="53">
        <f>IF(COUNTA(A1382:K1382)=0,"",IF(OR(A1382="",B1382="",C1382="",D1382="",E1382="",F1382="",G1382="",NOT(ISNUMBER(I1382))),"Incomplete",IF(COUNTIF(Lists!$H$4:$AA$4,C1382)=0,"Check category",IF(COUNTIF(INDEX(Lists!$H$6:$AA$45,0,MATCH(C1382,Lists!$H$4:$AA$4,0)),D1382)=0,"Check sub-category","OK"))))</f>
        <v/>
      </c>
      <c r="P1382">
        <f>IF(ISNUMBER(I1382),I1382+ROW()/10000000,"")</f>
        <v/>
      </c>
      <c r="Q1382">
        <f>IF(AND(ISNUMBER(P1382),ISNUMBER(A1382)),IF(AND(A1382&gt;=Dashboard!$Q$3,A1382&lt;=Dashboard!$Q$4,OR(J1382&lt;&gt;"Yes",Dashboard!$Q$15="Yes")),P1382,""),"")</f>
        <v/>
      </c>
    </row>
    <row r="1383">
      <c r="A1383" s="47" t="n"/>
      <c r="B1383" s="48" t="n"/>
      <c r="C1383" s="48" t="n"/>
      <c r="D1383" s="48" t="n"/>
      <c r="E1383" s="48" t="n"/>
      <c r="F1383" s="48" t="n"/>
      <c r="G1383" s="48" t="n"/>
      <c r="H1383" s="48" t="n"/>
      <c r="I1383" s="49" t="n"/>
      <c r="J1383" s="50" t="n"/>
      <c r="K1383" s="48" t="n"/>
      <c r="L1383" s="51">
        <f>IF(A1383="","",DATE(YEAR(A1383),MONTH(A1383),1))</f>
        <v/>
      </c>
      <c r="M1383" s="52">
        <f>IF(OR(A1383="",NOT(ISNUMBER(I1383))),"",IF(G1383=Lists!$B$5,I1383/2,IF(G1383=Lists!$B$6,I1383,0)))</f>
        <v/>
      </c>
      <c r="N1383" s="52">
        <f>IF(OR(A1383="",NOT(ISNUMBER(I1383))),"",IF(G1383=Lists!$B$5,I1383/2,IF(G1383=Lists!$B$7,I1383,0)))</f>
        <v/>
      </c>
      <c r="O1383" s="53">
        <f>IF(COUNTA(A1383:K1383)=0,"",IF(OR(A1383="",B1383="",C1383="",D1383="",E1383="",F1383="",G1383="",NOT(ISNUMBER(I1383))),"Incomplete",IF(COUNTIF(Lists!$H$4:$AA$4,C1383)=0,"Check category",IF(COUNTIF(INDEX(Lists!$H$6:$AA$45,0,MATCH(C1383,Lists!$H$4:$AA$4,0)),D1383)=0,"Check sub-category","OK"))))</f>
        <v/>
      </c>
      <c r="P1383">
        <f>IF(ISNUMBER(I1383),I1383+ROW()/10000000,"")</f>
        <v/>
      </c>
      <c r="Q1383">
        <f>IF(AND(ISNUMBER(P1383),ISNUMBER(A1383)),IF(AND(A1383&gt;=Dashboard!$Q$3,A1383&lt;=Dashboard!$Q$4,OR(J1383&lt;&gt;"Yes",Dashboard!$Q$15="Yes")),P1383,""),"")</f>
        <v/>
      </c>
    </row>
    <row r="1384">
      <c r="A1384" s="47" t="n"/>
      <c r="B1384" s="48" t="n"/>
      <c r="C1384" s="48" t="n"/>
      <c r="D1384" s="48" t="n"/>
      <c r="E1384" s="48" t="n"/>
      <c r="F1384" s="48" t="n"/>
      <c r="G1384" s="48" t="n"/>
      <c r="H1384" s="48" t="n"/>
      <c r="I1384" s="49" t="n"/>
      <c r="J1384" s="50" t="n"/>
      <c r="K1384" s="48" t="n"/>
      <c r="L1384" s="51">
        <f>IF(A1384="","",DATE(YEAR(A1384),MONTH(A1384),1))</f>
        <v/>
      </c>
      <c r="M1384" s="52">
        <f>IF(OR(A1384="",NOT(ISNUMBER(I1384))),"",IF(G1384=Lists!$B$5,I1384/2,IF(G1384=Lists!$B$6,I1384,0)))</f>
        <v/>
      </c>
      <c r="N1384" s="52">
        <f>IF(OR(A1384="",NOT(ISNUMBER(I1384))),"",IF(G1384=Lists!$B$5,I1384/2,IF(G1384=Lists!$B$7,I1384,0)))</f>
        <v/>
      </c>
      <c r="O1384" s="53">
        <f>IF(COUNTA(A1384:K1384)=0,"",IF(OR(A1384="",B1384="",C1384="",D1384="",E1384="",F1384="",G1384="",NOT(ISNUMBER(I1384))),"Incomplete",IF(COUNTIF(Lists!$H$4:$AA$4,C1384)=0,"Check category",IF(COUNTIF(INDEX(Lists!$H$6:$AA$45,0,MATCH(C1384,Lists!$H$4:$AA$4,0)),D1384)=0,"Check sub-category","OK"))))</f>
        <v/>
      </c>
      <c r="P1384">
        <f>IF(ISNUMBER(I1384),I1384+ROW()/10000000,"")</f>
        <v/>
      </c>
      <c r="Q1384">
        <f>IF(AND(ISNUMBER(P1384),ISNUMBER(A1384)),IF(AND(A1384&gt;=Dashboard!$Q$3,A1384&lt;=Dashboard!$Q$4,OR(J1384&lt;&gt;"Yes",Dashboard!$Q$15="Yes")),P1384,""),"")</f>
        <v/>
      </c>
    </row>
    <row r="1385">
      <c r="A1385" s="47" t="n"/>
      <c r="B1385" s="48" t="n"/>
      <c r="C1385" s="48" t="n"/>
      <c r="D1385" s="48" t="n"/>
      <c r="E1385" s="48" t="n"/>
      <c r="F1385" s="48" t="n"/>
      <c r="G1385" s="48" t="n"/>
      <c r="H1385" s="48" t="n"/>
      <c r="I1385" s="49" t="n"/>
      <c r="J1385" s="50" t="n"/>
      <c r="K1385" s="48" t="n"/>
      <c r="L1385" s="51">
        <f>IF(A1385="","",DATE(YEAR(A1385),MONTH(A1385),1))</f>
        <v/>
      </c>
      <c r="M1385" s="52">
        <f>IF(OR(A1385="",NOT(ISNUMBER(I1385))),"",IF(G1385=Lists!$B$5,I1385/2,IF(G1385=Lists!$B$6,I1385,0)))</f>
        <v/>
      </c>
      <c r="N1385" s="52">
        <f>IF(OR(A1385="",NOT(ISNUMBER(I1385))),"",IF(G1385=Lists!$B$5,I1385/2,IF(G1385=Lists!$B$7,I1385,0)))</f>
        <v/>
      </c>
      <c r="O1385" s="53">
        <f>IF(COUNTA(A1385:K1385)=0,"",IF(OR(A1385="",B1385="",C1385="",D1385="",E1385="",F1385="",G1385="",NOT(ISNUMBER(I1385))),"Incomplete",IF(COUNTIF(Lists!$H$4:$AA$4,C1385)=0,"Check category",IF(COUNTIF(INDEX(Lists!$H$6:$AA$45,0,MATCH(C1385,Lists!$H$4:$AA$4,0)),D1385)=0,"Check sub-category","OK"))))</f>
        <v/>
      </c>
      <c r="P1385">
        <f>IF(ISNUMBER(I1385),I1385+ROW()/10000000,"")</f>
        <v/>
      </c>
      <c r="Q1385">
        <f>IF(AND(ISNUMBER(P1385),ISNUMBER(A1385)),IF(AND(A1385&gt;=Dashboard!$Q$3,A1385&lt;=Dashboard!$Q$4,OR(J1385&lt;&gt;"Yes",Dashboard!$Q$15="Yes")),P1385,""),"")</f>
        <v/>
      </c>
    </row>
    <row r="1386">
      <c r="A1386" s="47" t="n"/>
      <c r="B1386" s="48" t="n"/>
      <c r="C1386" s="48" t="n"/>
      <c r="D1386" s="48" t="n"/>
      <c r="E1386" s="48" t="n"/>
      <c r="F1386" s="48" t="n"/>
      <c r="G1386" s="48" t="n"/>
      <c r="H1386" s="48" t="n"/>
      <c r="I1386" s="49" t="n"/>
      <c r="J1386" s="50" t="n"/>
      <c r="K1386" s="48" t="n"/>
      <c r="L1386" s="51">
        <f>IF(A1386="","",DATE(YEAR(A1386),MONTH(A1386),1))</f>
        <v/>
      </c>
      <c r="M1386" s="52">
        <f>IF(OR(A1386="",NOT(ISNUMBER(I1386))),"",IF(G1386=Lists!$B$5,I1386/2,IF(G1386=Lists!$B$6,I1386,0)))</f>
        <v/>
      </c>
      <c r="N1386" s="52">
        <f>IF(OR(A1386="",NOT(ISNUMBER(I1386))),"",IF(G1386=Lists!$B$5,I1386/2,IF(G1386=Lists!$B$7,I1386,0)))</f>
        <v/>
      </c>
      <c r="O1386" s="53">
        <f>IF(COUNTA(A1386:K1386)=0,"",IF(OR(A1386="",B1386="",C1386="",D1386="",E1386="",F1386="",G1386="",NOT(ISNUMBER(I1386))),"Incomplete",IF(COUNTIF(Lists!$H$4:$AA$4,C1386)=0,"Check category",IF(COUNTIF(INDEX(Lists!$H$6:$AA$45,0,MATCH(C1386,Lists!$H$4:$AA$4,0)),D1386)=0,"Check sub-category","OK"))))</f>
        <v/>
      </c>
      <c r="P1386">
        <f>IF(ISNUMBER(I1386),I1386+ROW()/10000000,"")</f>
        <v/>
      </c>
      <c r="Q1386">
        <f>IF(AND(ISNUMBER(P1386),ISNUMBER(A1386)),IF(AND(A1386&gt;=Dashboard!$Q$3,A1386&lt;=Dashboard!$Q$4,OR(J1386&lt;&gt;"Yes",Dashboard!$Q$15="Yes")),P1386,""),"")</f>
        <v/>
      </c>
    </row>
    <row r="1387">
      <c r="A1387" s="47" t="n"/>
      <c r="B1387" s="48" t="n"/>
      <c r="C1387" s="48" t="n"/>
      <c r="D1387" s="48" t="n"/>
      <c r="E1387" s="48" t="n"/>
      <c r="F1387" s="48" t="n"/>
      <c r="G1387" s="48" t="n"/>
      <c r="H1387" s="48" t="n"/>
      <c r="I1387" s="49" t="n"/>
      <c r="J1387" s="50" t="n"/>
      <c r="K1387" s="48" t="n"/>
      <c r="L1387" s="51">
        <f>IF(A1387="","",DATE(YEAR(A1387),MONTH(A1387),1))</f>
        <v/>
      </c>
      <c r="M1387" s="52">
        <f>IF(OR(A1387="",NOT(ISNUMBER(I1387))),"",IF(G1387=Lists!$B$5,I1387/2,IF(G1387=Lists!$B$6,I1387,0)))</f>
        <v/>
      </c>
      <c r="N1387" s="52">
        <f>IF(OR(A1387="",NOT(ISNUMBER(I1387))),"",IF(G1387=Lists!$B$5,I1387/2,IF(G1387=Lists!$B$7,I1387,0)))</f>
        <v/>
      </c>
      <c r="O1387" s="53">
        <f>IF(COUNTA(A1387:K1387)=0,"",IF(OR(A1387="",B1387="",C1387="",D1387="",E1387="",F1387="",G1387="",NOT(ISNUMBER(I1387))),"Incomplete",IF(COUNTIF(Lists!$H$4:$AA$4,C1387)=0,"Check category",IF(COUNTIF(INDEX(Lists!$H$6:$AA$45,0,MATCH(C1387,Lists!$H$4:$AA$4,0)),D1387)=0,"Check sub-category","OK"))))</f>
        <v/>
      </c>
      <c r="P1387">
        <f>IF(ISNUMBER(I1387),I1387+ROW()/10000000,"")</f>
        <v/>
      </c>
      <c r="Q1387">
        <f>IF(AND(ISNUMBER(P1387),ISNUMBER(A1387)),IF(AND(A1387&gt;=Dashboard!$Q$3,A1387&lt;=Dashboard!$Q$4,OR(J1387&lt;&gt;"Yes",Dashboard!$Q$15="Yes")),P1387,""),"")</f>
        <v/>
      </c>
    </row>
    <row r="1388">
      <c r="A1388" s="47" t="n"/>
      <c r="B1388" s="48" t="n"/>
      <c r="C1388" s="48" t="n"/>
      <c r="D1388" s="48" t="n"/>
      <c r="E1388" s="48" t="n"/>
      <c r="F1388" s="48" t="n"/>
      <c r="G1388" s="48" t="n"/>
      <c r="H1388" s="48" t="n"/>
      <c r="I1388" s="49" t="n"/>
      <c r="J1388" s="50" t="n"/>
      <c r="K1388" s="48" t="n"/>
      <c r="L1388" s="51">
        <f>IF(A1388="","",DATE(YEAR(A1388),MONTH(A1388),1))</f>
        <v/>
      </c>
      <c r="M1388" s="52">
        <f>IF(OR(A1388="",NOT(ISNUMBER(I1388))),"",IF(G1388=Lists!$B$5,I1388/2,IF(G1388=Lists!$B$6,I1388,0)))</f>
        <v/>
      </c>
      <c r="N1388" s="52">
        <f>IF(OR(A1388="",NOT(ISNUMBER(I1388))),"",IF(G1388=Lists!$B$5,I1388/2,IF(G1388=Lists!$B$7,I1388,0)))</f>
        <v/>
      </c>
      <c r="O1388" s="53">
        <f>IF(COUNTA(A1388:K1388)=0,"",IF(OR(A1388="",B1388="",C1388="",D1388="",E1388="",F1388="",G1388="",NOT(ISNUMBER(I1388))),"Incomplete",IF(COUNTIF(Lists!$H$4:$AA$4,C1388)=0,"Check category",IF(COUNTIF(INDEX(Lists!$H$6:$AA$45,0,MATCH(C1388,Lists!$H$4:$AA$4,0)),D1388)=0,"Check sub-category","OK"))))</f>
        <v/>
      </c>
      <c r="P1388">
        <f>IF(ISNUMBER(I1388),I1388+ROW()/10000000,"")</f>
        <v/>
      </c>
      <c r="Q1388">
        <f>IF(AND(ISNUMBER(P1388),ISNUMBER(A1388)),IF(AND(A1388&gt;=Dashboard!$Q$3,A1388&lt;=Dashboard!$Q$4,OR(J1388&lt;&gt;"Yes",Dashboard!$Q$15="Yes")),P1388,""),"")</f>
        <v/>
      </c>
    </row>
    <row r="1389">
      <c r="A1389" s="47" t="n"/>
      <c r="B1389" s="48" t="n"/>
      <c r="C1389" s="48" t="n"/>
      <c r="D1389" s="48" t="n"/>
      <c r="E1389" s="48" t="n"/>
      <c r="F1389" s="48" t="n"/>
      <c r="G1389" s="48" t="n"/>
      <c r="H1389" s="48" t="n"/>
      <c r="I1389" s="49" t="n"/>
      <c r="J1389" s="50" t="n"/>
      <c r="K1389" s="48" t="n"/>
      <c r="L1389" s="51">
        <f>IF(A1389="","",DATE(YEAR(A1389),MONTH(A1389),1))</f>
        <v/>
      </c>
      <c r="M1389" s="52">
        <f>IF(OR(A1389="",NOT(ISNUMBER(I1389))),"",IF(G1389=Lists!$B$5,I1389/2,IF(G1389=Lists!$B$6,I1389,0)))</f>
        <v/>
      </c>
      <c r="N1389" s="52">
        <f>IF(OR(A1389="",NOT(ISNUMBER(I1389))),"",IF(G1389=Lists!$B$5,I1389/2,IF(G1389=Lists!$B$7,I1389,0)))</f>
        <v/>
      </c>
      <c r="O1389" s="53">
        <f>IF(COUNTA(A1389:K1389)=0,"",IF(OR(A1389="",B1389="",C1389="",D1389="",E1389="",F1389="",G1389="",NOT(ISNUMBER(I1389))),"Incomplete",IF(COUNTIF(Lists!$H$4:$AA$4,C1389)=0,"Check category",IF(COUNTIF(INDEX(Lists!$H$6:$AA$45,0,MATCH(C1389,Lists!$H$4:$AA$4,0)),D1389)=0,"Check sub-category","OK"))))</f>
        <v/>
      </c>
      <c r="P1389">
        <f>IF(ISNUMBER(I1389),I1389+ROW()/10000000,"")</f>
        <v/>
      </c>
      <c r="Q1389">
        <f>IF(AND(ISNUMBER(P1389),ISNUMBER(A1389)),IF(AND(A1389&gt;=Dashboard!$Q$3,A1389&lt;=Dashboard!$Q$4,OR(J1389&lt;&gt;"Yes",Dashboard!$Q$15="Yes")),P1389,""),"")</f>
        <v/>
      </c>
    </row>
    <row r="1390">
      <c r="A1390" s="47" t="n"/>
      <c r="B1390" s="48" t="n"/>
      <c r="C1390" s="48" t="n"/>
      <c r="D1390" s="48" t="n"/>
      <c r="E1390" s="48" t="n"/>
      <c r="F1390" s="48" t="n"/>
      <c r="G1390" s="48" t="n"/>
      <c r="H1390" s="48" t="n"/>
      <c r="I1390" s="49" t="n"/>
      <c r="J1390" s="50" t="n"/>
      <c r="K1390" s="48" t="n"/>
      <c r="L1390" s="51">
        <f>IF(A1390="","",DATE(YEAR(A1390),MONTH(A1390),1))</f>
        <v/>
      </c>
      <c r="M1390" s="52">
        <f>IF(OR(A1390="",NOT(ISNUMBER(I1390))),"",IF(G1390=Lists!$B$5,I1390/2,IF(G1390=Lists!$B$6,I1390,0)))</f>
        <v/>
      </c>
      <c r="N1390" s="52">
        <f>IF(OR(A1390="",NOT(ISNUMBER(I1390))),"",IF(G1390=Lists!$B$5,I1390/2,IF(G1390=Lists!$B$7,I1390,0)))</f>
        <v/>
      </c>
      <c r="O1390" s="53">
        <f>IF(COUNTA(A1390:K1390)=0,"",IF(OR(A1390="",B1390="",C1390="",D1390="",E1390="",F1390="",G1390="",NOT(ISNUMBER(I1390))),"Incomplete",IF(COUNTIF(Lists!$H$4:$AA$4,C1390)=0,"Check category",IF(COUNTIF(INDEX(Lists!$H$6:$AA$45,0,MATCH(C1390,Lists!$H$4:$AA$4,0)),D1390)=0,"Check sub-category","OK"))))</f>
        <v/>
      </c>
      <c r="P1390">
        <f>IF(ISNUMBER(I1390),I1390+ROW()/10000000,"")</f>
        <v/>
      </c>
      <c r="Q1390">
        <f>IF(AND(ISNUMBER(P1390),ISNUMBER(A1390)),IF(AND(A1390&gt;=Dashboard!$Q$3,A1390&lt;=Dashboard!$Q$4,OR(J1390&lt;&gt;"Yes",Dashboard!$Q$15="Yes")),P1390,""),"")</f>
        <v/>
      </c>
    </row>
    <row r="1391">
      <c r="A1391" s="47" t="n"/>
      <c r="B1391" s="48" t="n"/>
      <c r="C1391" s="48" t="n"/>
      <c r="D1391" s="48" t="n"/>
      <c r="E1391" s="48" t="n"/>
      <c r="F1391" s="48" t="n"/>
      <c r="G1391" s="48" t="n"/>
      <c r="H1391" s="48" t="n"/>
      <c r="I1391" s="49" t="n"/>
      <c r="J1391" s="50" t="n"/>
      <c r="K1391" s="48" t="n"/>
      <c r="L1391" s="51">
        <f>IF(A1391="","",DATE(YEAR(A1391),MONTH(A1391),1))</f>
        <v/>
      </c>
      <c r="M1391" s="52">
        <f>IF(OR(A1391="",NOT(ISNUMBER(I1391))),"",IF(G1391=Lists!$B$5,I1391/2,IF(G1391=Lists!$B$6,I1391,0)))</f>
        <v/>
      </c>
      <c r="N1391" s="52">
        <f>IF(OR(A1391="",NOT(ISNUMBER(I1391))),"",IF(G1391=Lists!$B$5,I1391/2,IF(G1391=Lists!$B$7,I1391,0)))</f>
        <v/>
      </c>
      <c r="O1391" s="53">
        <f>IF(COUNTA(A1391:K1391)=0,"",IF(OR(A1391="",B1391="",C1391="",D1391="",E1391="",F1391="",G1391="",NOT(ISNUMBER(I1391))),"Incomplete",IF(COUNTIF(Lists!$H$4:$AA$4,C1391)=0,"Check category",IF(COUNTIF(INDEX(Lists!$H$6:$AA$45,0,MATCH(C1391,Lists!$H$4:$AA$4,0)),D1391)=0,"Check sub-category","OK"))))</f>
        <v/>
      </c>
      <c r="P1391">
        <f>IF(ISNUMBER(I1391),I1391+ROW()/10000000,"")</f>
        <v/>
      </c>
      <c r="Q1391">
        <f>IF(AND(ISNUMBER(P1391),ISNUMBER(A1391)),IF(AND(A1391&gt;=Dashboard!$Q$3,A1391&lt;=Dashboard!$Q$4,OR(J1391&lt;&gt;"Yes",Dashboard!$Q$15="Yes")),P1391,""),"")</f>
        <v/>
      </c>
    </row>
    <row r="1392">
      <c r="A1392" s="47" t="n"/>
      <c r="B1392" s="48" t="n"/>
      <c r="C1392" s="48" t="n"/>
      <c r="D1392" s="48" t="n"/>
      <c r="E1392" s="48" t="n"/>
      <c r="F1392" s="48" t="n"/>
      <c r="G1392" s="48" t="n"/>
      <c r="H1392" s="48" t="n"/>
      <c r="I1392" s="49" t="n"/>
      <c r="J1392" s="50" t="n"/>
      <c r="K1392" s="48" t="n"/>
      <c r="L1392" s="51">
        <f>IF(A1392="","",DATE(YEAR(A1392),MONTH(A1392),1))</f>
        <v/>
      </c>
      <c r="M1392" s="52">
        <f>IF(OR(A1392="",NOT(ISNUMBER(I1392))),"",IF(G1392=Lists!$B$5,I1392/2,IF(G1392=Lists!$B$6,I1392,0)))</f>
        <v/>
      </c>
      <c r="N1392" s="52">
        <f>IF(OR(A1392="",NOT(ISNUMBER(I1392))),"",IF(G1392=Lists!$B$5,I1392/2,IF(G1392=Lists!$B$7,I1392,0)))</f>
        <v/>
      </c>
      <c r="O1392" s="53">
        <f>IF(COUNTA(A1392:K1392)=0,"",IF(OR(A1392="",B1392="",C1392="",D1392="",E1392="",F1392="",G1392="",NOT(ISNUMBER(I1392))),"Incomplete",IF(COUNTIF(Lists!$H$4:$AA$4,C1392)=0,"Check category",IF(COUNTIF(INDEX(Lists!$H$6:$AA$45,0,MATCH(C1392,Lists!$H$4:$AA$4,0)),D1392)=0,"Check sub-category","OK"))))</f>
        <v/>
      </c>
      <c r="P1392">
        <f>IF(ISNUMBER(I1392),I1392+ROW()/10000000,"")</f>
        <v/>
      </c>
      <c r="Q1392">
        <f>IF(AND(ISNUMBER(P1392),ISNUMBER(A1392)),IF(AND(A1392&gt;=Dashboard!$Q$3,A1392&lt;=Dashboard!$Q$4,OR(J1392&lt;&gt;"Yes",Dashboard!$Q$15="Yes")),P1392,""),"")</f>
        <v/>
      </c>
    </row>
    <row r="1393">
      <c r="A1393" s="47" t="n"/>
      <c r="B1393" s="48" t="n"/>
      <c r="C1393" s="48" t="n"/>
      <c r="D1393" s="48" t="n"/>
      <c r="E1393" s="48" t="n"/>
      <c r="F1393" s="48" t="n"/>
      <c r="G1393" s="48" t="n"/>
      <c r="H1393" s="48" t="n"/>
      <c r="I1393" s="49" t="n"/>
      <c r="J1393" s="50" t="n"/>
      <c r="K1393" s="48" t="n"/>
      <c r="L1393" s="51">
        <f>IF(A1393="","",DATE(YEAR(A1393),MONTH(A1393),1))</f>
        <v/>
      </c>
      <c r="M1393" s="52">
        <f>IF(OR(A1393="",NOT(ISNUMBER(I1393))),"",IF(G1393=Lists!$B$5,I1393/2,IF(G1393=Lists!$B$6,I1393,0)))</f>
        <v/>
      </c>
      <c r="N1393" s="52">
        <f>IF(OR(A1393="",NOT(ISNUMBER(I1393))),"",IF(G1393=Lists!$B$5,I1393/2,IF(G1393=Lists!$B$7,I1393,0)))</f>
        <v/>
      </c>
      <c r="O1393" s="53">
        <f>IF(COUNTA(A1393:K1393)=0,"",IF(OR(A1393="",B1393="",C1393="",D1393="",E1393="",F1393="",G1393="",NOT(ISNUMBER(I1393))),"Incomplete",IF(COUNTIF(Lists!$H$4:$AA$4,C1393)=0,"Check category",IF(COUNTIF(INDEX(Lists!$H$6:$AA$45,0,MATCH(C1393,Lists!$H$4:$AA$4,0)),D1393)=0,"Check sub-category","OK"))))</f>
        <v/>
      </c>
      <c r="P1393">
        <f>IF(ISNUMBER(I1393),I1393+ROW()/10000000,"")</f>
        <v/>
      </c>
      <c r="Q1393">
        <f>IF(AND(ISNUMBER(P1393),ISNUMBER(A1393)),IF(AND(A1393&gt;=Dashboard!$Q$3,A1393&lt;=Dashboard!$Q$4,OR(J1393&lt;&gt;"Yes",Dashboard!$Q$15="Yes")),P1393,""),"")</f>
        <v/>
      </c>
    </row>
    <row r="1394">
      <c r="A1394" s="47" t="n"/>
      <c r="B1394" s="48" t="n"/>
      <c r="C1394" s="48" t="n"/>
      <c r="D1394" s="48" t="n"/>
      <c r="E1394" s="48" t="n"/>
      <c r="F1394" s="48" t="n"/>
      <c r="G1394" s="48" t="n"/>
      <c r="H1394" s="48" t="n"/>
      <c r="I1394" s="49" t="n"/>
      <c r="J1394" s="50" t="n"/>
      <c r="K1394" s="48" t="n"/>
      <c r="L1394" s="51">
        <f>IF(A1394="","",DATE(YEAR(A1394),MONTH(A1394),1))</f>
        <v/>
      </c>
      <c r="M1394" s="52">
        <f>IF(OR(A1394="",NOT(ISNUMBER(I1394))),"",IF(G1394=Lists!$B$5,I1394/2,IF(G1394=Lists!$B$6,I1394,0)))</f>
        <v/>
      </c>
      <c r="N1394" s="52">
        <f>IF(OR(A1394="",NOT(ISNUMBER(I1394))),"",IF(G1394=Lists!$B$5,I1394/2,IF(G1394=Lists!$B$7,I1394,0)))</f>
        <v/>
      </c>
      <c r="O1394" s="53">
        <f>IF(COUNTA(A1394:K1394)=0,"",IF(OR(A1394="",B1394="",C1394="",D1394="",E1394="",F1394="",G1394="",NOT(ISNUMBER(I1394))),"Incomplete",IF(COUNTIF(Lists!$H$4:$AA$4,C1394)=0,"Check category",IF(COUNTIF(INDEX(Lists!$H$6:$AA$45,0,MATCH(C1394,Lists!$H$4:$AA$4,0)),D1394)=0,"Check sub-category","OK"))))</f>
        <v/>
      </c>
      <c r="P1394">
        <f>IF(ISNUMBER(I1394),I1394+ROW()/10000000,"")</f>
        <v/>
      </c>
      <c r="Q1394">
        <f>IF(AND(ISNUMBER(P1394),ISNUMBER(A1394)),IF(AND(A1394&gt;=Dashboard!$Q$3,A1394&lt;=Dashboard!$Q$4,OR(J1394&lt;&gt;"Yes",Dashboard!$Q$15="Yes")),P1394,""),"")</f>
        <v/>
      </c>
    </row>
    <row r="1395">
      <c r="A1395" s="47" t="n"/>
      <c r="B1395" s="48" t="n"/>
      <c r="C1395" s="48" t="n"/>
      <c r="D1395" s="48" t="n"/>
      <c r="E1395" s="48" t="n"/>
      <c r="F1395" s="48" t="n"/>
      <c r="G1395" s="48" t="n"/>
      <c r="H1395" s="48" t="n"/>
      <c r="I1395" s="49" t="n"/>
      <c r="J1395" s="50" t="n"/>
      <c r="K1395" s="48" t="n"/>
      <c r="L1395" s="51">
        <f>IF(A1395="","",DATE(YEAR(A1395),MONTH(A1395),1))</f>
        <v/>
      </c>
      <c r="M1395" s="52">
        <f>IF(OR(A1395="",NOT(ISNUMBER(I1395))),"",IF(G1395=Lists!$B$5,I1395/2,IF(G1395=Lists!$B$6,I1395,0)))</f>
        <v/>
      </c>
      <c r="N1395" s="52">
        <f>IF(OR(A1395="",NOT(ISNUMBER(I1395))),"",IF(G1395=Lists!$B$5,I1395/2,IF(G1395=Lists!$B$7,I1395,0)))</f>
        <v/>
      </c>
      <c r="O1395" s="53">
        <f>IF(COUNTA(A1395:K1395)=0,"",IF(OR(A1395="",B1395="",C1395="",D1395="",E1395="",F1395="",G1395="",NOT(ISNUMBER(I1395))),"Incomplete",IF(COUNTIF(Lists!$H$4:$AA$4,C1395)=0,"Check category",IF(COUNTIF(INDEX(Lists!$H$6:$AA$45,0,MATCH(C1395,Lists!$H$4:$AA$4,0)),D1395)=0,"Check sub-category","OK"))))</f>
        <v/>
      </c>
      <c r="P1395">
        <f>IF(ISNUMBER(I1395),I1395+ROW()/10000000,"")</f>
        <v/>
      </c>
      <c r="Q1395">
        <f>IF(AND(ISNUMBER(P1395),ISNUMBER(A1395)),IF(AND(A1395&gt;=Dashboard!$Q$3,A1395&lt;=Dashboard!$Q$4,OR(J1395&lt;&gt;"Yes",Dashboard!$Q$15="Yes")),P1395,""),"")</f>
        <v/>
      </c>
    </row>
    <row r="1396">
      <c r="A1396" s="47" t="n"/>
      <c r="B1396" s="48" t="n"/>
      <c r="C1396" s="48" t="n"/>
      <c r="D1396" s="48" t="n"/>
      <c r="E1396" s="48" t="n"/>
      <c r="F1396" s="48" t="n"/>
      <c r="G1396" s="48" t="n"/>
      <c r="H1396" s="48" t="n"/>
      <c r="I1396" s="49" t="n"/>
      <c r="J1396" s="50" t="n"/>
      <c r="K1396" s="48" t="n"/>
      <c r="L1396" s="51">
        <f>IF(A1396="","",DATE(YEAR(A1396),MONTH(A1396),1))</f>
        <v/>
      </c>
      <c r="M1396" s="52">
        <f>IF(OR(A1396="",NOT(ISNUMBER(I1396))),"",IF(G1396=Lists!$B$5,I1396/2,IF(G1396=Lists!$B$6,I1396,0)))</f>
        <v/>
      </c>
      <c r="N1396" s="52">
        <f>IF(OR(A1396="",NOT(ISNUMBER(I1396))),"",IF(G1396=Lists!$B$5,I1396/2,IF(G1396=Lists!$B$7,I1396,0)))</f>
        <v/>
      </c>
      <c r="O1396" s="53">
        <f>IF(COUNTA(A1396:K1396)=0,"",IF(OR(A1396="",B1396="",C1396="",D1396="",E1396="",F1396="",G1396="",NOT(ISNUMBER(I1396))),"Incomplete",IF(COUNTIF(Lists!$H$4:$AA$4,C1396)=0,"Check category",IF(COUNTIF(INDEX(Lists!$H$6:$AA$45,0,MATCH(C1396,Lists!$H$4:$AA$4,0)),D1396)=0,"Check sub-category","OK"))))</f>
        <v/>
      </c>
      <c r="P1396">
        <f>IF(ISNUMBER(I1396),I1396+ROW()/10000000,"")</f>
        <v/>
      </c>
      <c r="Q1396">
        <f>IF(AND(ISNUMBER(P1396),ISNUMBER(A1396)),IF(AND(A1396&gt;=Dashboard!$Q$3,A1396&lt;=Dashboard!$Q$4,OR(J1396&lt;&gt;"Yes",Dashboard!$Q$15="Yes")),P1396,""),"")</f>
        <v/>
      </c>
    </row>
    <row r="1397">
      <c r="A1397" s="47" t="n"/>
      <c r="B1397" s="48" t="n"/>
      <c r="C1397" s="48" t="n"/>
      <c r="D1397" s="48" t="n"/>
      <c r="E1397" s="48" t="n"/>
      <c r="F1397" s="48" t="n"/>
      <c r="G1397" s="48" t="n"/>
      <c r="H1397" s="48" t="n"/>
      <c r="I1397" s="49" t="n"/>
      <c r="J1397" s="50" t="n"/>
      <c r="K1397" s="48" t="n"/>
      <c r="L1397" s="51">
        <f>IF(A1397="","",DATE(YEAR(A1397),MONTH(A1397),1))</f>
        <v/>
      </c>
      <c r="M1397" s="52">
        <f>IF(OR(A1397="",NOT(ISNUMBER(I1397))),"",IF(G1397=Lists!$B$5,I1397/2,IF(G1397=Lists!$B$6,I1397,0)))</f>
        <v/>
      </c>
      <c r="N1397" s="52">
        <f>IF(OR(A1397="",NOT(ISNUMBER(I1397))),"",IF(G1397=Lists!$B$5,I1397/2,IF(G1397=Lists!$B$7,I1397,0)))</f>
        <v/>
      </c>
      <c r="O1397" s="53">
        <f>IF(COUNTA(A1397:K1397)=0,"",IF(OR(A1397="",B1397="",C1397="",D1397="",E1397="",F1397="",G1397="",NOT(ISNUMBER(I1397))),"Incomplete",IF(COUNTIF(Lists!$H$4:$AA$4,C1397)=0,"Check category",IF(COUNTIF(INDEX(Lists!$H$6:$AA$45,0,MATCH(C1397,Lists!$H$4:$AA$4,0)),D1397)=0,"Check sub-category","OK"))))</f>
        <v/>
      </c>
      <c r="P1397">
        <f>IF(ISNUMBER(I1397),I1397+ROW()/10000000,"")</f>
        <v/>
      </c>
      <c r="Q1397">
        <f>IF(AND(ISNUMBER(P1397),ISNUMBER(A1397)),IF(AND(A1397&gt;=Dashboard!$Q$3,A1397&lt;=Dashboard!$Q$4,OR(J1397&lt;&gt;"Yes",Dashboard!$Q$15="Yes")),P1397,""),"")</f>
        <v/>
      </c>
    </row>
    <row r="1398">
      <c r="A1398" s="47" t="n"/>
      <c r="B1398" s="48" t="n"/>
      <c r="C1398" s="48" t="n"/>
      <c r="D1398" s="48" t="n"/>
      <c r="E1398" s="48" t="n"/>
      <c r="F1398" s="48" t="n"/>
      <c r="G1398" s="48" t="n"/>
      <c r="H1398" s="48" t="n"/>
      <c r="I1398" s="49" t="n"/>
      <c r="J1398" s="50" t="n"/>
      <c r="K1398" s="48" t="n"/>
      <c r="L1398" s="51">
        <f>IF(A1398="","",DATE(YEAR(A1398),MONTH(A1398),1))</f>
        <v/>
      </c>
      <c r="M1398" s="52">
        <f>IF(OR(A1398="",NOT(ISNUMBER(I1398))),"",IF(G1398=Lists!$B$5,I1398/2,IF(G1398=Lists!$B$6,I1398,0)))</f>
        <v/>
      </c>
      <c r="N1398" s="52">
        <f>IF(OR(A1398="",NOT(ISNUMBER(I1398))),"",IF(G1398=Lists!$B$5,I1398/2,IF(G1398=Lists!$B$7,I1398,0)))</f>
        <v/>
      </c>
      <c r="O1398" s="53">
        <f>IF(COUNTA(A1398:K1398)=0,"",IF(OR(A1398="",B1398="",C1398="",D1398="",E1398="",F1398="",G1398="",NOT(ISNUMBER(I1398))),"Incomplete",IF(COUNTIF(Lists!$H$4:$AA$4,C1398)=0,"Check category",IF(COUNTIF(INDEX(Lists!$H$6:$AA$45,0,MATCH(C1398,Lists!$H$4:$AA$4,0)),D1398)=0,"Check sub-category","OK"))))</f>
        <v/>
      </c>
      <c r="P1398">
        <f>IF(ISNUMBER(I1398),I1398+ROW()/10000000,"")</f>
        <v/>
      </c>
      <c r="Q1398">
        <f>IF(AND(ISNUMBER(P1398),ISNUMBER(A1398)),IF(AND(A1398&gt;=Dashboard!$Q$3,A1398&lt;=Dashboard!$Q$4,OR(J1398&lt;&gt;"Yes",Dashboard!$Q$15="Yes")),P1398,""),"")</f>
        <v/>
      </c>
    </row>
    <row r="1399">
      <c r="A1399" s="47" t="n"/>
      <c r="B1399" s="48" t="n"/>
      <c r="C1399" s="48" t="n"/>
      <c r="D1399" s="48" t="n"/>
      <c r="E1399" s="48" t="n"/>
      <c r="F1399" s="48" t="n"/>
      <c r="G1399" s="48" t="n"/>
      <c r="H1399" s="48" t="n"/>
      <c r="I1399" s="49" t="n"/>
      <c r="J1399" s="50" t="n"/>
      <c r="K1399" s="48" t="n"/>
      <c r="L1399" s="51">
        <f>IF(A1399="","",DATE(YEAR(A1399),MONTH(A1399),1))</f>
        <v/>
      </c>
      <c r="M1399" s="52">
        <f>IF(OR(A1399="",NOT(ISNUMBER(I1399))),"",IF(G1399=Lists!$B$5,I1399/2,IF(G1399=Lists!$B$6,I1399,0)))</f>
        <v/>
      </c>
      <c r="N1399" s="52">
        <f>IF(OR(A1399="",NOT(ISNUMBER(I1399))),"",IF(G1399=Lists!$B$5,I1399/2,IF(G1399=Lists!$B$7,I1399,0)))</f>
        <v/>
      </c>
      <c r="O1399" s="53">
        <f>IF(COUNTA(A1399:K1399)=0,"",IF(OR(A1399="",B1399="",C1399="",D1399="",E1399="",F1399="",G1399="",NOT(ISNUMBER(I1399))),"Incomplete",IF(COUNTIF(Lists!$H$4:$AA$4,C1399)=0,"Check category",IF(COUNTIF(INDEX(Lists!$H$6:$AA$45,0,MATCH(C1399,Lists!$H$4:$AA$4,0)),D1399)=0,"Check sub-category","OK"))))</f>
        <v/>
      </c>
      <c r="P1399">
        <f>IF(ISNUMBER(I1399),I1399+ROW()/10000000,"")</f>
        <v/>
      </c>
      <c r="Q1399">
        <f>IF(AND(ISNUMBER(P1399),ISNUMBER(A1399)),IF(AND(A1399&gt;=Dashboard!$Q$3,A1399&lt;=Dashboard!$Q$4,OR(J1399&lt;&gt;"Yes",Dashboard!$Q$15="Yes")),P1399,""),"")</f>
        <v/>
      </c>
    </row>
    <row r="1400">
      <c r="A1400" s="47" t="n"/>
      <c r="B1400" s="48" t="n"/>
      <c r="C1400" s="48" t="n"/>
      <c r="D1400" s="48" t="n"/>
      <c r="E1400" s="48" t="n"/>
      <c r="F1400" s="48" t="n"/>
      <c r="G1400" s="48" t="n"/>
      <c r="H1400" s="48" t="n"/>
      <c r="I1400" s="49" t="n"/>
      <c r="J1400" s="50" t="n"/>
      <c r="K1400" s="48" t="n"/>
      <c r="L1400" s="51">
        <f>IF(A1400="","",DATE(YEAR(A1400),MONTH(A1400),1))</f>
        <v/>
      </c>
      <c r="M1400" s="52">
        <f>IF(OR(A1400="",NOT(ISNUMBER(I1400))),"",IF(G1400=Lists!$B$5,I1400/2,IF(G1400=Lists!$B$6,I1400,0)))</f>
        <v/>
      </c>
      <c r="N1400" s="52">
        <f>IF(OR(A1400="",NOT(ISNUMBER(I1400))),"",IF(G1400=Lists!$B$5,I1400/2,IF(G1400=Lists!$B$7,I1400,0)))</f>
        <v/>
      </c>
      <c r="O1400" s="53">
        <f>IF(COUNTA(A1400:K1400)=0,"",IF(OR(A1400="",B1400="",C1400="",D1400="",E1400="",F1400="",G1400="",NOT(ISNUMBER(I1400))),"Incomplete",IF(COUNTIF(Lists!$H$4:$AA$4,C1400)=0,"Check category",IF(COUNTIF(INDEX(Lists!$H$6:$AA$45,0,MATCH(C1400,Lists!$H$4:$AA$4,0)),D1400)=0,"Check sub-category","OK"))))</f>
        <v/>
      </c>
      <c r="P1400">
        <f>IF(ISNUMBER(I1400),I1400+ROW()/10000000,"")</f>
        <v/>
      </c>
      <c r="Q1400">
        <f>IF(AND(ISNUMBER(P1400),ISNUMBER(A1400)),IF(AND(A1400&gt;=Dashboard!$Q$3,A1400&lt;=Dashboard!$Q$4,OR(J1400&lt;&gt;"Yes",Dashboard!$Q$15="Yes")),P1400,""),"")</f>
        <v/>
      </c>
    </row>
    <row r="1401">
      <c r="A1401" s="47" t="n"/>
      <c r="B1401" s="48" t="n"/>
      <c r="C1401" s="48" t="n"/>
      <c r="D1401" s="48" t="n"/>
      <c r="E1401" s="48" t="n"/>
      <c r="F1401" s="48" t="n"/>
      <c r="G1401" s="48" t="n"/>
      <c r="H1401" s="48" t="n"/>
      <c r="I1401" s="49" t="n"/>
      <c r="J1401" s="50" t="n"/>
      <c r="K1401" s="48" t="n"/>
      <c r="L1401" s="51">
        <f>IF(A1401="","",DATE(YEAR(A1401),MONTH(A1401),1))</f>
        <v/>
      </c>
      <c r="M1401" s="52">
        <f>IF(OR(A1401="",NOT(ISNUMBER(I1401))),"",IF(G1401=Lists!$B$5,I1401/2,IF(G1401=Lists!$B$6,I1401,0)))</f>
        <v/>
      </c>
      <c r="N1401" s="52">
        <f>IF(OR(A1401="",NOT(ISNUMBER(I1401))),"",IF(G1401=Lists!$B$5,I1401/2,IF(G1401=Lists!$B$7,I1401,0)))</f>
        <v/>
      </c>
      <c r="O1401" s="53">
        <f>IF(COUNTA(A1401:K1401)=0,"",IF(OR(A1401="",B1401="",C1401="",D1401="",E1401="",F1401="",G1401="",NOT(ISNUMBER(I1401))),"Incomplete",IF(COUNTIF(Lists!$H$4:$AA$4,C1401)=0,"Check category",IF(COUNTIF(INDEX(Lists!$H$6:$AA$45,0,MATCH(C1401,Lists!$H$4:$AA$4,0)),D1401)=0,"Check sub-category","OK"))))</f>
        <v/>
      </c>
      <c r="P1401">
        <f>IF(ISNUMBER(I1401),I1401+ROW()/10000000,"")</f>
        <v/>
      </c>
      <c r="Q1401">
        <f>IF(AND(ISNUMBER(P1401),ISNUMBER(A1401)),IF(AND(A1401&gt;=Dashboard!$Q$3,A1401&lt;=Dashboard!$Q$4,OR(J1401&lt;&gt;"Yes",Dashboard!$Q$15="Yes")),P1401,""),"")</f>
        <v/>
      </c>
    </row>
    <row r="1402">
      <c r="A1402" s="47" t="n"/>
      <c r="B1402" s="48" t="n"/>
      <c r="C1402" s="48" t="n"/>
      <c r="D1402" s="48" t="n"/>
      <c r="E1402" s="48" t="n"/>
      <c r="F1402" s="48" t="n"/>
      <c r="G1402" s="48" t="n"/>
      <c r="H1402" s="48" t="n"/>
      <c r="I1402" s="49" t="n"/>
      <c r="J1402" s="50" t="n"/>
      <c r="K1402" s="48" t="n"/>
      <c r="L1402" s="51">
        <f>IF(A1402="","",DATE(YEAR(A1402),MONTH(A1402),1))</f>
        <v/>
      </c>
      <c r="M1402" s="52">
        <f>IF(OR(A1402="",NOT(ISNUMBER(I1402))),"",IF(G1402=Lists!$B$5,I1402/2,IF(G1402=Lists!$B$6,I1402,0)))</f>
        <v/>
      </c>
      <c r="N1402" s="52">
        <f>IF(OR(A1402="",NOT(ISNUMBER(I1402))),"",IF(G1402=Lists!$B$5,I1402/2,IF(G1402=Lists!$B$7,I1402,0)))</f>
        <v/>
      </c>
      <c r="O1402" s="53">
        <f>IF(COUNTA(A1402:K1402)=0,"",IF(OR(A1402="",B1402="",C1402="",D1402="",E1402="",F1402="",G1402="",NOT(ISNUMBER(I1402))),"Incomplete",IF(COUNTIF(Lists!$H$4:$AA$4,C1402)=0,"Check category",IF(COUNTIF(INDEX(Lists!$H$6:$AA$45,0,MATCH(C1402,Lists!$H$4:$AA$4,0)),D1402)=0,"Check sub-category","OK"))))</f>
        <v/>
      </c>
      <c r="P1402">
        <f>IF(ISNUMBER(I1402),I1402+ROW()/10000000,"")</f>
        <v/>
      </c>
      <c r="Q1402">
        <f>IF(AND(ISNUMBER(P1402),ISNUMBER(A1402)),IF(AND(A1402&gt;=Dashboard!$Q$3,A1402&lt;=Dashboard!$Q$4,OR(J1402&lt;&gt;"Yes",Dashboard!$Q$15="Yes")),P1402,""),"")</f>
        <v/>
      </c>
    </row>
    <row r="1403">
      <c r="A1403" s="47" t="n"/>
      <c r="B1403" s="48" t="n"/>
      <c r="C1403" s="48" t="n"/>
      <c r="D1403" s="48" t="n"/>
      <c r="E1403" s="48" t="n"/>
      <c r="F1403" s="48" t="n"/>
      <c r="G1403" s="48" t="n"/>
      <c r="H1403" s="48" t="n"/>
      <c r="I1403" s="49" t="n"/>
      <c r="J1403" s="50" t="n"/>
      <c r="K1403" s="48" t="n"/>
      <c r="L1403" s="51">
        <f>IF(A1403="","",DATE(YEAR(A1403),MONTH(A1403),1))</f>
        <v/>
      </c>
      <c r="M1403" s="52">
        <f>IF(OR(A1403="",NOT(ISNUMBER(I1403))),"",IF(G1403=Lists!$B$5,I1403/2,IF(G1403=Lists!$B$6,I1403,0)))</f>
        <v/>
      </c>
      <c r="N1403" s="52">
        <f>IF(OR(A1403="",NOT(ISNUMBER(I1403))),"",IF(G1403=Lists!$B$5,I1403/2,IF(G1403=Lists!$B$7,I1403,0)))</f>
        <v/>
      </c>
      <c r="O1403" s="53">
        <f>IF(COUNTA(A1403:K1403)=0,"",IF(OR(A1403="",B1403="",C1403="",D1403="",E1403="",F1403="",G1403="",NOT(ISNUMBER(I1403))),"Incomplete",IF(COUNTIF(Lists!$H$4:$AA$4,C1403)=0,"Check category",IF(COUNTIF(INDEX(Lists!$H$6:$AA$45,0,MATCH(C1403,Lists!$H$4:$AA$4,0)),D1403)=0,"Check sub-category","OK"))))</f>
        <v/>
      </c>
      <c r="P1403">
        <f>IF(ISNUMBER(I1403),I1403+ROW()/10000000,"")</f>
        <v/>
      </c>
      <c r="Q1403">
        <f>IF(AND(ISNUMBER(P1403),ISNUMBER(A1403)),IF(AND(A1403&gt;=Dashboard!$Q$3,A1403&lt;=Dashboard!$Q$4,OR(J1403&lt;&gt;"Yes",Dashboard!$Q$15="Yes")),P1403,""),"")</f>
        <v/>
      </c>
    </row>
    <row r="1404">
      <c r="A1404" s="47" t="n"/>
      <c r="B1404" s="48" t="n"/>
      <c r="C1404" s="48" t="n"/>
      <c r="D1404" s="48" t="n"/>
      <c r="E1404" s="48" t="n"/>
      <c r="F1404" s="48" t="n"/>
      <c r="G1404" s="48" t="n"/>
      <c r="H1404" s="48" t="n"/>
      <c r="I1404" s="49" t="n"/>
      <c r="J1404" s="50" t="n"/>
      <c r="K1404" s="48" t="n"/>
      <c r="L1404" s="51">
        <f>IF(A1404="","",DATE(YEAR(A1404),MONTH(A1404),1))</f>
        <v/>
      </c>
      <c r="M1404" s="52">
        <f>IF(OR(A1404="",NOT(ISNUMBER(I1404))),"",IF(G1404=Lists!$B$5,I1404/2,IF(G1404=Lists!$B$6,I1404,0)))</f>
        <v/>
      </c>
      <c r="N1404" s="52">
        <f>IF(OR(A1404="",NOT(ISNUMBER(I1404))),"",IF(G1404=Lists!$B$5,I1404/2,IF(G1404=Lists!$B$7,I1404,0)))</f>
        <v/>
      </c>
      <c r="O1404" s="53">
        <f>IF(COUNTA(A1404:K1404)=0,"",IF(OR(A1404="",B1404="",C1404="",D1404="",E1404="",F1404="",G1404="",NOT(ISNUMBER(I1404))),"Incomplete",IF(COUNTIF(Lists!$H$4:$AA$4,C1404)=0,"Check category",IF(COUNTIF(INDEX(Lists!$H$6:$AA$45,0,MATCH(C1404,Lists!$H$4:$AA$4,0)),D1404)=0,"Check sub-category","OK"))))</f>
        <v/>
      </c>
      <c r="P1404">
        <f>IF(ISNUMBER(I1404),I1404+ROW()/10000000,"")</f>
        <v/>
      </c>
      <c r="Q1404">
        <f>IF(AND(ISNUMBER(P1404),ISNUMBER(A1404)),IF(AND(A1404&gt;=Dashboard!$Q$3,A1404&lt;=Dashboard!$Q$4,OR(J1404&lt;&gt;"Yes",Dashboard!$Q$15="Yes")),P1404,""),"")</f>
        <v/>
      </c>
    </row>
    <row r="1405">
      <c r="A1405" s="47" t="n"/>
      <c r="B1405" s="48" t="n"/>
      <c r="C1405" s="48" t="n"/>
      <c r="D1405" s="48" t="n"/>
      <c r="E1405" s="48" t="n"/>
      <c r="F1405" s="48" t="n"/>
      <c r="G1405" s="48" t="n"/>
      <c r="H1405" s="48" t="n"/>
      <c r="I1405" s="49" t="n"/>
      <c r="J1405" s="50" t="n"/>
      <c r="K1405" s="48" t="n"/>
      <c r="L1405" s="51">
        <f>IF(A1405="","",DATE(YEAR(A1405),MONTH(A1405),1))</f>
        <v/>
      </c>
      <c r="M1405" s="52">
        <f>IF(OR(A1405="",NOT(ISNUMBER(I1405))),"",IF(G1405=Lists!$B$5,I1405/2,IF(G1405=Lists!$B$6,I1405,0)))</f>
        <v/>
      </c>
      <c r="N1405" s="52">
        <f>IF(OR(A1405="",NOT(ISNUMBER(I1405))),"",IF(G1405=Lists!$B$5,I1405/2,IF(G1405=Lists!$B$7,I1405,0)))</f>
        <v/>
      </c>
      <c r="O1405" s="53">
        <f>IF(COUNTA(A1405:K1405)=0,"",IF(OR(A1405="",B1405="",C1405="",D1405="",E1405="",F1405="",G1405="",NOT(ISNUMBER(I1405))),"Incomplete",IF(COUNTIF(Lists!$H$4:$AA$4,C1405)=0,"Check category",IF(COUNTIF(INDEX(Lists!$H$6:$AA$45,0,MATCH(C1405,Lists!$H$4:$AA$4,0)),D1405)=0,"Check sub-category","OK"))))</f>
        <v/>
      </c>
      <c r="P1405">
        <f>IF(ISNUMBER(I1405),I1405+ROW()/10000000,"")</f>
        <v/>
      </c>
      <c r="Q1405">
        <f>IF(AND(ISNUMBER(P1405),ISNUMBER(A1405)),IF(AND(A1405&gt;=Dashboard!$Q$3,A1405&lt;=Dashboard!$Q$4,OR(J1405&lt;&gt;"Yes",Dashboard!$Q$15="Yes")),P1405,""),"")</f>
        <v/>
      </c>
    </row>
    <row r="1406">
      <c r="A1406" s="47" t="n"/>
      <c r="B1406" s="48" t="n"/>
      <c r="C1406" s="48" t="n"/>
      <c r="D1406" s="48" t="n"/>
      <c r="E1406" s="48" t="n"/>
      <c r="F1406" s="48" t="n"/>
      <c r="G1406" s="48" t="n"/>
      <c r="H1406" s="48" t="n"/>
      <c r="I1406" s="49" t="n"/>
      <c r="J1406" s="50" t="n"/>
      <c r="K1406" s="48" t="n"/>
      <c r="L1406" s="51">
        <f>IF(A1406="","",DATE(YEAR(A1406),MONTH(A1406),1))</f>
        <v/>
      </c>
      <c r="M1406" s="52">
        <f>IF(OR(A1406="",NOT(ISNUMBER(I1406))),"",IF(G1406=Lists!$B$5,I1406/2,IF(G1406=Lists!$B$6,I1406,0)))</f>
        <v/>
      </c>
      <c r="N1406" s="52">
        <f>IF(OR(A1406="",NOT(ISNUMBER(I1406))),"",IF(G1406=Lists!$B$5,I1406/2,IF(G1406=Lists!$B$7,I1406,0)))</f>
        <v/>
      </c>
      <c r="O1406" s="53">
        <f>IF(COUNTA(A1406:K1406)=0,"",IF(OR(A1406="",B1406="",C1406="",D1406="",E1406="",F1406="",G1406="",NOT(ISNUMBER(I1406))),"Incomplete",IF(COUNTIF(Lists!$H$4:$AA$4,C1406)=0,"Check category",IF(COUNTIF(INDEX(Lists!$H$6:$AA$45,0,MATCH(C1406,Lists!$H$4:$AA$4,0)),D1406)=0,"Check sub-category","OK"))))</f>
        <v/>
      </c>
      <c r="P1406">
        <f>IF(ISNUMBER(I1406),I1406+ROW()/10000000,"")</f>
        <v/>
      </c>
      <c r="Q1406">
        <f>IF(AND(ISNUMBER(P1406),ISNUMBER(A1406)),IF(AND(A1406&gt;=Dashboard!$Q$3,A1406&lt;=Dashboard!$Q$4,OR(J1406&lt;&gt;"Yes",Dashboard!$Q$15="Yes")),P1406,""),"")</f>
        <v/>
      </c>
    </row>
    <row r="1407">
      <c r="A1407" s="47" t="n"/>
      <c r="B1407" s="48" t="n"/>
      <c r="C1407" s="48" t="n"/>
      <c r="D1407" s="48" t="n"/>
      <c r="E1407" s="48" t="n"/>
      <c r="F1407" s="48" t="n"/>
      <c r="G1407" s="48" t="n"/>
      <c r="H1407" s="48" t="n"/>
      <c r="I1407" s="49" t="n"/>
      <c r="J1407" s="50" t="n"/>
      <c r="K1407" s="48" t="n"/>
      <c r="L1407" s="51">
        <f>IF(A1407="","",DATE(YEAR(A1407),MONTH(A1407),1))</f>
        <v/>
      </c>
      <c r="M1407" s="52">
        <f>IF(OR(A1407="",NOT(ISNUMBER(I1407))),"",IF(G1407=Lists!$B$5,I1407/2,IF(G1407=Lists!$B$6,I1407,0)))</f>
        <v/>
      </c>
      <c r="N1407" s="52">
        <f>IF(OR(A1407="",NOT(ISNUMBER(I1407))),"",IF(G1407=Lists!$B$5,I1407/2,IF(G1407=Lists!$B$7,I1407,0)))</f>
        <v/>
      </c>
      <c r="O1407" s="53">
        <f>IF(COUNTA(A1407:K1407)=0,"",IF(OR(A1407="",B1407="",C1407="",D1407="",E1407="",F1407="",G1407="",NOT(ISNUMBER(I1407))),"Incomplete",IF(COUNTIF(Lists!$H$4:$AA$4,C1407)=0,"Check category",IF(COUNTIF(INDEX(Lists!$H$6:$AA$45,0,MATCH(C1407,Lists!$H$4:$AA$4,0)),D1407)=0,"Check sub-category","OK"))))</f>
        <v/>
      </c>
      <c r="P1407">
        <f>IF(ISNUMBER(I1407),I1407+ROW()/10000000,"")</f>
        <v/>
      </c>
      <c r="Q1407">
        <f>IF(AND(ISNUMBER(P1407),ISNUMBER(A1407)),IF(AND(A1407&gt;=Dashboard!$Q$3,A1407&lt;=Dashboard!$Q$4,OR(J1407&lt;&gt;"Yes",Dashboard!$Q$15="Yes")),P1407,""),"")</f>
        <v/>
      </c>
    </row>
    <row r="1408">
      <c r="A1408" s="47" t="n"/>
      <c r="B1408" s="48" t="n"/>
      <c r="C1408" s="48" t="n"/>
      <c r="D1408" s="48" t="n"/>
      <c r="E1408" s="48" t="n"/>
      <c r="F1408" s="48" t="n"/>
      <c r="G1408" s="48" t="n"/>
      <c r="H1408" s="48" t="n"/>
      <c r="I1408" s="49" t="n"/>
      <c r="J1408" s="50" t="n"/>
      <c r="K1408" s="48" t="n"/>
      <c r="L1408" s="51">
        <f>IF(A1408="","",DATE(YEAR(A1408),MONTH(A1408),1))</f>
        <v/>
      </c>
      <c r="M1408" s="52">
        <f>IF(OR(A1408="",NOT(ISNUMBER(I1408))),"",IF(G1408=Lists!$B$5,I1408/2,IF(G1408=Lists!$B$6,I1408,0)))</f>
        <v/>
      </c>
      <c r="N1408" s="52">
        <f>IF(OR(A1408="",NOT(ISNUMBER(I1408))),"",IF(G1408=Lists!$B$5,I1408/2,IF(G1408=Lists!$B$7,I1408,0)))</f>
        <v/>
      </c>
      <c r="O1408" s="53">
        <f>IF(COUNTA(A1408:K1408)=0,"",IF(OR(A1408="",B1408="",C1408="",D1408="",E1408="",F1408="",G1408="",NOT(ISNUMBER(I1408))),"Incomplete",IF(COUNTIF(Lists!$H$4:$AA$4,C1408)=0,"Check category",IF(COUNTIF(INDEX(Lists!$H$6:$AA$45,0,MATCH(C1408,Lists!$H$4:$AA$4,0)),D1408)=0,"Check sub-category","OK"))))</f>
        <v/>
      </c>
      <c r="P1408">
        <f>IF(ISNUMBER(I1408),I1408+ROW()/10000000,"")</f>
        <v/>
      </c>
      <c r="Q1408">
        <f>IF(AND(ISNUMBER(P1408),ISNUMBER(A1408)),IF(AND(A1408&gt;=Dashboard!$Q$3,A1408&lt;=Dashboard!$Q$4,OR(J1408&lt;&gt;"Yes",Dashboard!$Q$15="Yes")),P1408,""),"")</f>
        <v/>
      </c>
    </row>
    <row r="1409">
      <c r="A1409" s="47" t="n"/>
      <c r="B1409" s="48" t="n"/>
      <c r="C1409" s="48" t="n"/>
      <c r="D1409" s="48" t="n"/>
      <c r="E1409" s="48" t="n"/>
      <c r="F1409" s="48" t="n"/>
      <c r="G1409" s="48" t="n"/>
      <c r="H1409" s="48" t="n"/>
      <c r="I1409" s="49" t="n"/>
      <c r="J1409" s="50" t="n"/>
      <c r="K1409" s="48" t="n"/>
      <c r="L1409" s="51">
        <f>IF(A1409="","",DATE(YEAR(A1409),MONTH(A1409),1))</f>
        <v/>
      </c>
      <c r="M1409" s="52">
        <f>IF(OR(A1409="",NOT(ISNUMBER(I1409))),"",IF(G1409=Lists!$B$5,I1409/2,IF(G1409=Lists!$B$6,I1409,0)))</f>
        <v/>
      </c>
      <c r="N1409" s="52">
        <f>IF(OR(A1409="",NOT(ISNUMBER(I1409))),"",IF(G1409=Lists!$B$5,I1409/2,IF(G1409=Lists!$B$7,I1409,0)))</f>
        <v/>
      </c>
      <c r="O1409" s="53">
        <f>IF(COUNTA(A1409:K1409)=0,"",IF(OR(A1409="",B1409="",C1409="",D1409="",E1409="",F1409="",G1409="",NOT(ISNUMBER(I1409))),"Incomplete",IF(COUNTIF(Lists!$H$4:$AA$4,C1409)=0,"Check category",IF(COUNTIF(INDEX(Lists!$H$6:$AA$45,0,MATCH(C1409,Lists!$H$4:$AA$4,0)),D1409)=0,"Check sub-category","OK"))))</f>
        <v/>
      </c>
      <c r="P1409">
        <f>IF(ISNUMBER(I1409),I1409+ROW()/10000000,"")</f>
        <v/>
      </c>
      <c r="Q1409">
        <f>IF(AND(ISNUMBER(P1409),ISNUMBER(A1409)),IF(AND(A1409&gt;=Dashboard!$Q$3,A1409&lt;=Dashboard!$Q$4,OR(J1409&lt;&gt;"Yes",Dashboard!$Q$15="Yes")),P1409,""),"")</f>
        <v/>
      </c>
    </row>
    <row r="1410">
      <c r="A1410" s="47" t="n"/>
      <c r="B1410" s="48" t="n"/>
      <c r="C1410" s="48" t="n"/>
      <c r="D1410" s="48" t="n"/>
      <c r="E1410" s="48" t="n"/>
      <c r="F1410" s="48" t="n"/>
      <c r="G1410" s="48" t="n"/>
      <c r="H1410" s="48" t="n"/>
      <c r="I1410" s="49" t="n"/>
      <c r="J1410" s="50" t="n"/>
      <c r="K1410" s="48" t="n"/>
      <c r="L1410" s="51">
        <f>IF(A1410="","",DATE(YEAR(A1410),MONTH(A1410),1))</f>
        <v/>
      </c>
      <c r="M1410" s="52">
        <f>IF(OR(A1410="",NOT(ISNUMBER(I1410))),"",IF(G1410=Lists!$B$5,I1410/2,IF(G1410=Lists!$B$6,I1410,0)))</f>
        <v/>
      </c>
      <c r="N1410" s="52">
        <f>IF(OR(A1410="",NOT(ISNUMBER(I1410))),"",IF(G1410=Lists!$B$5,I1410/2,IF(G1410=Lists!$B$7,I1410,0)))</f>
        <v/>
      </c>
      <c r="O1410" s="53">
        <f>IF(COUNTA(A1410:K1410)=0,"",IF(OR(A1410="",B1410="",C1410="",D1410="",E1410="",F1410="",G1410="",NOT(ISNUMBER(I1410))),"Incomplete",IF(COUNTIF(Lists!$H$4:$AA$4,C1410)=0,"Check category",IF(COUNTIF(INDEX(Lists!$H$6:$AA$45,0,MATCH(C1410,Lists!$H$4:$AA$4,0)),D1410)=0,"Check sub-category","OK"))))</f>
        <v/>
      </c>
      <c r="P1410">
        <f>IF(ISNUMBER(I1410),I1410+ROW()/10000000,"")</f>
        <v/>
      </c>
      <c r="Q1410">
        <f>IF(AND(ISNUMBER(P1410),ISNUMBER(A1410)),IF(AND(A1410&gt;=Dashboard!$Q$3,A1410&lt;=Dashboard!$Q$4,OR(J1410&lt;&gt;"Yes",Dashboard!$Q$15="Yes")),P1410,""),"")</f>
        <v/>
      </c>
    </row>
    <row r="1411">
      <c r="A1411" s="47" t="n"/>
      <c r="B1411" s="48" t="n"/>
      <c r="C1411" s="48" t="n"/>
      <c r="D1411" s="48" t="n"/>
      <c r="E1411" s="48" t="n"/>
      <c r="F1411" s="48" t="n"/>
      <c r="G1411" s="48" t="n"/>
      <c r="H1411" s="48" t="n"/>
      <c r="I1411" s="49" t="n"/>
      <c r="J1411" s="50" t="n"/>
      <c r="K1411" s="48" t="n"/>
      <c r="L1411" s="51">
        <f>IF(A1411="","",DATE(YEAR(A1411),MONTH(A1411),1))</f>
        <v/>
      </c>
      <c r="M1411" s="52">
        <f>IF(OR(A1411="",NOT(ISNUMBER(I1411))),"",IF(G1411=Lists!$B$5,I1411/2,IF(G1411=Lists!$B$6,I1411,0)))</f>
        <v/>
      </c>
      <c r="N1411" s="52">
        <f>IF(OR(A1411="",NOT(ISNUMBER(I1411))),"",IF(G1411=Lists!$B$5,I1411/2,IF(G1411=Lists!$B$7,I1411,0)))</f>
        <v/>
      </c>
      <c r="O1411" s="53">
        <f>IF(COUNTA(A1411:K1411)=0,"",IF(OR(A1411="",B1411="",C1411="",D1411="",E1411="",F1411="",G1411="",NOT(ISNUMBER(I1411))),"Incomplete",IF(COUNTIF(Lists!$H$4:$AA$4,C1411)=0,"Check category",IF(COUNTIF(INDEX(Lists!$H$6:$AA$45,0,MATCH(C1411,Lists!$H$4:$AA$4,0)),D1411)=0,"Check sub-category","OK"))))</f>
        <v/>
      </c>
      <c r="P1411">
        <f>IF(ISNUMBER(I1411),I1411+ROW()/10000000,"")</f>
        <v/>
      </c>
      <c r="Q1411">
        <f>IF(AND(ISNUMBER(P1411),ISNUMBER(A1411)),IF(AND(A1411&gt;=Dashboard!$Q$3,A1411&lt;=Dashboard!$Q$4,OR(J1411&lt;&gt;"Yes",Dashboard!$Q$15="Yes")),P1411,""),"")</f>
        <v/>
      </c>
    </row>
    <row r="1412">
      <c r="A1412" s="47" t="n"/>
      <c r="B1412" s="48" t="n"/>
      <c r="C1412" s="48" t="n"/>
      <c r="D1412" s="48" t="n"/>
      <c r="E1412" s="48" t="n"/>
      <c r="F1412" s="48" t="n"/>
      <c r="G1412" s="48" t="n"/>
      <c r="H1412" s="48" t="n"/>
      <c r="I1412" s="49" t="n"/>
      <c r="J1412" s="50" t="n"/>
      <c r="K1412" s="48" t="n"/>
      <c r="L1412" s="51">
        <f>IF(A1412="","",DATE(YEAR(A1412),MONTH(A1412),1))</f>
        <v/>
      </c>
      <c r="M1412" s="52">
        <f>IF(OR(A1412="",NOT(ISNUMBER(I1412))),"",IF(G1412=Lists!$B$5,I1412/2,IF(G1412=Lists!$B$6,I1412,0)))</f>
        <v/>
      </c>
      <c r="N1412" s="52">
        <f>IF(OR(A1412="",NOT(ISNUMBER(I1412))),"",IF(G1412=Lists!$B$5,I1412/2,IF(G1412=Lists!$B$7,I1412,0)))</f>
        <v/>
      </c>
      <c r="O1412" s="53">
        <f>IF(COUNTA(A1412:K1412)=0,"",IF(OR(A1412="",B1412="",C1412="",D1412="",E1412="",F1412="",G1412="",NOT(ISNUMBER(I1412))),"Incomplete",IF(COUNTIF(Lists!$H$4:$AA$4,C1412)=0,"Check category",IF(COUNTIF(INDEX(Lists!$H$6:$AA$45,0,MATCH(C1412,Lists!$H$4:$AA$4,0)),D1412)=0,"Check sub-category","OK"))))</f>
        <v/>
      </c>
      <c r="P1412">
        <f>IF(ISNUMBER(I1412),I1412+ROW()/10000000,"")</f>
        <v/>
      </c>
      <c r="Q1412">
        <f>IF(AND(ISNUMBER(P1412),ISNUMBER(A1412)),IF(AND(A1412&gt;=Dashboard!$Q$3,A1412&lt;=Dashboard!$Q$4,OR(J1412&lt;&gt;"Yes",Dashboard!$Q$15="Yes")),P1412,""),"")</f>
        <v/>
      </c>
    </row>
    <row r="1413">
      <c r="A1413" s="47" t="n"/>
      <c r="B1413" s="48" t="n"/>
      <c r="C1413" s="48" t="n"/>
      <c r="D1413" s="48" t="n"/>
      <c r="E1413" s="48" t="n"/>
      <c r="F1413" s="48" t="n"/>
      <c r="G1413" s="48" t="n"/>
      <c r="H1413" s="48" t="n"/>
      <c r="I1413" s="49" t="n"/>
      <c r="J1413" s="50" t="n"/>
      <c r="K1413" s="48" t="n"/>
      <c r="L1413" s="51">
        <f>IF(A1413="","",DATE(YEAR(A1413),MONTH(A1413),1))</f>
        <v/>
      </c>
      <c r="M1413" s="52">
        <f>IF(OR(A1413="",NOT(ISNUMBER(I1413))),"",IF(G1413=Lists!$B$5,I1413/2,IF(G1413=Lists!$B$6,I1413,0)))</f>
        <v/>
      </c>
      <c r="N1413" s="52">
        <f>IF(OR(A1413="",NOT(ISNUMBER(I1413))),"",IF(G1413=Lists!$B$5,I1413/2,IF(G1413=Lists!$B$7,I1413,0)))</f>
        <v/>
      </c>
      <c r="O1413" s="53">
        <f>IF(COUNTA(A1413:K1413)=0,"",IF(OR(A1413="",B1413="",C1413="",D1413="",E1413="",F1413="",G1413="",NOT(ISNUMBER(I1413))),"Incomplete",IF(COUNTIF(Lists!$H$4:$AA$4,C1413)=0,"Check category",IF(COUNTIF(INDEX(Lists!$H$6:$AA$45,0,MATCH(C1413,Lists!$H$4:$AA$4,0)),D1413)=0,"Check sub-category","OK"))))</f>
        <v/>
      </c>
      <c r="P1413">
        <f>IF(ISNUMBER(I1413),I1413+ROW()/10000000,"")</f>
        <v/>
      </c>
      <c r="Q1413">
        <f>IF(AND(ISNUMBER(P1413),ISNUMBER(A1413)),IF(AND(A1413&gt;=Dashboard!$Q$3,A1413&lt;=Dashboard!$Q$4,OR(J1413&lt;&gt;"Yes",Dashboard!$Q$15="Yes")),P1413,""),"")</f>
        <v/>
      </c>
    </row>
    <row r="1414">
      <c r="A1414" s="47" t="n"/>
      <c r="B1414" s="48" t="n"/>
      <c r="C1414" s="48" t="n"/>
      <c r="D1414" s="48" t="n"/>
      <c r="E1414" s="48" t="n"/>
      <c r="F1414" s="48" t="n"/>
      <c r="G1414" s="48" t="n"/>
      <c r="H1414" s="48" t="n"/>
      <c r="I1414" s="49" t="n"/>
      <c r="J1414" s="50" t="n"/>
      <c r="K1414" s="48" t="n"/>
      <c r="L1414" s="51">
        <f>IF(A1414="","",DATE(YEAR(A1414),MONTH(A1414),1))</f>
        <v/>
      </c>
      <c r="M1414" s="52">
        <f>IF(OR(A1414="",NOT(ISNUMBER(I1414))),"",IF(G1414=Lists!$B$5,I1414/2,IF(G1414=Lists!$B$6,I1414,0)))</f>
        <v/>
      </c>
      <c r="N1414" s="52">
        <f>IF(OR(A1414="",NOT(ISNUMBER(I1414))),"",IF(G1414=Lists!$B$5,I1414/2,IF(G1414=Lists!$B$7,I1414,0)))</f>
        <v/>
      </c>
      <c r="O1414" s="53">
        <f>IF(COUNTA(A1414:K1414)=0,"",IF(OR(A1414="",B1414="",C1414="",D1414="",E1414="",F1414="",G1414="",NOT(ISNUMBER(I1414))),"Incomplete",IF(COUNTIF(Lists!$H$4:$AA$4,C1414)=0,"Check category",IF(COUNTIF(INDEX(Lists!$H$6:$AA$45,0,MATCH(C1414,Lists!$H$4:$AA$4,0)),D1414)=0,"Check sub-category","OK"))))</f>
        <v/>
      </c>
      <c r="P1414">
        <f>IF(ISNUMBER(I1414),I1414+ROW()/10000000,"")</f>
        <v/>
      </c>
      <c r="Q1414">
        <f>IF(AND(ISNUMBER(P1414),ISNUMBER(A1414)),IF(AND(A1414&gt;=Dashboard!$Q$3,A1414&lt;=Dashboard!$Q$4,OR(J1414&lt;&gt;"Yes",Dashboard!$Q$15="Yes")),P1414,""),"")</f>
        <v/>
      </c>
    </row>
    <row r="1415">
      <c r="A1415" s="47" t="n"/>
      <c r="B1415" s="48" t="n"/>
      <c r="C1415" s="48" t="n"/>
      <c r="D1415" s="48" t="n"/>
      <c r="E1415" s="48" t="n"/>
      <c r="F1415" s="48" t="n"/>
      <c r="G1415" s="48" t="n"/>
      <c r="H1415" s="48" t="n"/>
      <c r="I1415" s="49" t="n"/>
      <c r="J1415" s="50" t="n"/>
      <c r="K1415" s="48" t="n"/>
      <c r="L1415" s="51">
        <f>IF(A1415="","",DATE(YEAR(A1415),MONTH(A1415),1))</f>
        <v/>
      </c>
      <c r="M1415" s="52">
        <f>IF(OR(A1415="",NOT(ISNUMBER(I1415))),"",IF(G1415=Lists!$B$5,I1415/2,IF(G1415=Lists!$B$6,I1415,0)))</f>
        <v/>
      </c>
      <c r="N1415" s="52">
        <f>IF(OR(A1415="",NOT(ISNUMBER(I1415))),"",IF(G1415=Lists!$B$5,I1415/2,IF(G1415=Lists!$B$7,I1415,0)))</f>
        <v/>
      </c>
      <c r="O1415" s="53">
        <f>IF(COUNTA(A1415:K1415)=0,"",IF(OR(A1415="",B1415="",C1415="",D1415="",E1415="",F1415="",G1415="",NOT(ISNUMBER(I1415))),"Incomplete",IF(COUNTIF(Lists!$H$4:$AA$4,C1415)=0,"Check category",IF(COUNTIF(INDEX(Lists!$H$6:$AA$45,0,MATCH(C1415,Lists!$H$4:$AA$4,0)),D1415)=0,"Check sub-category","OK"))))</f>
        <v/>
      </c>
      <c r="P1415">
        <f>IF(ISNUMBER(I1415),I1415+ROW()/10000000,"")</f>
        <v/>
      </c>
      <c r="Q1415">
        <f>IF(AND(ISNUMBER(P1415),ISNUMBER(A1415)),IF(AND(A1415&gt;=Dashboard!$Q$3,A1415&lt;=Dashboard!$Q$4,OR(J1415&lt;&gt;"Yes",Dashboard!$Q$15="Yes")),P1415,""),"")</f>
        <v/>
      </c>
    </row>
    <row r="1416">
      <c r="A1416" s="47" t="n"/>
      <c r="B1416" s="48" t="n"/>
      <c r="C1416" s="48" t="n"/>
      <c r="D1416" s="48" t="n"/>
      <c r="E1416" s="48" t="n"/>
      <c r="F1416" s="48" t="n"/>
      <c r="G1416" s="48" t="n"/>
      <c r="H1416" s="48" t="n"/>
      <c r="I1416" s="49" t="n"/>
      <c r="J1416" s="50" t="n"/>
      <c r="K1416" s="48" t="n"/>
      <c r="L1416" s="51">
        <f>IF(A1416="","",DATE(YEAR(A1416),MONTH(A1416),1))</f>
        <v/>
      </c>
      <c r="M1416" s="52">
        <f>IF(OR(A1416="",NOT(ISNUMBER(I1416))),"",IF(G1416=Lists!$B$5,I1416/2,IF(G1416=Lists!$B$6,I1416,0)))</f>
        <v/>
      </c>
      <c r="N1416" s="52">
        <f>IF(OR(A1416="",NOT(ISNUMBER(I1416))),"",IF(G1416=Lists!$B$5,I1416/2,IF(G1416=Lists!$B$7,I1416,0)))</f>
        <v/>
      </c>
      <c r="O1416" s="53">
        <f>IF(COUNTA(A1416:K1416)=0,"",IF(OR(A1416="",B1416="",C1416="",D1416="",E1416="",F1416="",G1416="",NOT(ISNUMBER(I1416))),"Incomplete",IF(COUNTIF(Lists!$H$4:$AA$4,C1416)=0,"Check category",IF(COUNTIF(INDEX(Lists!$H$6:$AA$45,0,MATCH(C1416,Lists!$H$4:$AA$4,0)),D1416)=0,"Check sub-category","OK"))))</f>
        <v/>
      </c>
      <c r="P1416">
        <f>IF(ISNUMBER(I1416),I1416+ROW()/10000000,"")</f>
        <v/>
      </c>
      <c r="Q1416">
        <f>IF(AND(ISNUMBER(P1416),ISNUMBER(A1416)),IF(AND(A1416&gt;=Dashboard!$Q$3,A1416&lt;=Dashboard!$Q$4,OR(J1416&lt;&gt;"Yes",Dashboard!$Q$15="Yes")),P1416,""),"")</f>
        <v/>
      </c>
    </row>
    <row r="1417">
      <c r="A1417" s="47" t="n"/>
      <c r="B1417" s="48" t="n"/>
      <c r="C1417" s="48" t="n"/>
      <c r="D1417" s="48" t="n"/>
      <c r="E1417" s="48" t="n"/>
      <c r="F1417" s="48" t="n"/>
      <c r="G1417" s="48" t="n"/>
      <c r="H1417" s="48" t="n"/>
      <c r="I1417" s="49" t="n"/>
      <c r="J1417" s="50" t="n"/>
      <c r="K1417" s="48" t="n"/>
      <c r="L1417" s="51">
        <f>IF(A1417="","",DATE(YEAR(A1417),MONTH(A1417),1))</f>
        <v/>
      </c>
      <c r="M1417" s="52">
        <f>IF(OR(A1417="",NOT(ISNUMBER(I1417))),"",IF(G1417=Lists!$B$5,I1417/2,IF(G1417=Lists!$B$6,I1417,0)))</f>
        <v/>
      </c>
      <c r="N1417" s="52">
        <f>IF(OR(A1417="",NOT(ISNUMBER(I1417))),"",IF(G1417=Lists!$B$5,I1417/2,IF(G1417=Lists!$B$7,I1417,0)))</f>
        <v/>
      </c>
      <c r="O1417" s="53">
        <f>IF(COUNTA(A1417:K1417)=0,"",IF(OR(A1417="",B1417="",C1417="",D1417="",E1417="",F1417="",G1417="",NOT(ISNUMBER(I1417))),"Incomplete",IF(COUNTIF(Lists!$H$4:$AA$4,C1417)=0,"Check category",IF(COUNTIF(INDEX(Lists!$H$6:$AA$45,0,MATCH(C1417,Lists!$H$4:$AA$4,0)),D1417)=0,"Check sub-category","OK"))))</f>
        <v/>
      </c>
      <c r="P1417">
        <f>IF(ISNUMBER(I1417),I1417+ROW()/10000000,"")</f>
        <v/>
      </c>
      <c r="Q1417">
        <f>IF(AND(ISNUMBER(P1417),ISNUMBER(A1417)),IF(AND(A1417&gt;=Dashboard!$Q$3,A1417&lt;=Dashboard!$Q$4,OR(J1417&lt;&gt;"Yes",Dashboard!$Q$15="Yes")),P1417,""),"")</f>
        <v/>
      </c>
    </row>
    <row r="1418">
      <c r="A1418" s="47" t="n"/>
      <c r="B1418" s="48" t="n"/>
      <c r="C1418" s="48" t="n"/>
      <c r="D1418" s="48" t="n"/>
      <c r="E1418" s="48" t="n"/>
      <c r="F1418" s="48" t="n"/>
      <c r="G1418" s="48" t="n"/>
      <c r="H1418" s="48" t="n"/>
      <c r="I1418" s="49" t="n"/>
      <c r="J1418" s="50" t="n"/>
      <c r="K1418" s="48" t="n"/>
      <c r="L1418" s="51">
        <f>IF(A1418="","",DATE(YEAR(A1418),MONTH(A1418),1))</f>
        <v/>
      </c>
      <c r="M1418" s="52">
        <f>IF(OR(A1418="",NOT(ISNUMBER(I1418))),"",IF(G1418=Lists!$B$5,I1418/2,IF(G1418=Lists!$B$6,I1418,0)))</f>
        <v/>
      </c>
      <c r="N1418" s="52">
        <f>IF(OR(A1418="",NOT(ISNUMBER(I1418))),"",IF(G1418=Lists!$B$5,I1418/2,IF(G1418=Lists!$B$7,I1418,0)))</f>
        <v/>
      </c>
      <c r="O1418" s="53">
        <f>IF(COUNTA(A1418:K1418)=0,"",IF(OR(A1418="",B1418="",C1418="",D1418="",E1418="",F1418="",G1418="",NOT(ISNUMBER(I1418))),"Incomplete",IF(COUNTIF(Lists!$H$4:$AA$4,C1418)=0,"Check category",IF(COUNTIF(INDEX(Lists!$H$6:$AA$45,0,MATCH(C1418,Lists!$H$4:$AA$4,0)),D1418)=0,"Check sub-category","OK"))))</f>
        <v/>
      </c>
      <c r="P1418">
        <f>IF(ISNUMBER(I1418),I1418+ROW()/10000000,"")</f>
        <v/>
      </c>
      <c r="Q1418">
        <f>IF(AND(ISNUMBER(P1418),ISNUMBER(A1418)),IF(AND(A1418&gt;=Dashboard!$Q$3,A1418&lt;=Dashboard!$Q$4,OR(J1418&lt;&gt;"Yes",Dashboard!$Q$15="Yes")),P1418,""),"")</f>
        <v/>
      </c>
    </row>
    <row r="1419">
      <c r="A1419" s="47" t="n"/>
      <c r="B1419" s="48" t="n"/>
      <c r="C1419" s="48" t="n"/>
      <c r="D1419" s="48" t="n"/>
      <c r="E1419" s="48" t="n"/>
      <c r="F1419" s="48" t="n"/>
      <c r="G1419" s="48" t="n"/>
      <c r="H1419" s="48" t="n"/>
      <c r="I1419" s="49" t="n"/>
      <c r="J1419" s="50" t="n"/>
      <c r="K1419" s="48" t="n"/>
      <c r="L1419" s="51">
        <f>IF(A1419="","",DATE(YEAR(A1419),MONTH(A1419),1))</f>
        <v/>
      </c>
      <c r="M1419" s="52">
        <f>IF(OR(A1419="",NOT(ISNUMBER(I1419))),"",IF(G1419=Lists!$B$5,I1419/2,IF(G1419=Lists!$B$6,I1419,0)))</f>
        <v/>
      </c>
      <c r="N1419" s="52">
        <f>IF(OR(A1419="",NOT(ISNUMBER(I1419))),"",IF(G1419=Lists!$B$5,I1419/2,IF(G1419=Lists!$B$7,I1419,0)))</f>
        <v/>
      </c>
      <c r="O1419" s="53">
        <f>IF(COUNTA(A1419:K1419)=0,"",IF(OR(A1419="",B1419="",C1419="",D1419="",E1419="",F1419="",G1419="",NOT(ISNUMBER(I1419))),"Incomplete",IF(COUNTIF(Lists!$H$4:$AA$4,C1419)=0,"Check category",IF(COUNTIF(INDEX(Lists!$H$6:$AA$45,0,MATCH(C1419,Lists!$H$4:$AA$4,0)),D1419)=0,"Check sub-category","OK"))))</f>
        <v/>
      </c>
      <c r="P1419">
        <f>IF(ISNUMBER(I1419),I1419+ROW()/10000000,"")</f>
        <v/>
      </c>
      <c r="Q1419">
        <f>IF(AND(ISNUMBER(P1419),ISNUMBER(A1419)),IF(AND(A1419&gt;=Dashboard!$Q$3,A1419&lt;=Dashboard!$Q$4,OR(J1419&lt;&gt;"Yes",Dashboard!$Q$15="Yes")),P1419,""),"")</f>
        <v/>
      </c>
    </row>
    <row r="1420">
      <c r="A1420" s="47" t="n"/>
      <c r="B1420" s="48" t="n"/>
      <c r="C1420" s="48" t="n"/>
      <c r="D1420" s="48" t="n"/>
      <c r="E1420" s="48" t="n"/>
      <c r="F1420" s="48" t="n"/>
      <c r="G1420" s="48" t="n"/>
      <c r="H1420" s="48" t="n"/>
      <c r="I1420" s="49" t="n"/>
      <c r="J1420" s="50" t="n"/>
      <c r="K1420" s="48" t="n"/>
      <c r="L1420" s="51">
        <f>IF(A1420="","",DATE(YEAR(A1420),MONTH(A1420),1))</f>
        <v/>
      </c>
      <c r="M1420" s="52">
        <f>IF(OR(A1420="",NOT(ISNUMBER(I1420))),"",IF(G1420=Lists!$B$5,I1420/2,IF(G1420=Lists!$B$6,I1420,0)))</f>
        <v/>
      </c>
      <c r="N1420" s="52">
        <f>IF(OR(A1420="",NOT(ISNUMBER(I1420))),"",IF(G1420=Lists!$B$5,I1420/2,IF(G1420=Lists!$B$7,I1420,0)))</f>
        <v/>
      </c>
      <c r="O1420" s="53">
        <f>IF(COUNTA(A1420:K1420)=0,"",IF(OR(A1420="",B1420="",C1420="",D1420="",E1420="",F1420="",G1420="",NOT(ISNUMBER(I1420))),"Incomplete",IF(COUNTIF(Lists!$H$4:$AA$4,C1420)=0,"Check category",IF(COUNTIF(INDEX(Lists!$H$6:$AA$45,0,MATCH(C1420,Lists!$H$4:$AA$4,0)),D1420)=0,"Check sub-category","OK"))))</f>
        <v/>
      </c>
      <c r="P1420">
        <f>IF(ISNUMBER(I1420),I1420+ROW()/10000000,"")</f>
        <v/>
      </c>
      <c r="Q1420">
        <f>IF(AND(ISNUMBER(P1420),ISNUMBER(A1420)),IF(AND(A1420&gt;=Dashboard!$Q$3,A1420&lt;=Dashboard!$Q$4,OR(J1420&lt;&gt;"Yes",Dashboard!$Q$15="Yes")),P1420,""),"")</f>
        <v/>
      </c>
    </row>
    <row r="1421">
      <c r="A1421" s="47" t="n"/>
      <c r="B1421" s="48" t="n"/>
      <c r="C1421" s="48" t="n"/>
      <c r="D1421" s="48" t="n"/>
      <c r="E1421" s="48" t="n"/>
      <c r="F1421" s="48" t="n"/>
      <c r="G1421" s="48" t="n"/>
      <c r="H1421" s="48" t="n"/>
      <c r="I1421" s="49" t="n"/>
      <c r="J1421" s="50" t="n"/>
      <c r="K1421" s="48" t="n"/>
      <c r="L1421" s="51">
        <f>IF(A1421="","",DATE(YEAR(A1421),MONTH(A1421),1))</f>
        <v/>
      </c>
      <c r="M1421" s="52">
        <f>IF(OR(A1421="",NOT(ISNUMBER(I1421))),"",IF(G1421=Lists!$B$5,I1421/2,IF(G1421=Lists!$B$6,I1421,0)))</f>
        <v/>
      </c>
      <c r="N1421" s="52">
        <f>IF(OR(A1421="",NOT(ISNUMBER(I1421))),"",IF(G1421=Lists!$B$5,I1421/2,IF(G1421=Lists!$B$7,I1421,0)))</f>
        <v/>
      </c>
      <c r="O1421" s="53">
        <f>IF(COUNTA(A1421:K1421)=0,"",IF(OR(A1421="",B1421="",C1421="",D1421="",E1421="",F1421="",G1421="",NOT(ISNUMBER(I1421))),"Incomplete",IF(COUNTIF(Lists!$H$4:$AA$4,C1421)=0,"Check category",IF(COUNTIF(INDEX(Lists!$H$6:$AA$45,0,MATCH(C1421,Lists!$H$4:$AA$4,0)),D1421)=0,"Check sub-category","OK"))))</f>
        <v/>
      </c>
      <c r="P1421">
        <f>IF(ISNUMBER(I1421),I1421+ROW()/10000000,"")</f>
        <v/>
      </c>
      <c r="Q1421">
        <f>IF(AND(ISNUMBER(P1421),ISNUMBER(A1421)),IF(AND(A1421&gt;=Dashboard!$Q$3,A1421&lt;=Dashboard!$Q$4,OR(J1421&lt;&gt;"Yes",Dashboard!$Q$15="Yes")),P1421,""),"")</f>
        <v/>
      </c>
    </row>
    <row r="1422">
      <c r="A1422" s="47" t="n"/>
      <c r="B1422" s="48" t="n"/>
      <c r="C1422" s="48" t="n"/>
      <c r="D1422" s="48" t="n"/>
      <c r="E1422" s="48" t="n"/>
      <c r="F1422" s="48" t="n"/>
      <c r="G1422" s="48" t="n"/>
      <c r="H1422" s="48" t="n"/>
      <c r="I1422" s="49" t="n"/>
      <c r="J1422" s="50" t="n"/>
      <c r="K1422" s="48" t="n"/>
      <c r="L1422" s="51">
        <f>IF(A1422="","",DATE(YEAR(A1422),MONTH(A1422),1))</f>
        <v/>
      </c>
      <c r="M1422" s="52">
        <f>IF(OR(A1422="",NOT(ISNUMBER(I1422))),"",IF(G1422=Lists!$B$5,I1422/2,IF(G1422=Lists!$B$6,I1422,0)))</f>
        <v/>
      </c>
      <c r="N1422" s="52">
        <f>IF(OR(A1422="",NOT(ISNUMBER(I1422))),"",IF(G1422=Lists!$B$5,I1422/2,IF(G1422=Lists!$B$7,I1422,0)))</f>
        <v/>
      </c>
      <c r="O1422" s="53">
        <f>IF(COUNTA(A1422:K1422)=0,"",IF(OR(A1422="",B1422="",C1422="",D1422="",E1422="",F1422="",G1422="",NOT(ISNUMBER(I1422))),"Incomplete",IF(COUNTIF(Lists!$H$4:$AA$4,C1422)=0,"Check category",IF(COUNTIF(INDEX(Lists!$H$6:$AA$45,0,MATCH(C1422,Lists!$H$4:$AA$4,0)),D1422)=0,"Check sub-category","OK"))))</f>
        <v/>
      </c>
      <c r="P1422">
        <f>IF(ISNUMBER(I1422),I1422+ROW()/10000000,"")</f>
        <v/>
      </c>
      <c r="Q1422">
        <f>IF(AND(ISNUMBER(P1422),ISNUMBER(A1422)),IF(AND(A1422&gt;=Dashboard!$Q$3,A1422&lt;=Dashboard!$Q$4,OR(J1422&lt;&gt;"Yes",Dashboard!$Q$15="Yes")),P1422,""),"")</f>
        <v/>
      </c>
    </row>
    <row r="1423">
      <c r="A1423" s="47" t="n"/>
      <c r="B1423" s="48" t="n"/>
      <c r="C1423" s="48" t="n"/>
      <c r="D1423" s="48" t="n"/>
      <c r="E1423" s="48" t="n"/>
      <c r="F1423" s="48" t="n"/>
      <c r="G1423" s="48" t="n"/>
      <c r="H1423" s="48" t="n"/>
      <c r="I1423" s="49" t="n"/>
      <c r="J1423" s="50" t="n"/>
      <c r="K1423" s="48" t="n"/>
      <c r="L1423" s="51">
        <f>IF(A1423="","",DATE(YEAR(A1423),MONTH(A1423),1))</f>
        <v/>
      </c>
      <c r="M1423" s="52">
        <f>IF(OR(A1423="",NOT(ISNUMBER(I1423))),"",IF(G1423=Lists!$B$5,I1423/2,IF(G1423=Lists!$B$6,I1423,0)))</f>
        <v/>
      </c>
      <c r="N1423" s="52">
        <f>IF(OR(A1423="",NOT(ISNUMBER(I1423))),"",IF(G1423=Lists!$B$5,I1423/2,IF(G1423=Lists!$B$7,I1423,0)))</f>
        <v/>
      </c>
      <c r="O1423" s="53">
        <f>IF(COUNTA(A1423:K1423)=0,"",IF(OR(A1423="",B1423="",C1423="",D1423="",E1423="",F1423="",G1423="",NOT(ISNUMBER(I1423))),"Incomplete",IF(COUNTIF(Lists!$H$4:$AA$4,C1423)=0,"Check category",IF(COUNTIF(INDEX(Lists!$H$6:$AA$45,0,MATCH(C1423,Lists!$H$4:$AA$4,0)),D1423)=0,"Check sub-category","OK"))))</f>
        <v/>
      </c>
      <c r="P1423">
        <f>IF(ISNUMBER(I1423),I1423+ROW()/10000000,"")</f>
        <v/>
      </c>
      <c r="Q1423">
        <f>IF(AND(ISNUMBER(P1423),ISNUMBER(A1423)),IF(AND(A1423&gt;=Dashboard!$Q$3,A1423&lt;=Dashboard!$Q$4,OR(J1423&lt;&gt;"Yes",Dashboard!$Q$15="Yes")),P1423,""),"")</f>
        <v/>
      </c>
    </row>
    <row r="1424">
      <c r="A1424" s="47" t="n"/>
      <c r="B1424" s="48" t="n"/>
      <c r="C1424" s="48" t="n"/>
      <c r="D1424" s="48" t="n"/>
      <c r="E1424" s="48" t="n"/>
      <c r="F1424" s="48" t="n"/>
      <c r="G1424" s="48" t="n"/>
      <c r="H1424" s="48" t="n"/>
      <c r="I1424" s="49" t="n"/>
      <c r="J1424" s="50" t="n"/>
      <c r="K1424" s="48" t="n"/>
      <c r="L1424" s="51">
        <f>IF(A1424="","",DATE(YEAR(A1424),MONTH(A1424),1))</f>
        <v/>
      </c>
      <c r="M1424" s="52">
        <f>IF(OR(A1424="",NOT(ISNUMBER(I1424))),"",IF(G1424=Lists!$B$5,I1424/2,IF(G1424=Lists!$B$6,I1424,0)))</f>
        <v/>
      </c>
      <c r="N1424" s="52">
        <f>IF(OR(A1424="",NOT(ISNUMBER(I1424))),"",IF(G1424=Lists!$B$5,I1424/2,IF(G1424=Lists!$B$7,I1424,0)))</f>
        <v/>
      </c>
      <c r="O1424" s="53">
        <f>IF(COUNTA(A1424:K1424)=0,"",IF(OR(A1424="",B1424="",C1424="",D1424="",E1424="",F1424="",G1424="",NOT(ISNUMBER(I1424))),"Incomplete",IF(COUNTIF(Lists!$H$4:$AA$4,C1424)=0,"Check category",IF(COUNTIF(INDEX(Lists!$H$6:$AA$45,0,MATCH(C1424,Lists!$H$4:$AA$4,0)),D1424)=0,"Check sub-category","OK"))))</f>
        <v/>
      </c>
      <c r="P1424">
        <f>IF(ISNUMBER(I1424),I1424+ROW()/10000000,"")</f>
        <v/>
      </c>
      <c r="Q1424">
        <f>IF(AND(ISNUMBER(P1424),ISNUMBER(A1424)),IF(AND(A1424&gt;=Dashboard!$Q$3,A1424&lt;=Dashboard!$Q$4,OR(J1424&lt;&gt;"Yes",Dashboard!$Q$15="Yes")),P1424,""),"")</f>
        <v/>
      </c>
    </row>
    <row r="1425">
      <c r="A1425" s="47" t="n"/>
      <c r="B1425" s="48" t="n"/>
      <c r="C1425" s="48" t="n"/>
      <c r="D1425" s="48" t="n"/>
      <c r="E1425" s="48" t="n"/>
      <c r="F1425" s="48" t="n"/>
      <c r="G1425" s="48" t="n"/>
      <c r="H1425" s="48" t="n"/>
      <c r="I1425" s="49" t="n"/>
      <c r="J1425" s="50" t="n"/>
      <c r="K1425" s="48" t="n"/>
      <c r="L1425" s="51">
        <f>IF(A1425="","",DATE(YEAR(A1425),MONTH(A1425),1))</f>
        <v/>
      </c>
      <c r="M1425" s="52">
        <f>IF(OR(A1425="",NOT(ISNUMBER(I1425))),"",IF(G1425=Lists!$B$5,I1425/2,IF(G1425=Lists!$B$6,I1425,0)))</f>
        <v/>
      </c>
      <c r="N1425" s="52">
        <f>IF(OR(A1425="",NOT(ISNUMBER(I1425))),"",IF(G1425=Lists!$B$5,I1425/2,IF(G1425=Lists!$B$7,I1425,0)))</f>
        <v/>
      </c>
      <c r="O1425" s="53">
        <f>IF(COUNTA(A1425:K1425)=0,"",IF(OR(A1425="",B1425="",C1425="",D1425="",E1425="",F1425="",G1425="",NOT(ISNUMBER(I1425))),"Incomplete",IF(COUNTIF(Lists!$H$4:$AA$4,C1425)=0,"Check category",IF(COUNTIF(INDEX(Lists!$H$6:$AA$45,0,MATCH(C1425,Lists!$H$4:$AA$4,0)),D1425)=0,"Check sub-category","OK"))))</f>
        <v/>
      </c>
      <c r="P1425">
        <f>IF(ISNUMBER(I1425),I1425+ROW()/10000000,"")</f>
        <v/>
      </c>
      <c r="Q1425">
        <f>IF(AND(ISNUMBER(P1425),ISNUMBER(A1425)),IF(AND(A1425&gt;=Dashboard!$Q$3,A1425&lt;=Dashboard!$Q$4,OR(J1425&lt;&gt;"Yes",Dashboard!$Q$15="Yes")),P1425,""),"")</f>
        <v/>
      </c>
    </row>
    <row r="1426">
      <c r="A1426" s="47" t="n"/>
      <c r="B1426" s="48" t="n"/>
      <c r="C1426" s="48" t="n"/>
      <c r="D1426" s="48" t="n"/>
      <c r="E1426" s="48" t="n"/>
      <c r="F1426" s="48" t="n"/>
      <c r="G1426" s="48" t="n"/>
      <c r="H1426" s="48" t="n"/>
      <c r="I1426" s="49" t="n"/>
      <c r="J1426" s="50" t="n"/>
      <c r="K1426" s="48" t="n"/>
      <c r="L1426" s="51">
        <f>IF(A1426="","",DATE(YEAR(A1426),MONTH(A1426),1))</f>
        <v/>
      </c>
      <c r="M1426" s="52">
        <f>IF(OR(A1426="",NOT(ISNUMBER(I1426))),"",IF(G1426=Lists!$B$5,I1426/2,IF(G1426=Lists!$B$6,I1426,0)))</f>
        <v/>
      </c>
      <c r="N1426" s="52">
        <f>IF(OR(A1426="",NOT(ISNUMBER(I1426))),"",IF(G1426=Lists!$B$5,I1426/2,IF(G1426=Lists!$B$7,I1426,0)))</f>
        <v/>
      </c>
      <c r="O1426" s="53">
        <f>IF(COUNTA(A1426:K1426)=0,"",IF(OR(A1426="",B1426="",C1426="",D1426="",E1426="",F1426="",G1426="",NOT(ISNUMBER(I1426))),"Incomplete",IF(COUNTIF(Lists!$H$4:$AA$4,C1426)=0,"Check category",IF(COUNTIF(INDEX(Lists!$H$6:$AA$45,0,MATCH(C1426,Lists!$H$4:$AA$4,0)),D1426)=0,"Check sub-category","OK"))))</f>
        <v/>
      </c>
      <c r="P1426">
        <f>IF(ISNUMBER(I1426),I1426+ROW()/10000000,"")</f>
        <v/>
      </c>
      <c r="Q1426">
        <f>IF(AND(ISNUMBER(P1426),ISNUMBER(A1426)),IF(AND(A1426&gt;=Dashboard!$Q$3,A1426&lt;=Dashboard!$Q$4,OR(J1426&lt;&gt;"Yes",Dashboard!$Q$15="Yes")),P1426,""),"")</f>
        <v/>
      </c>
    </row>
    <row r="1427">
      <c r="A1427" s="47" t="n"/>
      <c r="B1427" s="48" t="n"/>
      <c r="C1427" s="48" t="n"/>
      <c r="D1427" s="48" t="n"/>
      <c r="E1427" s="48" t="n"/>
      <c r="F1427" s="48" t="n"/>
      <c r="G1427" s="48" t="n"/>
      <c r="H1427" s="48" t="n"/>
      <c r="I1427" s="49" t="n"/>
      <c r="J1427" s="50" t="n"/>
      <c r="K1427" s="48" t="n"/>
      <c r="L1427" s="51">
        <f>IF(A1427="","",DATE(YEAR(A1427),MONTH(A1427),1))</f>
        <v/>
      </c>
      <c r="M1427" s="52">
        <f>IF(OR(A1427="",NOT(ISNUMBER(I1427))),"",IF(G1427=Lists!$B$5,I1427/2,IF(G1427=Lists!$B$6,I1427,0)))</f>
        <v/>
      </c>
      <c r="N1427" s="52">
        <f>IF(OR(A1427="",NOT(ISNUMBER(I1427))),"",IF(G1427=Lists!$B$5,I1427/2,IF(G1427=Lists!$B$7,I1427,0)))</f>
        <v/>
      </c>
      <c r="O1427" s="53">
        <f>IF(COUNTA(A1427:K1427)=0,"",IF(OR(A1427="",B1427="",C1427="",D1427="",E1427="",F1427="",G1427="",NOT(ISNUMBER(I1427))),"Incomplete",IF(COUNTIF(Lists!$H$4:$AA$4,C1427)=0,"Check category",IF(COUNTIF(INDEX(Lists!$H$6:$AA$45,0,MATCH(C1427,Lists!$H$4:$AA$4,0)),D1427)=0,"Check sub-category","OK"))))</f>
        <v/>
      </c>
      <c r="P1427">
        <f>IF(ISNUMBER(I1427),I1427+ROW()/10000000,"")</f>
        <v/>
      </c>
      <c r="Q1427">
        <f>IF(AND(ISNUMBER(P1427),ISNUMBER(A1427)),IF(AND(A1427&gt;=Dashboard!$Q$3,A1427&lt;=Dashboard!$Q$4,OR(J1427&lt;&gt;"Yes",Dashboard!$Q$15="Yes")),P1427,""),"")</f>
        <v/>
      </c>
    </row>
    <row r="1428">
      <c r="A1428" s="47" t="n"/>
      <c r="B1428" s="48" t="n"/>
      <c r="C1428" s="48" t="n"/>
      <c r="D1428" s="48" t="n"/>
      <c r="E1428" s="48" t="n"/>
      <c r="F1428" s="48" t="n"/>
      <c r="G1428" s="48" t="n"/>
      <c r="H1428" s="48" t="n"/>
      <c r="I1428" s="49" t="n"/>
      <c r="J1428" s="50" t="n"/>
      <c r="K1428" s="48" t="n"/>
      <c r="L1428" s="51">
        <f>IF(A1428="","",DATE(YEAR(A1428),MONTH(A1428),1))</f>
        <v/>
      </c>
      <c r="M1428" s="52">
        <f>IF(OR(A1428="",NOT(ISNUMBER(I1428))),"",IF(G1428=Lists!$B$5,I1428/2,IF(G1428=Lists!$B$6,I1428,0)))</f>
        <v/>
      </c>
      <c r="N1428" s="52">
        <f>IF(OR(A1428="",NOT(ISNUMBER(I1428))),"",IF(G1428=Lists!$B$5,I1428/2,IF(G1428=Lists!$B$7,I1428,0)))</f>
        <v/>
      </c>
      <c r="O1428" s="53">
        <f>IF(COUNTA(A1428:K1428)=0,"",IF(OR(A1428="",B1428="",C1428="",D1428="",E1428="",F1428="",G1428="",NOT(ISNUMBER(I1428))),"Incomplete",IF(COUNTIF(Lists!$H$4:$AA$4,C1428)=0,"Check category",IF(COUNTIF(INDEX(Lists!$H$6:$AA$45,0,MATCH(C1428,Lists!$H$4:$AA$4,0)),D1428)=0,"Check sub-category","OK"))))</f>
        <v/>
      </c>
      <c r="P1428">
        <f>IF(ISNUMBER(I1428),I1428+ROW()/10000000,"")</f>
        <v/>
      </c>
      <c r="Q1428">
        <f>IF(AND(ISNUMBER(P1428),ISNUMBER(A1428)),IF(AND(A1428&gt;=Dashboard!$Q$3,A1428&lt;=Dashboard!$Q$4,OR(J1428&lt;&gt;"Yes",Dashboard!$Q$15="Yes")),P1428,""),"")</f>
        <v/>
      </c>
    </row>
    <row r="1429">
      <c r="A1429" s="47" t="n"/>
      <c r="B1429" s="48" t="n"/>
      <c r="C1429" s="48" t="n"/>
      <c r="D1429" s="48" t="n"/>
      <c r="E1429" s="48" t="n"/>
      <c r="F1429" s="48" t="n"/>
      <c r="G1429" s="48" t="n"/>
      <c r="H1429" s="48" t="n"/>
      <c r="I1429" s="49" t="n"/>
      <c r="J1429" s="50" t="n"/>
      <c r="K1429" s="48" t="n"/>
      <c r="L1429" s="51">
        <f>IF(A1429="","",DATE(YEAR(A1429),MONTH(A1429),1))</f>
        <v/>
      </c>
      <c r="M1429" s="52">
        <f>IF(OR(A1429="",NOT(ISNUMBER(I1429))),"",IF(G1429=Lists!$B$5,I1429/2,IF(G1429=Lists!$B$6,I1429,0)))</f>
        <v/>
      </c>
      <c r="N1429" s="52">
        <f>IF(OR(A1429="",NOT(ISNUMBER(I1429))),"",IF(G1429=Lists!$B$5,I1429/2,IF(G1429=Lists!$B$7,I1429,0)))</f>
        <v/>
      </c>
      <c r="O1429" s="53">
        <f>IF(COUNTA(A1429:K1429)=0,"",IF(OR(A1429="",B1429="",C1429="",D1429="",E1429="",F1429="",G1429="",NOT(ISNUMBER(I1429))),"Incomplete",IF(COUNTIF(Lists!$H$4:$AA$4,C1429)=0,"Check category",IF(COUNTIF(INDEX(Lists!$H$6:$AA$45,0,MATCH(C1429,Lists!$H$4:$AA$4,0)),D1429)=0,"Check sub-category","OK"))))</f>
        <v/>
      </c>
      <c r="P1429">
        <f>IF(ISNUMBER(I1429),I1429+ROW()/10000000,"")</f>
        <v/>
      </c>
      <c r="Q1429">
        <f>IF(AND(ISNUMBER(P1429),ISNUMBER(A1429)),IF(AND(A1429&gt;=Dashboard!$Q$3,A1429&lt;=Dashboard!$Q$4,OR(J1429&lt;&gt;"Yes",Dashboard!$Q$15="Yes")),P1429,""),"")</f>
        <v/>
      </c>
    </row>
    <row r="1430">
      <c r="A1430" s="47" t="n"/>
      <c r="B1430" s="48" t="n"/>
      <c r="C1430" s="48" t="n"/>
      <c r="D1430" s="48" t="n"/>
      <c r="E1430" s="48" t="n"/>
      <c r="F1430" s="48" t="n"/>
      <c r="G1430" s="48" t="n"/>
      <c r="H1430" s="48" t="n"/>
      <c r="I1430" s="49" t="n"/>
      <c r="J1430" s="50" t="n"/>
      <c r="K1430" s="48" t="n"/>
      <c r="L1430" s="51">
        <f>IF(A1430="","",DATE(YEAR(A1430),MONTH(A1430),1))</f>
        <v/>
      </c>
      <c r="M1430" s="52">
        <f>IF(OR(A1430="",NOT(ISNUMBER(I1430))),"",IF(G1430=Lists!$B$5,I1430/2,IF(G1430=Lists!$B$6,I1430,0)))</f>
        <v/>
      </c>
      <c r="N1430" s="52">
        <f>IF(OR(A1430="",NOT(ISNUMBER(I1430))),"",IF(G1430=Lists!$B$5,I1430/2,IF(G1430=Lists!$B$7,I1430,0)))</f>
        <v/>
      </c>
      <c r="O1430" s="53">
        <f>IF(COUNTA(A1430:K1430)=0,"",IF(OR(A1430="",B1430="",C1430="",D1430="",E1430="",F1430="",G1430="",NOT(ISNUMBER(I1430))),"Incomplete",IF(COUNTIF(Lists!$H$4:$AA$4,C1430)=0,"Check category",IF(COUNTIF(INDEX(Lists!$H$6:$AA$45,0,MATCH(C1430,Lists!$H$4:$AA$4,0)),D1430)=0,"Check sub-category","OK"))))</f>
        <v/>
      </c>
      <c r="P1430">
        <f>IF(ISNUMBER(I1430),I1430+ROW()/10000000,"")</f>
        <v/>
      </c>
      <c r="Q1430">
        <f>IF(AND(ISNUMBER(P1430),ISNUMBER(A1430)),IF(AND(A1430&gt;=Dashboard!$Q$3,A1430&lt;=Dashboard!$Q$4,OR(J1430&lt;&gt;"Yes",Dashboard!$Q$15="Yes")),P1430,""),"")</f>
        <v/>
      </c>
    </row>
    <row r="1431">
      <c r="A1431" s="47" t="n"/>
      <c r="B1431" s="48" t="n"/>
      <c r="C1431" s="48" t="n"/>
      <c r="D1431" s="48" t="n"/>
      <c r="E1431" s="48" t="n"/>
      <c r="F1431" s="48" t="n"/>
      <c r="G1431" s="48" t="n"/>
      <c r="H1431" s="48" t="n"/>
      <c r="I1431" s="49" t="n"/>
      <c r="J1431" s="50" t="n"/>
      <c r="K1431" s="48" t="n"/>
      <c r="L1431" s="51">
        <f>IF(A1431="","",DATE(YEAR(A1431),MONTH(A1431),1))</f>
        <v/>
      </c>
      <c r="M1431" s="52">
        <f>IF(OR(A1431="",NOT(ISNUMBER(I1431))),"",IF(G1431=Lists!$B$5,I1431/2,IF(G1431=Lists!$B$6,I1431,0)))</f>
        <v/>
      </c>
      <c r="N1431" s="52">
        <f>IF(OR(A1431="",NOT(ISNUMBER(I1431))),"",IF(G1431=Lists!$B$5,I1431/2,IF(G1431=Lists!$B$7,I1431,0)))</f>
        <v/>
      </c>
      <c r="O1431" s="53">
        <f>IF(COUNTA(A1431:K1431)=0,"",IF(OR(A1431="",B1431="",C1431="",D1431="",E1431="",F1431="",G1431="",NOT(ISNUMBER(I1431))),"Incomplete",IF(COUNTIF(Lists!$H$4:$AA$4,C1431)=0,"Check category",IF(COUNTIF(INDEX(Lists!$H$6:$AA$45,0,MATCH(C1431,Lists!$H$4:$AA$4,0)),D1431)=0,"Check sub-category","OK"))))</f>
        <v/>
      </c>
      <c r="P1431">
        <f>IF(ISNUMBER(I1431),I1431+ROW()/10000000,"")</f>
        <v/>
      </c>
      <c r="Q1431">
        <f>IF(AND(ISNUMBER(P1431),ISNUMBER(A1431)),IF(AND(A1431&gt;=Dashboard!$Q$3,A1431&lt;=Dashboard!$Q$4,OR(J1431&lt;&gt;"Yes",Dashboard!$Q$15="Yes")),P1431,""),"")</f>
        <v/>
      </c>
    </row>
    <row r="1432">
      <c r="A1432" s="47" t="n"/>
      <c r="B1432" s="48" t="n"/>
      <c r="C1432" s="48" t="n"/>
      <c r="D1432" s="48" t="n"/>
      <c r="E1432" s="48" t="n"/>
      <c r="F1432" s="48" t="n"/>
      <c r="G1432" s="48" t="n"/>
      <c r="H1432" s="48" t="n"/>
      <c r="I1432" s="49" t="n"/>
      <c r="J1432" s="50" t="n"/>
      <c r="K1432" s="48" t="n"/>
      <c r="L1432" s="51">
        <f>IF(A1432="","",DATE(YEAR(A1432),MONTH(A1432),1))</f>
        <v/>
      </c>
      <c r="M1432" s="52">
        <f>IF(OR(A1432="",NOT(ISNUMBER(I1432))),"",IF(G1432=Lists!$B$5,I1432/2,IF(G1432=Lists!$B$6,I1432,0)))</f>
        <v/>
      </c>
      <c r="N1432" s="52">
        <f>IF(OR(A1432="",NOT(ISNUMBER(I1432))),"",IF(G1432=Lists!$B$5,I1432/2,IF(G1432=Lists!$B$7,I1432,0)))</f>
        <v/>
      </c>
      <c r="O1432" s="53">
        <f>IF(COUNTA(A1432:K1432)=0,"",IF(OR(A1432="",B1432="",C1432="",D1432="",E1432="",F1432="",G1432="",NOT(ISNUMBER(I1432))),"Incomplete",IF(COUNTIF(Lists!$H$4:$AA$4,C1432)=0,"Check category",IF(COUNTIF(INDEX(Lists!$H$6:$AA$45,0,MATCH(C1432,Lists!$H$4:$AA$4,0)),D1432)=0,"Check sub-category","OK"))))</f>
        <v/>
      </c>
      <c r="P1432">
        <f>IF(ISNUMBER(I1432),I1432+ROW()/10000000,"")</f>
        <v/>
      </c>
      <c r="Q1432">
        <f>IF(AND(ISNUMBER(P1432),ISNUMBER(A1432)),IF(AND(A1432&gt;=Dashboard!$Q$3,A1432&lt;=Dashboard!$Q$4,OR(J1432&lt;&gt;"Yes",Dashboard!$Q$15="Yes")),P1432,""),"")</f>
        <v/>
      </c>
    </row>
    <row r="1433">
      <c r="A1433" s="47" t="n"/>
      <c r="B1433" s="48" t="n"/>
      <c r="C1433" s="48" t="n"/>
      <c r="D1433" s="48" t="n"/>
      <c r="E1433" s="48" t="n"/>
      <c r="F1433" s="48" t="n"/>
      <c r="G1433" s="48" t="n"/>
      <c r="H1433" s="48" t="n"/>
      <c r="I1433" s="49" t="n"/>
      <c r="J1433" s="50" t="n"/>
      <c r="K1433" s="48" t="n"/>
      <c r="L1433" s="51">
        <f>IF(A1433="","",DATE(YEAR(A1433),MONTH(A1433),1))</f>
        <v/>
      </c>
      <c r="M1433" s="52">
        <f>IF(OR(A1433="",NOT(ISNUMBER(I1433))),"",IF(G1433=Lists!$B$5,I1433/2,IF(G1433=Lists!$B$6,I1433,0)))</f>
        <v/>
      </c>
      <c r="N1433" s="52">
        <f>IF(OR(A1433="",NOT(ISNUMBER(I1433))),"",IF(G1433=Lists!$B$5,I1433/2,IF(G1433=Lists!$B$7,I1433,0)))</f>
        <v/>
      </c>
      <c r="O1433" s="53">
        <f>IF(COUNTA(A1433:K1433)=0,"",IF(OR(A1433="",B1433="",C1433="",D1433="",E1433="",F1433="",G1433="",NOT(ISNUMBER(I1433))),"Incomplete",IF(COUNTIF(Lists!$H$4:$AA$4,C1433)=0,"Check category",IF(COUNTIF(INDEX(Lists!$H$6:$AA$45,0,MATCH(C1433,Lists!$H$4:$AA$4,0)),D1433)=0,"Check sub-category","OK"))))</f>
        <v/>
      </c>
      <c r="P1433">
        <f>IF(ISNUMBER(I1433),I1433+ROW()/10000000,"")</f>
        <v/>
      </c>
      <c r="Q1433">
        <f>IF(AND(ISNUMBER(P1433),ISNUMBER(A1433)),IF(AND(A1433&gt;=Dashboard!$Q$3,A1433&lt;=Dashboard!$Q$4,OR(J1433&lt;&gt;"Yes",Dashboard!$Q$15="Yes")),P1433,""),"")</f>
        <v/>
      </c>
    </row>
    <row r="1434">
      <c r="A1434" s="47" t="n"/>
      <c r="B1434" s="48" t="n"/>
      <c r="C1434" s="48" t="n"/>
      <c r="D1434" s="48" t="n"/>
      <c r="E1434" s="48" t="n"/>
      <c r="F1434" s="48" t="n"/>
      <c r="G1434" s="48" t="n"/>
      <c r="H1434" s="48" t="n"/>
      <c r="I1434" s="49" t="n"/>
      <c r="J1434" s="50" t="n"/>
      <c r="K1434" s="48" t="n"/>
      <c r="L1434" s="51">
        <f>IF(A1434="","",DATE(YEAR(A1434),MONTH(A1434),1))</f>
        <v/>
      </c>
      <c r="M1434" s="52">
        <f>IF(OR(A1434="",NOT(ISNUMBER(I1434))),"",IF(G1434=Lists!$B$5,I1434/2,IF(G1434=Lists!$B$6,I1434,0)))</f>
        <v/>
      </c>
      <c r="N1434" s="52">
        <f>IF(OR(A1434="",NOT(ISNUMBER(I1434))),"",IF(G1434=Lists!$B$5,I1434/2,IF(G1434=Lists!$B$7,I1434,0)))</f>
        <v/>
      </c>
      <c r="O1434" s="53">
        <f>IF(COUNTA(A1434:K1434)=0,"",IF(OR(A1434="",B1434="",C1434="",D1434="",E1434="",F1434="",G1434="",NOT(ISNUMBER(I1434))),"Incomplete",IF(COUNTIF(Lists!$H$4:$AA$4,C1434)=0,"Check category",IF(COUNTIF(INDEX(Lists!$H$6:$AA$45,0,MATCH(C1434,Lists!$H$4:$AA$4,0)),D1434)=0,"Check sub-category","OK"))))</f>
        <v/>
      </c>
      <c r="P1434">
        <f>IF(ISNUMBER(I1434),I1434+ROW()/10000000,"")</f>
        <v/>
      </c>
      <c r="Q1434">
        <f>IF(AND(ISNUMBER(P1434),ISNUMBER(A1434)),IF(AND(A1434&gt;=Dashboard!$Q$3,A1434&lt;=Dashboard!$Q$4,OR(J1434&lt;&gt;"Yes",Dashboard!$Q$15="Yes")),P1434,""),"")</f>
        <v/>
      </c>
    </row>
    <row r="1435">
      <c r="A1435" s="47" t="n"/>
      <c r="B1435" s="48" t="n"/>
      <c r="C1435" s="48" t="n"/>
      <c r="D1435" s="48" t="n"/>
      <c r="E1435" s="48" t="n"/>
      <c r="F1435" s="48" t="n"/>
      <c r="G1435" s="48" t="n"/>
      <c r="H1435" s="48" t="n"/>
      <c r="I1435" s="49" t="n"/>
      <c r="J1435" s="50" t="n"/>
      <c r="K1435" s="48" t="n"/>
      <c r="L1435" s="51">
        <f>IF(A1435="","",DATE(YEAR(A1435),MONTH(A1435),1))</f>
        <v/>
      </c>
      <c r="M1435" s="52">
        <f>IF(OR(A1435="",NOT(ISNUMBER(I1435))),"",IF(G1435=Lists!$B$5,I1435/2,IF(G1435=Lists!$B$6,I1435,0)))</f>
        <v/>
      </c>
      <c r="N1435" s="52">
        <f>IF(OR(A1435="",NOT(ISNUMBER(I1435))),"",IF(G1435=Lists!$B$5,I1435/2,IF(G1435=Lists!$B$7,I1435,0)))</f>
        <v/>
      </c>
      <c r="O1435" s="53">
        <f>IF(COUNTA(A1435:K1435)=0,"",IF(OR(A1435="",B1435="",C1435="",D1435="",E1435="",F1435="",G1435="",NOT(ISNUMBER(I1435))),"Incomplete",IF(COUNTIF(Lists!$H$4:$AA$4,C1435)=0,"Check category",IF(COUNTIF(INDEX(Lists!$H$6:$AA$45,0,MATCH(C1435,Lists!$H$4:$AA$4,0)),D1435)=0,"Check sub-category","OK"))))</f>
        <v/>
      </c>
      <c r="P1435">
        <f>IF(ISNUMBER(I1435),I1435+ROW()/10000000,"")</f>
        <v/>
      </c>
      <c r="Q1435">
        <f>IF(AND(ISNUMBER(P1435),ISNUMBER(A1435)),IF(AND(A1435&gt;=Dashboard!$Q$3,A1435&lt;=Dashboard!$Q$4,OR(J1435&lt;&gt;"Yes",Dashboard!$Q$15="Yes")),P1435,""),"")</f>
        <v/>
      </c>
    </row>
    <row r="1436">
      <c r="A1436" s="47" t="n"/>
      <c r="B1436" s="48" t="n"/>
      <c r="C1436" s="48" t="n"/>
      <c r="D1436" s="48" t="n"/>
      <c r="E1436" s="48" t="n"/>
      <c r="F1436" s="48" t="n"/>
      <c r="G1436" s="48" t="n"/>
      <c r="H1436" s="48" t="n"/>
      <c r="I1436" s="49" t="n"/>
      <c r="J1436" s="50" t="n"/>
      <c r="K1436" s="48" t="n"/>
      <c r="L1436" s="51">
        <f>IF(A1436="","",DATE(YEAR(A1436),MONTH(A1436),1))</f>
        <v/>
      </c>
      <c r="M1436" s="52">
        <f>IF(OR(A1436="",NOT(ISNUMBER(I1436))),"",IF(G1436=Lists!$B$5,I1436/2,IF(G1436=Lists!$B$6,I1436,0)))</f>
        <v/>
      </c>
      <c r="N1436" s="52">
        <f>IF(OR(A1436="",NOT(ISNUMBER(I1436))),"",IF(G1436=Lists!$B$5,I1436/2,IF(G1436=Lists!$B$7,I1436,0)))</f>
        <v/>
      </c>
      <c r="O1436" s="53">
        <f>IF(COUNTA(A1436:K1436)=0,"",IF(OR(A1436="",B1436="",C1436="",D1436="",E1436="",F1436="",G1436="",NOT(ISNUMBER(I1436))),"Incomplete",IF(COUNTIF(Lists!$H$4:$AA$4,C1436)=0,"Check category",IF(COUNTIF(INDEX(Lists!$H$6:$AA$45,0,MATCH(C1436,Lists!$H$4:$AA$4,0)),D1436)=0,"Check sub-category","OK"))))</f>
        <v/>
      </c>
      <c r="P1436">
        <f>IF(ISNUMBER(I1436),I1436+ROW()/10000000,"")</f>
        <v/>
      </c>
      <c r="Q1436">
        <f>IF(AND(ISNUMBER(P1436),ISNUMBER(A1436)),IF(AND(A1436&gt;=Dashboard!$Q$3,A1436&lt;=Dashboard!$Q$4,OR(J1436&lt;&gt;"Yes",Dashboard!$Q$15="Yes")),P1436,""),"")</f>
        <v/>
      </c>
    </row>
    <row r="1437">
      <c r="A1437" s="47" t="n"/>
      <c r="B1437" s="48" t="n"/>
      <c r="C1437" s="48" t="n"/>
      <c r="D1437" s="48" t="n"/>
      <c r="E1437" s="48" t="n"/>
      <c r="F1437" s="48" t="n"/>
      <c r="G1437" s="48" t="n"/>
      <c r="H1437" s="48" t="n"/>
      <c r="I1437" s="49" t="n"/>
      <c r="J1437" s="50" t="n"/>
      <c r="K1437" s="48" t="n"/>
      <c r="L1437" s="51">
        <f>IF(A1437="","",DATE(YEAR(A1437),MONTH(A1437),1))</f>
        <v/>
      </c>
      <c r="M1437" s="52">
        <f>IF(OR(A1437="",NOT(ISNUMBER(I1437))),"",IF(G1437=Lists!$B$5,I1437/2,IF(G1437=Lists!$B$6,I1437,0)))</f>
        <v/>
      </c>
      <c r="N1437" s="52">
        <f>IF(OR(A1437="",NOT(ISNUMBER(I1437))),"",IF(G1437=Lists!$B$5,I1437/2,IF(G1437=Lists!$B$7,I1437,0)))</f>
        <v/>
      </c>
      <c r="O1437" s="53">
        <f>IF(COUNTA(A1437:K1437)=0,"",IF(OR(A1437="",B1437="",C1437="",D1437="",E1437="",F1437="",G1437="",NOT(ISNUMBER(I1437))),"Incomplete",IF(COUNTIF(Lists!$H$4:$AA$4,C1437)=0,"Check category",IF(COUNTIF(INDEX(Lists!$H$6:$AA$45,0,MATCH(C1437,Lists!$H$4:$AA$4,0)),D1437)=0,"Check sub-category","OK"))))</f>
        <v/>
      </c>
      <c r="P1437">
        <f>IF(ISNUMBER(I1437),I1437+ROW()/10000000,"")</f>
        <v/>
      </c>
      <c r="Q1437">
        <f>IF(AND(ISNUMBER(P1437),ISNUMBER(A1437)),IF(AND(A1437&gt;=Dashboard!$Q$3,A1437&lt;=Dashboard!$Q$4,OR(J1437&lt;&gt;"Yes",Dashboard!$Q$15="Yes")),P1437,""),"")</f>
        <v/>
      </c>
    </row>
    <row r="1438">
      <c r="A1438" s="47" t="n"/>
      <c r="B1438" s="48" t="n"/>
      <c r="C1438" s="48" t="n"/>
      <c r="D1438" s="48" t="n"/>
      <c r="E1438" s="48" t="n"/>
      <c r="F1438" s="48" t="n"/>
      <c r="G1438" s="48" t="n"/>
      <c r="H1438" s="48" t="n"/>
      <c r="I1438" s="49" t="n"/>
      <c r="J1438" s="50" t="n"/>
      <c r="K1438" s="48" t="n"/>
      <c r="L1438" s="51">
        <f>IF(A1438="","",DATE(YEAR(A1438),MONTH(A1438),1))</f>
        <v/>
      </c>
      <c r="M1438" s="52">
        <f>IF(OR(A1438="",NOT(ISNUMBER(I1438))),"",IF(G1438=Lists!$B$5,I1438/2,IF(G1438=Lists!$B$6,I1438,0)))</f>
        <v/>
      </c>
      <c r="N1438" s="52">
        <f>IF(OR(A1438="",NOT(ISNUMBER(I1438))),"",IF(G1438=Lists!$B$5,I1438/2,IF(G1438=Lists!$B$7,I1438,0)))</f>
        <v/>
      </c>
      <c r="O1438" s="53">
        <f>IF(COUNTA(A1438:K1438)=0,"",IF(OR(A1438="",B1438="",C1438="",D1438="",E1438="",F1438="",G1438="",NOT(ISNUMBER(I1438))),"Incomplete",IF(COUNTIF(Lists!$H$4:$AA$4,C1438)=0,"Check category",IF(COUNTIF(INDEX(Lists!$H$6:$AA$45,0,MATCH(C1438,Lists!$H$4:$AA$4,0)),D1438)=0,"Check sub-category","OK"))))</f>
        <v/>
      </c>
      <c r="P1438">
        <f>IF(ISNUMBER(I1438),I1438+ROW()/10000000,"")</f>
        <v/>
      </c>
      <c r="Q1438">
        <f>IF(AND(ISNUMBER(P1438),ISNUMBER(A1438)),IF(AND(A1438&gt;=Dashboard!$Q$3,A1438&lt;=Dashboard!$Q$4,OR(J1438&lt;&gt;"Yes",Dashboard!$Q$15="Yes")),P1438,""),"")</f>
        <v/>
      </c>
    </row>
    <row r="1439">
      <c r="A1439" s="47" t="n"/>
      <c r="B1439" s="48" t="n"/>
      <c r="C1439" s="48" t="n"/>
      <c r="D1439" s="48" t="n"/>
      <c r="E1439" s="48" t="n"/>
      <c r="F1439" s="48" t="n"/>
      <c r="G1439" s="48" t="n"/>
      <c r="H1439" s="48" t="n"/>
      <c r="I1439" s="49" t="n"/>
      <c r="J1439" s="50" t="n"/>
      <c r="K1439" s="48" t="n"/>
      <c r="L1439" s="51">
        <f>IF(A1439="","",DATE(YEAR(A1439),MONTH(A1439),1))</f>
        <v/>
      </c>
      <c r="M1439" s="52">
        <f>IF(OR(A1439="",NOT(ISNUMBER(I1439))),"",IF(G1439=Lists!$B$5,I1439/2,IF(G1439=Lists!$B$6,I1439,0)))</f>
        <v/>
      </c>
      <c r="N1439" s="52">
        <f>IF(OR(A1439="",NOT(ISNUMBER(I1439))),"",IF(G1439=Lists!$B$5,I1439/2,IF(G1439=Lists!$B$7,I1439,0)))</f>
        <v/>
      </c>
      <c r="O1439" s="53">
        <f>IF(COUNTA(A1439:K1439)=0,"",IF(OR(A1439="",B1439="",C1439="",D1439="",E1439="",F1439="",G1439="",NOT(ISNUMBER(I1439))),"Incomplete",IF(COUNTIF(Lists!$H$4:$AA$4,C1439)=0,"Check category",IF(COUNTIF(INDEX(Lists!$H$6:$AA$45,0,MATCH(C1439,Lists!$H$4:$AA$4,0)),D1439)=0,"Check sub-category","OK"))))</f>
        <v/>
      </c>
      <c r="P1439">
        <f>IF(ISNUMBER(I1439),I1439+ROW()/10000000,"")</f>
        <v/>
      </c>
      <c r="Q1439">
        <f>IF(AND(ISNUMBER(P1439),ISNUMBER(A1439)),IF(AND(A1439&gt;=Dashboard!$Q$3,A1439&lt;=Dashboard!$Q$4,OR(J1439&lt;&gt;"Yes",Dashboard!$Q$15="Yes")),P1439,""),"")</f>
        <v/>
      </c>
    </row>
    <row r="1440">
      <c r="A1440" s="47" t="n"/>
      <c r="B1440" s="48" t="n"/>
      <c r="C1440" s="48" t="n"/>
      <c r="D1440" s="48" t="n"/>
      <c r="E1440" s="48" t="n"/>
      <c r="F1440" s="48" t="n"/>
      <c r="G1440" s="48" t="n"/>
      <c r="H1440" s="48" t="n"/>
      <c r="I1440" s="49" t="n"/>
      <c r="J1440" s="50" t="n"/>
      <c r="K1440" s="48" t="n"/>
      <c r="L1440" s="51">
        <f>IF(A1440="","",DATE(YEAR(A1440),MONTH(A1440),1))</f>
        <v/>
      </c>
      <c r="M1440" s="52">
        <f>IF(OR(A1440="",NOT(ISNUMBER(I1440))),"",IF(G1440=Lists!$B$5,I1440/2,IF(G1440=Lists!$B$6,I1440,0)))</f>
        <v/>
      </c>
      <c r="N1440" s="52">
        <f>IF(OR(A1440="",NOT(ISNUMBER(I1440))),"",IF(G1440=Lists!$B$5,I1440/2,IF(G1440=Lists!$B$7,I1440,0)))</f>
        <v/>
      </c>
      <c r="O1440" s="53">
        <f>IF(COUNTA(A1440:K1440)=0,"",IF(OR(A1440="",B1440="",C1440="",D1440="",E1440="",F1440="",G1440="",NOT(ISNUMBER(I1440))),"Incomplete",IF(COUNTIF(Lists!$H$4:$AA$4,C1440)=0,"Check category",IF(COUNTIF(INDEX(Lists!$H$6:$AA$45,0,MATCH(C1440,Lists!$H$4:$AA$4,0)),D1440)=0,"Check sub-category","OK"))))</f>
        <v/>
      </c>
      <c r="P1440">
        <f>IF(ISNUMBER(I1440),I1440+ROW()/10000000,"")</f>
        <v/>
      </c>
      <c r="Q1440">
        <f>IF(AND(ISNUMBER(P1440),ISNUMBER(A1440)),IF(AND(A1440&gt;=Dashboard!$Q$3,A1440&lt;=Dashboard!$Q$4,OR(J1440&lt;&gt;"Yes",Dashboard!$Q$15="Yes")),P1440,""),"")</f>
        <v/>
      </c>
    </row>
    <row r="1441">
      <c r="A1441" s="47" t="n"/>
      <c r="B1441" s="48" t="n"/>
      <c r="C1441" s="48" t="n"/>
      <c r="D1441" s="48" t="n"/>
      <c r="E1441" s="48" t="n"/>
      <c r="F1441" s="48" t="n"/>
      <c r="G1441" s="48" t="n"/>
      <c r="H1441" s="48" t="n"/>
      <c r="I1441" s="49" t="n"/>
      <c r="J1441" s="50" t="n"/>
      <c r="K1441" s="48" t="n"/>
      <c r="L1441" s="51">
        <f>IF(A1441="","",DATE(YEAR(A1441),MONTH(A1441),1))</f>
        <v/>
      </c>
      <c r="M1441" s="52">
        <f>IF(OR(A1441="",NOT(ISNUMBER(I1441))),"",IF(G1441=Lists!$B$5,I1441/2,IF(G1441=Lists!$B$6,I1441,0)))</f>
        <v/>
      </c>
      <c r="N1441" s="52">
        <f>IF(OR(A1441="",NOT(ISNUMBER(I1441))),"",IF(G1441=Lists!$B$5,I1441/2,IF(G1441=Lists!$B$7,I1441,0)))</f>
        <v/>
      </c>
      <c r="O1441" s="53">
        <f>IF(COUNTA(A1441:K1441)=0,"",IF(OR(A1441="",B1441="",C1441="",D1441="",E1441="",F1441="",G1441="",NOT(ISNUMBER(I1441))),"Incomplete",IF(COUNTIF(Lists!$H$4:$AA$4,C1441)=0,"Check category",IF(COUNTIF(INDEX(Lists!$H$6:$AA$45,0,MATCH(C1441,Lists!$H$4:$AA$4,0)),D1441)=0,"Check sub-category","OK"))))</f>
        <v/>
      </c>
      <c r="P1441">
        <f>IF(ISNUMBER(I1441),I1441+ROW()/10000000,"")</f>
        <v/>
      </c>
      <c r="Q1441">
        <f>IF(AND(ISNUMBER(P1441),ISNUMBER(A1441)),IF(AND(A1441&gt;=Dashboard!$Q$3,A1441&lt;=Dashboard!$Q$4,OR(J1441&lt;&gt;"Yes",Dashboard!$Q$15="Yes")),P1441,""),"")</f>
        <v/>
      </c>
    </row>
    <row r="1442">
      <c r="A1442" s="47" t="n"/>
      <c r="B1442" s="48" t="n"/>
      <c r="C1442" s="48" t="n"/>
      <c r="D1442" s="48" t="n"/>
      <c r="E1442" s="48" t="n"/>
      <c r="F1442" s="48" t="n"/>
      <c r="G1442" s="48" t="n"/>
      <c r="H1442" s="48" t="n"/>
      <c r="I1442" s="49" t="n"/>
      <c r="J1442" s="50" t="n"/>
      <c r="K1442" s="48" t="n"/>
      <c r="L1442" s="51">
        <f>IF(A1442="","",DATE(YEAR(A1442),MONTH(A1442),1))</f>
        <v/>
      </c>
      <c r="M1442" s="52">
        <f>IF(OR(A1442="",NOT(ISNUMBER(I1442))),"",IF(G1442=Lists!$B$5,I1442/2,IF(G1442=Lists!$B$6,I1442,0)))</f>
        <v/>
      </c>
      <c r="N1442" s="52">
        <f>IF(OR(A1442="",NOT(ISNUMBER(I1442))),"",IF(G1442=Lists!$B$5,I1442/2,IF(G1442=Lists!$B$7,I1442,0)))</f>
        <v/>
      </c>
      <c r="O1442" s="53">
        <f>IF(COUNTA(A1442:K1442)=0,"",IF(OR(A1442="",B1442="",C1442="",D1442="",E1442="",F1442="",G1442="",NOT(ISNUMBER(I1442))),"Incomplete",IF(COUNTIF(Lists!$H$4:$AA$4,C1442)=0,"Check category",IF(COUNTIF(INDEX(Lists!$H$6:$AA$45,0,MATCH(C1442,Lists!$H$4:$AA$4,0)),D1442)=0,"Check sub-category","OK"))))</f>
        <v/>
      </c>
      <c r="P1442">
        <f>IF(ISNUMBER(I1442),I1442+ROW()/10000000,"")</f>
        <v/>
      </c>
      <c r="Q1442">
        <f>IF(AND(ISNUMBER(P1442),ISNUMBER(A1442)),IF(AND(A1442&gt;=Dashboard!$Q$3,A1442&lt;=Dashboard!$Q$4,OR(J1442&lt;&gt;"Yes",Dashboard!$Q$15="Yes")),P1442,""),"")</f>
        <v/>
      </c>
    </row>
    <row r="1443">
      <c r="A1443" s="47" t="n"/>
      <c r="B1443" s="48" t="n"/>
      <c r="C1443" s="48" t="n"/>
      <c r="D1443" s="48" t="n"/>
      <c r="E1443" s="48" t="n"/>
      <c r="F1443" s="48" t="n"/>
      <c r="G1443" s="48" t="n"/>
      <c r="H1443" s="48" t="n"/>
      <c r="I1443" s="49" t="n"/>
      <c r="J1443" s="50" t="n"/>
      <c r="K1443" s="48" t="n"/>
      <c r="L1443" s="51">
        <f>IF(A1443="","",DATE(YEAR(A1443),MONTH(A1443),1))</f>
        <v/>
      </c>
      <c r="M1443" s="52">
        <f>IF(OR(A1443="",NOT(ISNUMBER(I1443))),"",IF(G1443=Lists!$B$5,I1443/2,IF(G1443=Lists!$B$6,I1443,0)))</f>
        <v/>
      </c>
      <c r="N1443" s="52">
        <f>IF(OR(A1443="",NOT(ISNUMBER(I1443))),"",IF(G1443=Lists!$B$5,I1443/2,IF(G1443=Lists!$B$7,I1443,0)))</f>
        <v/>
      </c>
      <c r="O1443" s="53">
        <f>IF(COUNTA(A1443:K1443)=0,"",IF(OR(A1443="",B1443="",C1443="",D1443="",E1443="",F1443="",G1443="",NOT(ISNUMBER(I1443))),"Incomplete",IF(COUNTIF(Lists!$H$4:$AA$4,C1443)=0,"Check category",IF(COUNTIF(INDEX(Lists!$H$6:$AA$45,0,MATCH(C1443,Lists!$H$4:$AA$4,0)),D1443)=0,"Check sub-category","OK"))))</f>
        <v/>
      </c>
      <c r="P1443">
        <f>IF(ISNUMBER(I1443),I1443+ROW()/10000000,"")</f>
        <v/>
      </c>
      <c r="Q1443">
        <f>IF(AND(ISNUMBER(P1443),ISNUMBER(A1443)),IF(AND(A1443&gt;=Dashboard!$Q$3,A1443&lt;=Dashboard!$Q$4,OR(J1443&lt;&gt;"Yes",Dashboard!$Q$15="Yes")),P1443,""),"")</f>
        <v/>
      </c>
    </row>
    <row r="1444">
      <c r="A1444" s="47" t="n"/>
      <c r="B1444" s="48" t="n"/>
      <c r="C1444" s="48" t="n"/>
      <c r="D1444" s="48" t="n"/>
      <c r="E1444" s="48" t="n"/>
      <c r="F1444" s="48" t="n"/>
      <c r="G1444" s="48" t="n"/>
      <c r="H1444" s="48" t="n"/>
      <c r="I1444" s="49" t="n"/>
      <c r="J1444" s="50" t="n"/>
      <c r="K1444" s="48" t="n"/>
      <c r="L1444" s="51">
        <f>IF(A1444="","",DATE(YEAR(A1444),MONTH(A1444),1))</f>
        <v/>
      </c>
      <c r="M1444" s="52">
        <f>IF(OR(A1444="",NOT(ISNUMBER(I1444))),"",IF(G1444=Lists!$B$5,I1444/2,IF(G1444=Lists!$B$6,I1444,0)))</f>
        <v/>
      </c>
      <c r="N1444" s="52">
        <f>IF(OR(A1444="",NOT(ISNUMBER(I1444))),"",IF(G1444=Lists!$B$5,I1444/2,IF(G1444=Lists!$B$7,I1444,0)))</f>
        <v/>
      </c>
      <c r="O1444" s="53">
        <f>IF(COUNTA(A1444:K1444)=0,"",IF(OR(A1444="",B1444="",C1444="",D1444="",E1444="",F1444="",G1444="",NOT(ISNUMBER(I1444))),"Incomplete",IF(COUNTIF(Lists!$H$4:$AA$4,C1444)=0,"Check category",IF(COUNTIF(INDEX(Lists!$H$6:$AA$45,0,MATCH(C1444,Lists!$H$4:$AA$4,0)),D1444)=0,"Check sub-category","OK"))))</f>
        <v/>
      </c>
      <c r="P1444">
        <f>IF(ISNUMBER(I1444),I1444+ROW()/10000000,"")</f>
        <v/>
      </c>
      <c r="Q1444">
        <f>IF(AND(ISNUMBER(P1444),ISNUMBER(A1444)),IF(AND(A1444&gt;=Dashboard!$Q$3,A1444&lt;=Dashboard!$Q$4,OR(J1444&lt;&gt;"Yes",Dashboard!$Q$15="Yes")),P1444,""),"")</f>
        <v/>
      </c>
    </row>
    <row r="1445">
      <c r="A1445" s="47" t="n"/>
      <c r="B1445" s="48" t="n"/>
      <c r="C1445" s="48" t="n"/>
      <c r="D1445" s="48" t="n"/>
      <c r="E1445" s="48" t="n"/>
      <c r="F1445" s="48" t="n"/>
      <c r="G1445" s="48" t="n"/>
      <c r="H1445" s="48" t="n"/>
      <c r="I1445" s="49" t="n"/>
      <c r="J1445" s="50" t="n"/>
      <c r="K1445" s="48" t="n"/>
      <c r="L1445" s="51">
        <f>IF(A1445="","",DATE(YEAR(A1445),MONTH(A1445),1))</f>
        <v/>
      </c>
      <c r="M1445" s="52">
        <f>IF(OR(A1445="",NOT(ISNUMBER(I1445))),"",IF(G1445=Lists!$B$5,I1445/2,IF(G1445=Lists!$B$6,I1445,0)))</f>
        <v/>
      </c>
      <c r="N1445" s="52">
        <f>IF(OR(A1445="",NOT(ISNUMBER(I1445))),"",IF(G1445=Lists!$B$5,I1445/2,IF(G1445=Lists!$B$7,I1445,0)))</f>
        <v/>
      </c>
      <c r="O1445" s="53">
        <f>IF(COUNTA(A1445:K1445)=0,"",IF(OR(A1445="",B1445="",C1445="",D1445="",E1445="",F1445="",G1445="",NOT(ISNUMBER(I1445))),"Incomplete",IF(COUNTIF(Lists!$H$4:$AA$4,C1445)=0,"Check category",IF(COUNTIF(INDEX(Lists!$H$6:$AA$45,0,MATCH(C1445,Lists!$H$4:$AA$4,0)),D1445)=0,"Check sub-category","OK"))))</f>
        <v/>
      </c>
      <c r="P1445">
        <f>IF(ISNUMBER(I1445),I1445+ROW()/10000000,"")</f>
        <v/>
      </c>
      <c r="Q1445">
        <f>IF(AND(ISNUMBER(P1445),ISNUMBER(A1445)),IF(AND(A1445&gt;=Dashboard!$Q$3,A1445&lt;=Dashboard!$Q$4,OR(J1445&lt;&gt;"Yes",Dashboard!$Q$15="Yes")),P1445,""),"")</f>
        <v/>
      </c>
    </row>
    <row r="1446">
      <c r="A1446" s="47" t="n"/>
      <c r="B1446" s="48" t="n"/>
      <c r="C1446" s="48" t="n"/>
      <c r="D1446" s="48" t="n"/>
      <c r="E1446" s="48" t="n"/>
      <c r="F1446" s="48" t="n"/>
      <c r="G1446" s="48" t="n"/>
      <c r="H1446" s="48" t="n"/>
      <c r="I1446" s="49" t="n"/>
      <c r="J1446" s="50" t="n"/>
      <c r="K1446" s="48" t="n"/>
      <c r="L1446" s="51">
        <f>IF(A1446="","",DATE(YEAR(A1446),MONTH(A1446),1))</f>
        <v/>
      </c>
      <c r="M1446" s="52">
        <f>IF(OR(A1446="",NOT(ISNUMBER(I1446))),"",IF(G1446=Lists!$B$5,I1446/2,IF(G1446=Lists!$B$6,I1446,0)))</f>
        <v/>
      </c>
      <c r="N1446" s="52">
        <f>IF(OR(A1446="",NOT(ISNUMBER(I1446))),"",IF(G1446=Lists!$B$5,I1446/2,IF(G1446=Lists!$B$7,I1446,0)))</f>
        <v/>
      </c>
      <c r="O1446" s="53">
        <f>IF(COUNTA(A1446:K1446)=0,"",IF(OR(A1446="",B1446="",C1446="",D1446="",E1446="",F1446="",G1446="",NOT(ISNUMBER(I1446))),"Incomplete",IF(COUNTIF(Lists!$H$4:$AA$4,C1446)=0,"Check category",IF(COUNTIF(INDEX(Lists!$H$6:$AA$45,0,MATCH(C1446,Lists!$H$4:$AA$4,0)),D1446)=0,"Check sub-category","OK"))))</f>
        <v/>
      </c>
      <c r="P1446">
        <f>IF(ISNUMBER(I1446),I1446+ROW()/10000000,"")</f>
        <v/>
      </c>
      <c r="Q1446">
        <f>IF(AND(ISNUMBER(P1446),ISNUMBER(A1446)),IF(AND(A1446&gt;=Dashboard!$Q$3,A1446&lt;=Dashboard!$Q$4,OR(J1446&lt;&gt;"Yes",Dashboard!$Q$15="Yes")),P1446,""),"")</f>
        <v/>
      </c>
    </row>
    <row r="1447">
      <c r="A1447" s="47" t="n"/>
      <c r="B1447" s="48" t="n"/>
      <c r="C1447" s="48" t="n"/>
      <c r="D1447" s="48" t="n"/>
      <c r="E1447" s="48" t="n"/>
      <c r="F1447" s="48" t="n"/>
      <c r="G1447" s="48" t="n"/>
      <c r="H1447" s="48" t="n"/>
      <c r="I1447" s="49" t="n"/>
      <c r="J1447" s="50" t="n"/>
      <c r="K1447" s="48" t="n"/>
      <c r="L1447" s="51">
        <f>IF(A1447="","",DATE(YEAR(A1447),MONTH(A1447),1))</f>
        <v/>
      </c>
      <c r="M1447" s="52">
        <f>IF(OR(A1447="",NOT(ISNUMBER(I1447))),"",IF(G1447=Lists!$B$5,I1447/2,IF(G1447=Lists!$B$6,I1447,0)))</f>
        <v/>
      </c>
      <c r="N1447" s="52">
        <f>IF(OR(A1447="",NOT(ISNUMBER(I1447))),"",IF(G1447=Lists!$B$5,I1447/2,IF(G1447=Lists!$B$7,I1447,0)))</f>
        <v/>
      </c>
      <c r="O1447" s="53">
        <f>IF(COUNTA(A1447:K1447)=0,"",IF(OR(A1447="",B1447="",C1447="",D1447="",E1447="",F1447="",G1447="",NOT(ISNUMBER(I1447))),"Incomplete",IF(COUNTIF(Lists!$H$4:$AA$4,C1447)=0,"Check category",IF(COUNTIF(INDEX(Lists!$H$6:$AA$45,0,MATCH(C1447,Lists!$H$4:$AA$4,0)),D1447)=0,"Check sub-category","OK"))))</f>
        <v/>
      </c>
      <c r="P1447">
        <f>IF(ISNUMBER(I1447),I1447+ROW()/10000000,"")</f>
        <v/>
      </c>
      <c r="Q1447">
        <f>IF(AND(ISNUMBER(P1447),ISNUMBER(A1447)),IF(AND(A1447&gt;=Dashboard!$Q$3,A1447&lt;=Dashboard!$Q$4,OR(J1447&lt;&gt;"Yes",Dashboard!$Q$15="Yes")),P1447,""),"")</f>
        <v/>
      </c>
    </row>
    <row r="1448">
      <c r="A1448" s="47" t="n"/>
      <c r="B1448" s="48" t="n"/>
      <c r="C1448" s="48" t="n"/>
      <c r="D1448" s="48" t="n"/>
      <c r="E1448" s="48" t="n"/>
      <c r="F1448" s="48" t="n"/>
      <c r="G1448" s="48" t="n"/>
      <c r="H1448" s="48" t="n"/>
      <c r="I1448" s="49" t="n"/>
      <c r="J1448" s="50" t="n"/>
      <c r="K1448" s="48" t="n"/>
      <c r="L1448" s="51">
        <f>IF(A1448="","",DATE(YEAR(A1448),MONTH(A1448),1))</f>
        <v/>
      </c>
      <c r="M1448" s="52">
        <f>IF(OR(A1448="",NOT(ISNUMBER(I1448))),"",IF(G1448=Lists!$B$5,I1448/2,IF(G1448=Lists!$B$6,I1448,0)))</f>
        <v/>
      </c>
      <c r="N1448" s="52">
        <f>IF(OR(A1448="",NOT(ISNUMBER(I1448))),"",IF(G1448=Lists!$B$5,I1448/2,IF(G1448=Lists!$B$7,I1448,0)))</f>
        <v/>
      </c>
      <c r="O1448" s="53">
        <f>IF(COUNTA(A1448:K1448)=0,"",IF(OR(A1448="",B1448="",C1448="",D1448="",E1448="",F1448="",G1448="",NOT(ISNUMBER(I1448))),"Incomplete",IF(COUNTIF(Lists!$H$4:$AA$4,C1448)=0,"Check category",IF(COUNTIF(INDEX(Lists!$H$6:$AA$45,0,MATCH(C1448,Lists!$H$4:$AA$4,0)),D1448)=0,"Check sub-category","OK"))))</f>
        <v/>
      </c>
      <c r="P1448">
        <f>IF(ISNUMBER(I1448),I1448+ROW()/10000000,"")</f>
        <v/>
      </c>
      <c r="Q1448">
        <f>IF(AND(ISNUMBER(P1448),ISNUMBER(A1448)),IF(AND(A1448&gt;=Dashboard!$Q$3,A1448&lt;=Dashboard!$Q$4,OR(J1448&lt;&gt;"Yes",Dashboard!$Q$15="Yes")),P1448,""),"")</f>
        <v/>
      </c>
    </row>
    <row r="1449">
      <c r="A1449" s="47" t="n"/>
      <c r="B1449" s="48" t="n"/>
      <c r="C1449" s="48" t="n"/>
      <c r="D1449" s="48" t="n"/>
      <c r="E1449" s="48" t="n"/>
      <c r="F1449" s="48" t="n"/>
      <c r="G1449" s="48" t="n"/>
      <c r="H1449" s="48" t="n"/>
      <c r="I1449" s="49" t="n"/>
      <c r="J1449" s="50" t="n"/>
      <c r="K1449" s="48" t="n"/>
      <c r="L1449" s="51">
        <f>IF(A1449="","",DATE(YEAR(A1449),MONTH(A1449),1))</f>
        <v/>
      </c>
      <c r="M1449" s="52">
        <f>IF(OR(A1449="",NOT(ISNUMBER(I1449))),"",IF(G1449=Lists!$B$5,I1449/2,IF(G1449=Lists!$B$6,I1449,0)))</f>
        <v/>
      </c>
      <c r="N1449" s="52">
        <f>IF(OR(A1449="",NOT(ISNUMBER(I1449))),"",IF(G1449=Lists!$B$5,I1449/2,IF(G1449=Lists!$B$7,I1449,0)))</f>
        <v/>
      </c>
      <c r="O1449" s="53">
        <f>IF(COUNTA(A1449:K1449)=0,"",IF(OR(A1449="",B1449="",C1449="",D1449="",E1449="",F1449="",G1449="",NOT(ISNUMBER(I1449))),"Incomplete",IF(COUNTIF(Lists!$H$4:$AA$4,C1449)=0,"Check category",IF(COUNTIF(INDEX(Lists!$H$6:$AA$45,0,MATCH(C1449,Lists!$H$4:$AA$4,0)),D1449)=0,"Check sub-category","OK"))))</f>
        <v/>
      </c>
      <c r="P1449">
        <f>IF(ISNUMBER(I1449),I1449+ROW()/10000000,"")</f>
        <v/>
      </c>
      <c r="Q1449">
        <f>IF(AND(ISNUMBER(P1449),ISNUMBER(A1449)),IF(AND(A1449&gt;=Dashboard!$Q$3,A1449&lt;=Dashboard!$Q$4,OR(J1449&lt;&gt;"Yes",Dashboard!$Q$15="Yes")),P1449,""),"")</f>
        <v/>
      </c>
    </row>
    <row r="1450">
      <c r="A1450" s="47" t="n"/>
      <c r="B1450" s="48" t="n"/>
      <c r="C1450" s="48" t="n"/>
      <c r="D1450" s="48" t="n"/>
      <c r="E1450" s="48" t="n"/>
      <c r="F1450" s="48" t="n"/>
      <c r="G1450" s="48" t="n"/>
      <c r="H1450" s="48" t="n"/>
      <c r="I1450" s="49" t="n"/>
      <c r="J1450" s="50" t="n"/>
      <c r="K1450" s="48" t="n"/>
      <c r="L1450" s="51">
        <f>IF(A1450="","",DATE(YEAR(A1450),MONTH(A1450),1))</f>
        <v/>
      </c>
      <c r="M1450" s="52">
        <f>IF(OR(A1450="",NOT(ISNUMBER(I1450))),"",IF(G1450=Lists!$B$5,I1450/2,IF(G1450=Lists!$B$6,I1450,0)))</f>
        <v/>
      </c>
      <c r="N1450" s="52">
        <f>IF(OR(A1450="",NOT(ISNUMBER(I1450))),"",IF(G1450=Lists!$B$5,I1450/2,IF(G1450=Lists!$B$7,I1450,0)))</f>
        <v/>
      </c>
      <c r="O1450" s="53">
        <f>IF(COUNTA(A1450:K1450)=0,"",IF(OR(A1450="",B1450="",C1450="",D1450="",E1450="",F1450="",G1450="",NOT(ISNUMBER(I1450))),"Incomplete",IF(COUNTIF(Lists!$H$4:$AA$4,C1450)=0,"Check category",IF(COUNTIF(INDEX(Lists!$H$6:$AA$45,0,MATCH(C1450,Lists!$H$4:$AA$4,0)),D1450)=0,"Check sub-category","OK"))))</f>
        <v/>
      </c>
      <c r="P1450">
        <f>IF(ISNUMBER(I1450),I1450+ROW()/10000000,"")</f>
        <v/>
      </c>
      <c r="Q1450">
        <f>IF(AND(ISNUMBER(P1450),ISNUMBER(A1450)),IF(AND(A1450&gt;=Dashboard!$Q$3,A1450&lt;=Dashboard!$Q$4,OR(J1450&lt;&gt;"Yes",Dashboard!$Q$15="Yes")),P1450,""),"")</f>
        <v/>
      </c>
    </row>
    <row r="1451">
      <c r="A1451" s="47" t="n"/>
      <c r="B1451" s="48" t="n"/>
      <c r="C1451" s="48" t="n"/>
      <c r="D1451" s="48" t="n"/>
      <c r="E1451" s="48" t="n"/>
      <c r="F1451" s="48" t="n"/>
      <c r="G1451" s="48" t="n"/>
      <c r="H1451" s="48" t="n"/>
      <c r="I1451" s="49" t="n"/>
      <c r="J1451" s="50" t="n"/>
      <c r="K1451" s="48" t="n"/>
      <c r="L1451" s="51">
        <f>IF(A1451="","",DATE(YEAR(A1451),MONTH(A1451),1))</f>
        <v/>
      </c>
      <c r="M1451" s="52">
        <f>IF(OR(A1451="",NOT(ISNUMBER(I1451))),"",IF(G1451=Lists!$B$5,I1451/2,IF(G1451=Lists!$B$6,I1451,0)))</f>
        <v/>
      </c>
      <c r="N1451" s="52">
        <f>IF(OR(A1451="",NOT(ISNUMBER(I1451))),"",IF(G1451=Lists!$B$5,I1451/2,IF(G1451=Lists!$B$7,I1451,0)))</f>
        <v/>
      </c>
      <c r="O1451" s="53">
        <f>IF(COUNTA(A1451:K1451)=0,"",IF(OR(A1451="",B1451="",C1451="",D1451="",E1451="",F1451="",G1451="",NOT(ISNUMBER(I1451))),"Incomplete",IF(COUNTIF(Lists!$H$4:$AA$4,C1451)=0,"Check category",IF(COUNTIF(INDEX(Lists!$H$6:$AA$45,0,MATCH(C1451,Lists!$H$4:$AA$4,0)),D1451)=0,"Check sub-category","OK"))))</f>
        <v/>
      </c>
      <c r="P1451">
        <f>IF(ISNUMBER(I1451),I1451+ROW()/10000000,"")</f>
        <v/>
      </c>
      <c r="Q1451">
        <f>IF(AND(ISNUMBER(P1451),ISNUMBER(A1451)),IF(AND(A1451&gt;=Dashboard!$Q$3,A1451&lt;=Dashboard!$Q$4,OR(J1451&lt;&gt;"Yes",Dashboard!$Q$15="Yes")),P1451,""),"")</f>
        <v/>
      </c>
    </row>
    <row r="1452">
      <c r="A1452" s="47" t="n"/>
      <c r="B1452" s="48" t="n"/>
      <c r="C1452" s="48" t="n"/>
      <c r="D1452" s="48" t="n"/>
      <c r="E1452" s="48" t="n"/>
      <c r="F1452" s="48" t="n"/>
      <c r="G1452" s="48" t="n"/>
      <c r="H1452" s="48" t="n"/>
      <c r="I1452" s="49" t="n"/>
      <c r="J1452" s="50" t="n"/>
      <c r="K1452" s="48" t="n"/>
      <c r="L1452" s="51">
        <f>IF(A1452="","",DATE(YEAR(A1452),MONTH(A1452),1))</f>
        <v/>
      </c>
      <c r="M1452" s="52">
        <f>IF(OR(A1452="",NOT(ISNUMBER(I1452))),"",IF(G1452=Lists!$B$5,I1452/2,IF(G1452=Lists!$B$6,I1452,0)))</f>
        <v/>
      </c>
      <c r="N1452" s="52">
        <f>IF(OR(A1452="",NOT(ISNUMBER(I1452))),"",IF(G1452=Lists!$B$5,I1452/2,IF(G1452=Lists!$B$7,I1452,0)))</f>
        <v/>
      </c>
      <c r="O1452" s="53">
        <f>IF(COUNTA(A1452:K1452)=0,"",IF(OR(A1452="",B1452="",C1452="",D1452="",E1452="",F1452="",G1452="",NOT(ISNUMBER(I1452))),"Incomplete",IF(COUNTIF(Lists!$H$4:$AA$4,C1452)=0,"Check category",IF(COUNTIF(INDEX(Lists!$H$6:$AA$45,0,MATCH(C1452,Lists!$H$4:$AA$4,0)),D1452)=0,"Check sub-category","OK"))))</f>
        <v/>
      </c>
      <c r="P1452">
        <f>IF(ISNUMBER(I1452),I1452+ROW()/10000000,"")</f>
        <v/>
      </c>
      <c r="Q1452">
        <f>IF(AND(ISNUMBER(P1452),ISNUMBER(A1452)),IF(AND(A1452&gt;=Dashboard!$Q$3,A1452&lt;=Dashboard!$Q$4,OR(J1452&lt;&gt;"Yes",Dashboard!$Q$15="Yes")),P1452,""),"")</f>
        <v/>
      </c>
    </row>
    <row r="1453">
      <c r="A1453" s="47" t="n"/>
      <c r="B1453" s="48" t="n"/>
      <c r="C1453" s="48" t="n"/>
      <c r="D1453" s="48" t="n"/>
      <c r="E1453" s="48" t="n"/>
      <c r="F1453" s="48" t="n"/>
      <c r="G1453" s="48" t="n"/>
      <c r="H1453" s="48" t="n"/>
      <c r="I1453" s="49" t="n"/>
      <c r="J1453" s="50" t="n"/>
      <c r="K1453" s="48" t="n"/>
      <c r="L1453" s="51">
        <f>IF(A1453="","",DATE(YEAR(A1453),MONTH(A1453),1))</f>
        <v/>
      </c>
      <c r="M1453" s="52">
        <f>IF(OR(A1453="",NOT(ISNUMBER(I1453))),"",IF(G1453=Lists!$B$5,I1453/2,IF(G1453=Lists!$B$6,I1453,0)))</f>
        <v/>
      </c>
      <c r="N1453" s="52">
        <f>IF(OR(A1453="",NOT(ISNUMBER(I1453))),"",IF(G1453=Lists!$B$5,I1453/2,IF(G1453=Lists!$B$7,I1453,0)))</f>
        <v/>
      </c>
      <c r="O1453" s="53">
        <f>IF(COUNTA(A1453:K1453)=0,"",IF(OR(A1453="",B1453="",C1453="",D1453="",E1453="",F1453="",G1453="",NOT(ISNUMBER(I1453))),"Incomplete",IF(COUNTIF(Lists!$H$4:$AA$4,C1453)=0,"Check category",IF(COUNTIF(INDEX(Lists!$H$6:$AA$45,0,MATCH(C1453,Lists!$H$4:$AA$4,0)),D1453)=0,"Check sub-category","OK"))))</f>
        <v/>
      </c>
      <c r="P1453">
        <f>IF(ISNUMBER(I1453),I1453+ROW()/10000000,"")</f>
        <v/>
      </c>
      <c r="Q1453">
        <f>IF(AND(ISNUMBER(P1453),ISNUMBER(A1453)),IF(AND(A1453&gt;=Dashboard!$Q$3,A1453&lt;=Dashboard!$Q$4,OR(J1453&lt;&gt;"Yes",Dashboard!$Q$15="Yes")),P1453,""),"")</f>
        <v/>
      </c>
    </row>
    <row r="1454">
      <c r="A1454" s="47" t="n"/>
      <c r="B1454" s="48" t="n"/>
      <c r="C1454" s="48" t="n"/>
      <c r="D1454" s="48" t="n"/>
      <c r="E1454" s="48" t="n"/>
      <c r="F1454" s="48" t="n"/>
      <c r="G1454" s="48" t="n"/>
      <c r="H1454" s="48" t="n"/>
      <c r="I1454" s="49" t="n"/>
      <c r="J1454" s="50" t="n"/>
      <c r="K1454" s="48" t="n"/>
      <c r="L1454" s="51">
        <f>IF(A1454="","",DATE(YEAR(A1454),MONTH(A1454),1))</f>
        <v/>
      </c>
      <c r="M1454" s="52">
        <f>IF(OR(A1454="",NOT(ISNUMBER(I1454))),"",IF(G1454=Lists!$B$5,I1454/2,IF(G1454=Lists!$B$6,I1454,0)))</f>
        <v/>
      </c>
      <c r="N1454" s="52">
        <f>IF(OR(A1454="",NOT(ISNUMBER(I1454))),"",IF(G1454=Lists!$B$5,I1454/2,IF(G1454=Lists!$B$7,I1454,0)))</f>
        <v/>
      </c>
      <c r="O1454" s="53">
        <f>IF(COUNTA(A1454:K1454)=0,"",IF(OR(A1454="",B1454="",C1454="",D1454="",E1454="",F1454="",G1454="",NOT(ISNUMBER(I1454))),"Incomplete",IF(COUNTIF(Lists!$H$4:$AA$4,C1454)=0,"Check category",IF(COUNTIF(INDEX(Lists!$H$6:$AA$45,0,MATCH(C1454,Lists!$H$4:$AA$4,0)),D1454)=0,"Check sub-category","OK"))))</f>
        <v/>
      </c>
      <c r="P1454">
        <f>IF(ISNUMBER(I1454),I1454+ROW()/10000000,"")</f>
        <v/>
      </c>
      <c r="Q1454">
        <f>IF(AND(ISNUMBER(P1454),ISNUMBER(A1454)),IF(AND(A1454&gt;=Dashboard!$Q$3,A1454&lt;=Dashboard!$Q$4,OR(J1454&lt;&gt;"Yes",Dashboard!$Q$15="Yes")),P1454,""),"")</f>
        <v/>
      </c>
    </row>
    <row r="1455">
      <c r="A1455" s="47" t="n"/>
      <c r="B1455" s="48" t="n"/>
      <c r="C1455" s="48" t="n"/>
      <c r="D1455" s="48" t="n"/>
      <c r="E1455" s="48" t="n"/>
      <c r="F1455" s="48" t="n"/>
      <c r="G1455" s="48" t="n"/>
      <c r="H1455" s="48" t="n"/>
      <c r="I1455" s="49" t="n"/>
      <c r="J1455" s="50" t="n"/>
      <c r="K1455" s="48" t="n"/>
      <c r="L1455" s="51">
        <f>IF(A1455="","",DATE(YEAR(A1455),MONTH(A1455),1))</f>
        <v/>
      </c>
      <c r="M1455" s="52">
        <f>IF(OR(A1455="",NOT(ISNUMBER(I1455))),"",IF(G1455=Lists!$B$5,I1455/2,IF(G1455=Lists!$B$6,I1455,0)))</f>
        <v/>
      </c>
      <c r="N1455" s="52">
        <f>IF(OR(A1455="",NOT(ISNUMBER(I1455))),"",IF(G1455=Lists!$B$5,I1455/2,IF(G1455=Lists!$B$7,I1455,0)))</f>
        <v/>
      </c>
      <c r="O1455" s="53">
        <f>IF(COUNTA(A1455:K1455)=0,"",IF(OR(A1455="",B1455="",C1455="",D1455="",E1455="",F1455="",G1455="",NOT(ISNUMBER(I1455))),"Incomplete",IF(COUNTIF(Lists!$H$4:$AA$4,C1455)=0,"Check category",IF(COUNTIF(INDEX(Lists!$H$6:$AA$45,0,MATCH(C1455,Lists!$H$4:$AA$4,0)),D1455)=0,"Check sub-category","OK"))))</f>
        <v/>
      </c>
      <c r="P1455">
        <f>IF(ISNUMBER(I1455),I1455+ROW()/10000000,"")</f>
        <v/>
      </c>
      <c r="Q1455">
        <f>IF(AND(ISNUMBER(P1455),ISNUMBER(A1455)),IF(AND(A1455&gt;=Dashboard!$Q$3,A1455&lt;=Dashboard!$Q$4,OR(J1455&lt;&gt;"Yes",Dashboard!$Q$15="Yes")),P1455,""),"")</f>
        <v/>
      </c>
    </row>
    <row r="1456">
      <c r="A1456" s="47" t="n"/>
      <c r="B1456" s="48" t="n"/>
      <c r="C1456" s="48" t="n"/>
      <c r="D1456" s="48" t="n"/>
      <c r="E1456" s="48" t="n"/>
      <c r="F1456" s="48" t="n"/>
      <c r="G1456" s="48" t="n"/>
      <c r="H1456" s="48" t="n"/>
      <c r="I1456" s="49" t="n"/>
      <c r="J1456" s="50" t="n"/>
      <c r="K1456" s="48" t="n"/>
      <c r="L1456" s="51">
        <f>IF(A1456="","",DATE(YEAR(A1456),MONTH(A1456),1))</f>
        <v/>
      </c>
      <c r="M1456" s="52">
        <f>IF(OR(A1456="",NOT(ISNUMBER(I1456))),"",IF(G1456=Lists!$B$5,I1456/2,IF(G1456=Lists!$B$6,I1456,0)))</f>
        <v/>
      </c>
      <c r="N1456" s="52">
        <f>IF(OR(A1456="",NOT(ISNUMBER(I1456))),"",IF(G1456=Lists!$B$5,I1456/2,IF(G1456=Lists!$B$7,I1456,0)))</f>
        <v/>
      </c>
      <c r="O1456" s="53">
        <f>IF(COUNTA(A1456:K1456)=0,"",IF(OR(A1456="",B1456="",C1456="",D1456="",E1456="",F1456="",G1456="",NOT(ISNUMBER(I1456))),"Incomplete",IF(COUNTIF(Lists!$H$4:$AA$4,C1456)=0,"Check category",IF(COUNTIF(INDEX(Lists!$H$6:$AA$45,0,MATCH(C1456,Lists!$H$4:$AA$4,0)),D1456)=0,"Check sub-category","OK"))))</f>
        <v/>
      </c>
      <c r="P1456">
        <f>IF(ISNUMBER(I1456),I1456+ROW()/10000000,"")</f>
        <v/>
      </c>
      <c r="Q1456">
        <f>IF(AND(ISNUMBER(P1456),ISNUMBER(A1456)),IF(AND(A1456&gt;=Dashboard!$Q$3,A1456&lt;=Dashboard!$Q$4,OR(J1456&lt;&gt;"Yes",Dashboard!$Q$15="Yes")),P1456,""),"")</f>
        <v/>
      </c>
    </row>
    <row r="1457">
      <c r="A1457" s="47" t="n"/>
      <c r="B1457" s="48" t="n"/>
      <c r="C1457" s="48" t="n"/>
      <c r="D1457" s="48" t="n"/>
      <c r="E1457" s="48" t="n"/>
      <c r="F1457" s="48" t="n"/>
      <c r="G1457" s="48" t="n"/>
      <c r="H1457" s="48" t="n"/>
      <c r="I1457" s="49" t="n"/>
      <c r="J1457" s="50" t="n"/>
      <c r="K1457" s="48" t="n"/>
      <c r="L1457" s="51">
        <f>IF(A1457="","",DATE(YEAR(A1457),MONTH(A1457),1))</f>
        <v/>
      </c>
      <c r="M1457" s="52">
        <f>IF(OR(A1457="",NOT(ISNUMBER(I1457))),"",IF(G1457=Lists!$B$5,I1457/2,IF(G1457=Lists!$B$6,I1457,0)))</f>
        <v/>
      </c>
      <c r="N1457" s="52">
        <f>IF(OR(A1457="",NOT(ISNUMBER(I1457))),"",IF(G1457=Lists!$B$5,I1457/2,IF(G1457=Lists!$B$7,I1457,0)))</f>
        <v/>
      </c>
      <c r="O1457" s="53">
        <f>IF(COUNTA(A1457:K1457)=0,"",IF(OR(A1457="",B1457="",C1457="",D1457="",E1457="",F1457="",G1457="",NOT(ISNUMBER(I1457))),"Incomplete",IF(COUNTIF(Lists!$H$4:$AA$4,C1457)=0,"Check category",IF(COUNTIF(INDEX(Lists!$H$6:$AA$45,0,MATCH(C1457,Lists!$H$4:$AA$4,0)),D1457)=0,"Check sub-category","OK"))))</f>
        <v/>
      </c>
      <c r="P1457">
        <f>IF(ISNUMBER(I1457),I1457+ROW()/10000000,"")</f>
        <v/>
      </c>
      <c r="Q1457">
        <f>IF(AND(ISNUMBER(P1457),ISNUMBER(A1457)),IF(AND(A1457&gt;=Dashboard!$Q$3,A1457&lt;=Dashboard!$Q$4,OR(J1457&lt;&gt;"Yes",Dashboard!$Q$15="Yes")),P1457,""),"")</f>
        <v/>
      </c>
    </row>
    <row r="1458">
      <c r="A1458" s="47" t="n"/>
      <c r="B1458" s="48" t="n"/>
      <c r="C1458" s="48" t="n"/>
      <c r="D1458" s="48" t="n"/>
      <c r="E1458" s="48" t="n"/>
      <c r="F1458" s="48" t="n"/>
      <c r="G1458" s="48" t="n"/>
      <c r="H1458" s="48" t="n"/>
      <c r="I1458" s="49" t="n"/>
      <c r="J1458" s="50" t="n"/>
      <c r="K1458" s="48" t="n"/>
      <c r="L1458" s="51">
        <f>IF(A1458="","",DATE(YEAR(A1458),MONTH(A1458),1))</f>
        <v/>
      </c>
      <c r="M1458" s="52">
        <f>IF(OR(A1458="",NOT(ISNUMBER(I1458))),"",IF(G1458=Lists!$B$5,I1458/2,IF(G1458=Lists!$B$6,I1458,0)))</f>
        <v/>
      </c>
      <c r="N1458" s="52">
        <f>IF(OR(A1458="",NOT(ISNUMBER(I1458))),"",IF(G1458=Lists!$B$5,I1458/2,IF(G1458=Lists!$B$7,I1458,0)))</f>
        <v/>
      </c>
      <c r="O1458" s="53">
        <f>IF(COUNTA(A1458:K1458)=0,"",IF(OR(A1458="",B1458="",C1458="",D1458="",E1458="",F1458="",G1458="",NOT(ISNUMBER(I1458))),"Incomplete",IF(COUNTIF(Lists!$H$4:$AA$4,C1458)=0,"Check category",IF(COUNTIF(INDEX(Lists!$H$6:$AA$45,0,MATCH(C1458,Lists!$H$4:$AA$4,0)),D1458)=0,"Check sub-category","OK"))))</f>
        <v/>
      </c>
      <c r="P1458">
        <f>IF(ISNUMBER(I1458),I1458+ROW()/10000000,"")</f>
        <v/>
      </c>
      <c r="Q1458">
        <f>IF(AND(ISNUMBER(P1458),ISNUMBER(A1458)),IF(AND(A1458&gt;=Dashboard!$Q$3,A1458&lt;=Dashboard!$Q$4,OR(J1458&lt;&gt;"Yes",Dashboard!$Q$15="Yes")),P1458,""),"")</f>
        <v/>
      </c>
    </row>
    <row r="1459">
      <c r="A1459" s="47" t="n"/>
      <c r="B1459" s="48" t="n"/>
      <c r="C1459" s="48" t="n"/>
      <c r="D1459" s="48" t="n"/>
      <c r="E1459" s="48" t="n"/>
      <c r="F1459" s="48" t="n"/>
      <c r="G1459" s="48" t="n"/>
      <c r="H1459" s="48" t="n"/>
      <c r="I1459" s="49" t="n"/>
      <c r="J1459" s="50" t="n"/>
      <c r="K1459" s="48" t="n"/>
      <c r="L1459" s="51">
        <f>IF(A1459="","",DATE(YEAR(A1459),MONTH(A1459),1))</f>
        <v/>
      </c>
      <c r="M1459" s="52">
        <f>IF(OR(A1459="",NOT(ISNUMBER(I1459))),"",IF(G1459=Lists!$B$5,I1459/2,IF(G1459=Lists!$B$6,I1459,0)))</f>
        <v/>
      </c>
      <c r="N1459" s="52">
        <f>IF(OR(A1459="",NOT(ISNUMBER(I1459))),"",IF(G1459=Lists!$B$5,I1459/2,IF(G1459=Lists!$B$7,I1459,0)))</f>
        <v/>
      </c>
      <c r="O1459" s="53">
        <f>IF(COUNTA(A1459:K1459)=0,"",IF(OR(A1459="",B1459="",C1459="",D1459="",E1459="",F1459="",G1459="",NOT(ISNUMBER(I1459))),"Incomplete",IF(COUNTIF(Lists!$H$4:$AA$4,C1459)=0,"Check category",IF(COUNTIF(INDEX(Lists!$H$6:$AA$45,0,MATCH(C1459,Lists!$H$4:$AA$4,0)),D1459)=0,"Check sub-category","OK"))))</f>
        <v/>
      </c>
      <c r="P1459">
        <f>IF(ISNUMBER(I1459),I1459+ROW()/10000000,"")</f>
        <v/>
      </c>
      <c r="Q1459">
        <f>IF(AND(ISNUMBER(P1459),ISNUMBER(A1459)),IF(AND(A1459&gt;=Dashboard!$Q$3,A1459&lt;=Dashboard!$Q$4,OR(J1459&lt;&gt;"Yes",Dashboard!$Q$15="Yes")),P1459,""),"")</f>
        <v/>
      </c>
    </row>
    <row r="1460">
      <c r="A1460" s="47" t="n"/>
      <c r="B1460" s="48" t="n"/>
      <c r="C1460" s="48" t="n"/>
      <c r="D1460" s="48" t="n"/>
      <c r="E1460" s="48" t="n"/>
      <c r="F1460" s="48" t="n"/>
      <c r="G1460" s="48" t="n"/>
      <c r="H1460" s="48" t="n"/>
      <c r="I1460" s="49" t="n"/>
      <c r="J1460" s="50" t="n"/>
      <c r="K1460" s="48" t="n"/>
      <c r="L1460" s="51">
        <f>IF(A1460="","",DATE(YEAR(A1460),MONTH(A1460),1))</f>
        <v/>
      </c>
      <c r="M1460" s="52">
        <f>IF(OR(A1460="",NOT(ISNUMBER(I1460))),"",IF(G1460=Lists!$B$5,I1460/2,IF(G1460=Lists!$B$6,I1460,0)))</f>
        <v/>
      </c>
      <c r="N1460" s="52">
        <f>IF(OR(A1460="",NOT(ISNUMBER(I1460))),"",IF(G1460=Lists!$B$5,I1460/2,IF(G1460=Lists!$B$7,I1460,0)))</f>
        <v/>
      </c>
      <c r="O1460" s="53">
        <f>IF(COUNTA(A1460:K1460)=0,"",IF(OR(A1460="",B1460="",C1460="",D1460="",E1460="",F1460="",G1460="",NOT(ISNUMBER(I1460))),"Incomplete",IF(COUNTIF(Lists!$H$4:$AA$4,C1460)=0,"Check category",IF(COUNTIF(INDEX(Lists!$H$6:$AA$45,0,MATCH(C1460,Lists!$H$4:$AA$4,0)),D1460)=0,"Check sub-category","OK"))))</f>
        <v/>
      </c>
      <c r="P1460">
        <f>IF(ISNUMBER(I1460),I1460+ROW()/10000000,"")</f>
        <v/>
      </c>
      <c r="Q1460">
        <f>IF(AND(ISNUMBER(P1460),ISNUMBER(A1460)),IF(AND(A1460&gt;=Dashboard!$Q$3,A1460&lt;=Dashboard!$Q$4,OR(J1460&lt;&gt;"Yes",Dashboard!$Q$15="Yes")),P1460,""),"")</f>
        <v/>
      </c>
    </row>
    <row r="1461">
      <c r="A1461" s="47" t="n"/>
      <c r="B1461" s="48" t="n"/>
      <c r="C1461" s="48" t="n"/>
      <c r="D1461" s="48" t="n"/>
      <c r="E1461" s="48" t="n"/>
      <c r="F1461" s="48" t="n"/>
      <c r="G1461" s="48" t="n"/>
      <c r="H1461" s="48" t="n"/>
      <c r="I1461" s="49" t="n"/>
      <c r="J1461" s="50" t="n"/>
      <c r="K1461" s="48" t="n"/>
      <c r="L1461" s="51">
        <f>IF(A1461="","",DATE(YEAR(A1461),MONTH(A1461),1))</f>
        <v/>
      </c>
      <c r="M1461" s="52">
        <f>IF(OR(A1461="",NOT(ISNUMBER(I1461))),"",IF(G1461=Lists!$B$5,I1461/2,IF(G1461=Lists!$B$6,I1461,0)))</f>
        <v/>
      </c>
      <c r="N1461" s="52">
        <f>IF(OR(A1461="",NOT(ISNUMBER(I1461))),"",IF(G1461=Lists!$B$5,I1461/2,IF(G1461=Lists!$B$7,I1461,0)))</f>
        <v/>
      </c>
      <c r="O1461" s="53">
        <f>IF(COUNTA(A1461:K1461)=0,"",IF(OR(A1461="",B1461="",C1461="",D1461="",E1461="",F1461="",G1461="",NOT(ISNUMBER(I1461))),"Incomplete",IF(COUNTIF(Lists!$H$4:$AA$4,C1461)=0,"Check category",IF(COUNTIF(INDEX(Lists!$H$6:$AA$45,0,MATCH(C1461,Lists!$H$4:$AA$4,0)),D1461)=0,"Check sub-category","OK"))))</f>
        <v/>
      </c>
      <c r="P1461">
        <f>IF(ISNUMBER(I1461),I1461+ROW()/10000000,"")</f>
        <v/>
      </c>
      <c r="Q1461">
        <f>IF(AND(ISNUMBER(P1461),ISNUMBER(A1461)),IF(AND(A1461&gt;=Dashboard!$Q$3,A1461&lt;=Dashboard!$Q$4,OR(J1461&lt;&gt;"Yes",Dashboard!$Q$15="Yes")),P1461,""),"")</f>
        <v/>
      </c>
    </row>
    <row r="1462">
      <c r="A1462" s="47" t="n"/>
      <c r="B1462" s="48" t="n"/>
      <c r="C1462" s="48" t="n"/>
      <c r="D1462" s="48" t="n"/>
      <c r="E1462" s="48" t="n"/>
      <c r="F1462" s="48" t="n"/>
      <c r="G1462" s="48" t="n"/>
      <c r="H1462" s="48" t="n"/>
      <c r="I1462" s="49" t="n"/>
      <c r="J1462" s="50" t="n"/>
      <c r="K1462" s="48" t="n"/>
      <c r="L1462" s="51">
        <f>IF(A1462="","",DATE(YEAR(A1462),MONTH(A1462),1))</f>
        <v/>
      </c>
      <c r="M1462" s="52">
        <f>IF(OR(A1462="",NOT(ISNUMBER(I1462))),"",IF(G1462=Lists!$B$5,I1462/2,IF(G1462=Lists!$B$6,I1462,0)))</f>
        <v/>
      </c>
      <c r="N1462" s="52">
        <f>IF(OR(A1462="",NOT(ISNUMBER(I1462))),"",IF(G1462=Lists!$B$5,I1462/2,IF(G1462=Lists!$B$7,I1462,0)))</f>
        <v/>
      </c>
      <c r="O1462" s="53">
        <f>IF(COUNTA(A1462:K1462)=0,"",IF(OR(A1462="",B1462="",C1462="",D1462="",E1462="",F1462="",G1462="",NOT(ISNUMBER(I1462))),"Incomplete",IF(COUNTIF(Lists!$H$4:$AA$4,C1462)=0,"Check category",IF(COUNTIF(INDEX(Lists!$H$6:$AA$45,0,MATCH(C1462,Lists!$H$4:$AA$4,0)),D1462)=0,"Check sub-category","OK"))))</f>
        <v/>
      </c>
      <c r="P1462">
        <f>IF(ISNUMBER(I1462),I1462+ROW()/10000000,"")</f>
        <v/>
      </c>
      <c r="Q1462">
        <f>IF(AND(ISNUMBER(P1462),ISNUMBER(A1462)),IF(AND(A1462&gt;=Dashboard!$Q$3,A1462&lt;=Dashboard!$Q$4,OR(J1462&lt;&gt;"Yes",Dashboard!$Q$15="Yes")),P1462,""),"")</f>
        <v/>
      </c>
    </row>
    <row r="1463">
      <c r="A1463" s="47" t="n"/>
      <c r="B1463" s="48" t="n"/>
      <c r="C1463" s="48" t="n"/>
      <c r="D1463" s="48" t="n"/>
      <c r="E1463" s="48" t="n"/>
      <c r="F1463" s="48" t="n"/>
      <c r="G1463" s="48" t="n"/>
      <c r="H1463" s="48" t="n"/>
      <c r="I1463" s="49" t="n"/>
      <c r="J1463" s="50" t="n"/>
      <c r="K1463" s="48" t="n"/>
      <c r="L1463" s="51">
        <f>IF(A1463="","",DATE(YEAR(A1463),MONTH(A1463),1))</f>
        <v/>
      </c>
      <c r="M1463" s="52">
        <f>IF(OR(A1463="",NOT(ISNUMBER(I1463))),"",IF(G1463=Lists!$B$5,I1463/2,IF(G1463=Lists!$B$6,I1463,0)))</f>
        <v/>
      </c>
      <c r="N1463" s="52">
        <f>IF(OR(A1463="",NOT(ISNUMBER(I1463))),"",IF(G1463=Lists!$B$5,I1463/2,IF(G1463=Lists!$B$7,I1463,0)))</f>
        <v/>
      </c>
      <c r="O1463" s="53">
        <f>IF(COUNTA(A1463:K1463)=0,"",IF(OR(A1463="",B1463="",C1463="",D1463="",E1463="",F1463="",G1463="",NOT(ISNUMBER(I1463))),"Incomplete",IF(COUNTIF(Lists!$H$4:$AA$4,C1463)=0,"Check category",IF(COUNTIF(INDEX(Lists!$H$6:$AA$45,0,MATCH(C1463,Lists!$H$4:$AA$4,0)),D1463)=0,"Check sub-category","OK"))))</f>
        <v/>
      </c>
      <c r="P1463">
        <f>IF(ISNUMBER(I1463),I1463+ROW()/10000000,"")</f>
        <v/>
      </c>
      <c r="Q1463">
        <f>IF(AND(ISNUMBER(P1463),ISNUMBER(A1463)),IF(AND(A1463&gt;=Dashboard!$Q$3,A1463&lt;=Dashboard!$Q$4,OR(J1463&lt;&gt;"Yes",Dashboard!$Q$15="Yes")),P1463,""),"")</f>
        <v/>
      </c>
    </row>
    <row r="1464">
      <c r="A1464" s="47" t="n"/>
      <c r="B1464" s="48" t="n"/>
      <c r="C1464" s="48" t="n"/>
      <c r="D1464" s="48" t="n"/>
      <c r="E1464" s="48" t="n"/>
      <c r="F1464" s="48" t="n"/>
      <c r="G1464" s="48" t="n"/>
      <c r="H1464" s="48" t="n"/>
      <c r="I1464" s="49" t="n"/>
      <c r="J1464" s="50" t="n"/>
      <c r="K1464" s="48" t="n"/>
      <c r="L1464" s="51">
        <f>IF(A1464="","",DATE(YEAR(A1464),MONTH(A1464),1))</f>
        <v/>
      </c>
      <c r="M1464" s="52">
        <f>IF(OR(A1464="",NOT(ISNUMBER(I1464))),"",IF(G1464=Lists!$B$5,I1464/2,IF(G1464=Lists!$B$6,I1464,0)))</f>
        <v/>
      </c>
      <c r="N1464" s="52">
        <f>IF(OR(A1464="",NOT(ISNUMBER(I1464))),"",IF(G1464=Lists!$B$5,I1464/2,IF(G1464=Lists!$B$7,I1464,0)))</f>
        <v/>
      </c>
      <c r="O1464" s="53">
        <f>IF(COUNTA(A1464:K1464)=0,"",IF(OR(A1464="",B1464="",C1464="",D1464="",E1464="",F1464="",G1464="",NOT(ISNUMBER(I1464))),"Incomplete",IF(COUNTIF(Lists!$H$4:$AA$4,C1464)=0,"Check category",IF(COUNTIF(INDEX(Lists!$H$6:$AA$45,0,MATCH(C1464,Lists!$H$4:$AA$4,0)),D1464)=0,"Check sub-category","OK"))))</f>
        <v/>
      </c>
      <c r="P1464">
        <f>IF(ISNUMBER(I1464),I1464+ROW()/10000000,"")</f>
        <v/>
      </c>
      <c r="Q1464">
        <f>IF(AND(ISNUMBER(P1464),ISNUMBER(A1464)),IF(AND(A1464&gt;=Dashboard!$Q$3,A1464&lt;=Dashboard!$Q$4,OR(J1464&lt;&gt;"Yes",Dashboard!$Q$15="Yes")),P1464,""),"")</f>
        <v/>
      </c>
    </row>
    <row r="1465">
      <c r="A1465" s="47" t="n"/>
      <c r="B1465" s="48" t="n"/>
      <c r="C1465" s="48" t="n"/>
      <c r="D1465" s="48" t="n"/>
      <c r="E1465" s="48" t="n"/>
      <c r="F1465" s="48" t="n"/>
      <c r="G1465" s="48" t="n"/>
      <c r="H1465" s="48" t="n"/>
      <c r="I1465" s="49" t="n"/>
      <c r="J1465" s="50" t="n"/>
      <c r="K1465" s="48" t="n"/>
      <c r="L1465" s="51">
        <f>IF(A1465="","",DATE(YEAR(A1465),MONTH(A1465),1))</f>
        <v/>
      </c>
      <c r="M1465" s="52">
        <f>IF(OR(A1465="",NOT(ISNUMBER(I1465))),"",IF(G1465=Lists!$B$5,I1465/2,IF(G1465=Lists!$B$6,I1465,0)))</f>
        <v/>
      </c>
      <c r="N1465" s="52">
        <f>IF(OR(A1465="",NOT(ISNUMBER(I1465))),"",IF(G1465=Lists!$B$5,I1465/2,IF(G1465=Lists!$B$7,I1465,0)))</f>
        <v/>
      </c>
      <c r="O1465" s="53">
        <f>IF(COUNTA(A1465:K1465)=0,"",IF(OR(A1465="",B1465="",C1465="",D1465="",E1465="",F1465="",G1465="",NOT(ISNUMBER(I1465))),"Incomplete",IF(COUNTIF(Lists!$H$4:$AA$4,C1465)=0,"Check category",IF(COUNTIF(INDEX(Lists!$H$6:$AA$45,0,MATCH(C1465,Lists!$H$4:$AA$4,0)),D1465)=0,"Check sub-category","OK"))))</f>
        <v/>
      </c>
      <c r="P1465">
        <f>IF(ISNUMBER(I1465),I1465+ROW()/10000000,"")</f>
        <v/>
      </c>
      <c r="Q1465">
        <f>IF(AND(ISNUMBER(P1465),ISNUMBER(A1465)),IF(AND(A1465&gt;=Dashboard!$Q$3,A1465&lt;=Dashboard!$Q$4,OR(J1465&lt;&gt;"Yes",Dashboard!$Q$15="Yes")),P1465,""),"")</f>
        <v/>
      </c>
    </row>
    <row r="1466">
      <c r="A1466" s="47" t="n"/>
      <c r="B1466" s="48" t="n"/>
      <c r="C1466" s="48" t="n"/>
      <c r="D1466" s="48" t="n"/>
      <c r="E1466" s="48" t="n"/>
      <c r="F1466" s="48" t="n"/>
      <c r="G1466" s="48" t="n"/>
      <c r="H1466" s="48" t="n"/>
      <c r="I1466" s="49" t="n"/>
      <c r="J1466" s="50" t="n"/>
      <c r="K1466" s="48" t="n"/>
      <c r="L1466" s="51">
        <f>IF(A1466="","",DATE(YEAR(A1466),MONTH(A1466),1))</f>
        <v/>
      </c>
      <c r="M1466" s="52">
        <f>IF(OR(A1466="",NOT(ISNUMBER(I1466))),"",IF(G1466=Lists!$B$5,I1466/2,IF(G1466=Lists!$B$6,I1466,0)))</f>
        <v/>
      </c>
      <c r="N1466" s="52">
        <f>IF(OR(A1466="",NOT(ISNUMBER(I1466))),"",IF(G1466=Lists!$B$5,I1466/2,IF(G1466=Lists!$B$7,I1466,0)))</f>
        <v/>
      </c>
      <c r="O1466" s="53">
        <f>IF(COUNTA(A1466:K1466)=0,"",IF(OR(A1466="",B1466="",C1466="",D1466="",E1466="",F1466="",G1466="",NOT(ISNUMBER(I1466))),"Incomplete",IF(COUNTIF(Lists!$H$4:$AA$4,C1466)=0,"Check category",IF(COUNTIF(INDEX(Lists!$H$6:$AA$45,0,MATCH(C1466,Lists!$H$4:$AA$4,0)),D1466)=0,"Check sub-category","OK"))))</f>
        <v/>
      </c>
      <c r="P1466">
        <f>IF(ISNUMBER(I1466),I1466+ROW()/10000000,"")</f>
        <v/>
      </c>
      <c r="Q1466">
        <f>IF(AND(ISNUMBER(P1466),ISNUMBER(A1466)),IF(AND(A1466&gt;=Dashboard!$Q$3,A1466&lt;=Dashboard!$Q$4,OR(J1466&lt;&gt;"Yes",Dashboard!$Q$15="Yes")),P1466,""),"")</f>
        <v/>
      </c>
    </row>
    <row r="1467">
      <c r="A1467" s="47" t="n"/>
      <c r="B1467" s="48" t="n"/>
      <c r="C1467" s="48" t="n"/>
      <c r="D1467" s="48" t="n"/>
      <c r="E1467" s="48" t="n"/>
      <c r="F1467" s="48" t="n"/>
      <c r="G1467" s="48" t="n"/>
      <c r="H1467" s="48" t="n"/>
      <c r="I1467" s="49" t="n"/>
      <c r="J1467" s="50" t="n"/>
      <c r="K1467" s="48" t="n"/>
      <c r="L1467" s="51">
        <f>IF(A1467="","",DATE(YEAR(A1467),MONTH(A1467),1))</f>
        <v/>
      </c>
      <c r="M1467" s="52">
        <f>IF(OR(A1467="",NOT(ISNUMBER(I1467))),"",IF(G1467=Lists!$B$5,I1467/2,IF(G1467=Lists!$B$6,I1467,0)))</f>
        <v/>
      </c>
      <c r="N1467" s="52">
        <f>IF(OR(A1467="",NOT(ISNUMBER(I1467))),"",IF(G1467=Lists!$B$5,I1467/2,IF(G1467=Lists!$B$7,I1467,0)))</f>
        <v/>
      </c>
      <c r="O1467" s="53">
        <f>IF(COUNTA(A1467:K1467)=0,"",IF(OR(A1467="",B1467="",C1467="",D1467="",E1467="",F1467="",G1467="",NOT(ISNUMBER(I1467))),"Incomplete",IF(COUNTIF(Lists!$H$4:$AA$4,C1467)=0,"Check category",IF(COUNTIF(INDEX(Lists!$H$6:$AA$45,0,MATCH(C1467,Lists!$H$4:$AA$4,0)),D1467)=0,"Check sub-category","OK"))))</f>
        <v/>
      </c>
      <c r="P1467">
        <f>IF(ISNUMBER(I1467),I1467+ROW()/10000000,"")</f>
        <v/>
      </c>
      <c r="Q1467">
        <f>IF(AND(ISNUMBER(P1467),ISNUMBER(A1467)),IF(AND(A1467&gt;=Dashboard!$Q$3,A1467&lt;=Dashboard!$Q$4,OR(J1467&lt;&gt;"Yes",Dashboard!$Q$15="Yes")),P1467,""),"")</f>
        <v/>
      </c>
    </row>
    <row r="1468">
      <c r="A1468" s="47" t="n"/>
      <c r="B1468" s="48" t="n"/>
      <c r="C1468" s="48" t="n"/>
      <c r="D1468" s="48" t="n"/>
      <c r="E1468" s="48" t="n"/>
      <c r="F1468" s="48" t="n"/>
      <c r="G1468" s="48" t="n"/>
      <c r="H1468" s="48" t="n"/>
      <c r="I1468" s="49" t="n"/>
      <c r="J1468" s="50" t="n"/>
      <c r="K1468" s="48" t="n"/>
      <c r="L1468" s="51">
        <f>IF(A1468="","",DATE(YEAR(A1468),MONTH(A1468),1))</f>
        <v/>
      </c>
      <c r="M1468" s="52">
        <f>IF(OR(A1468="",NOT(ISNUMBER(I1468))),"",IF(G1468=Lists!$B$5,I1468/2,IF(G1468=Lists!$B$6,I1468,0)))</f>
        <v/>
      </c>
      <c r="N1468" s="52">
        <f>IF(OR(A1468="",NOT(ISNUMBER(I1468))),"",IF(G1468=Lists!$B$5,I1468/2,IF(G1468=Lists!$B$7,I1468,0)))</f>
        <v/>
      </c>
      <c r="O1468" s="53">
        <f>IF(COUNTA(A1468:K1468)=0,"",IF(OR(A1468="",B1468="",C1468="",D1468="",E1468="",F1468="",G1468="",NOT(ISNUMBER(I1468))),"Incomplete",IF(COUNTIF(Lists!$H$4:$AA$4,C1468)=0,"Check category",IF(COUNTIF(INDEX(Lists!$H$6:$AA$45,0,MATCH(C1468,Lists!$H$4:$AA$4,0)),D1468)=0,"Check sub-category","OK"))))</f>
        <v/>
      </c>
      <c r="P1468">
        <f>IF(ISNUMBER(I1468),I1468+ROW()/10000000,"")</f>
        <v/>
      </c>
      <c r="Q1468">
        <f>IF(AND(ISNUMBER(P1468),ISNUMBER(A1468)),IF(AND(A1468&gt;=Dashboard!$Q$3,A1468&lt;=Dashboard!$Q$4,OR(J1468&lt;&gt;"Yes",Dashboard!$Q$15="Yes")),P1468,""),"")</f>
        <v/>
      </c>
    </row>
    <row r="1469">
      <c r="A1469" s="47" t="n"/>
      <c r="B1469" s="48" t="n"/>
      <c r="C1469" s="48" t="n"/>
      <c r="D1469" s="48" t="n"/>
      <c r="E1469" s="48" t="n"/>
      <c r="F1469" s="48" t="n"/>
      <c r="G1469" s="48" t="n"/>
      <c r="H1469" s="48" t="n"/>
      <c r="I1469" s="49" t="n"/>
      <c r="J1469" s="50" t="n"/>
      <c r="K1469" s="48" t="n"/>
      <c r="L1469" s="51">
        <f>IF(A1469="","",DATE(YEAR(A1469),MONTH(A1469),1))</f>
        <v/>
      </c>
      <c r="M1469" s="52">
        <f>IF(OR(A1469="",NOT(ISNUMBER(I1469))),"",IF(G1469=Lists!$B$5,I1469/2,IF(G1469=Lists!$B$6,I1469,0)))</f>
        <v/>
      </c>
      <c r="N1469" s="52">
        <f>IF(OR(A1469="",NOT(ISNUMBER(I1469))),"",IF(G1469=Lists!$B$5,I1469/2,IF(G1469=Lists!$B$7,I1469,0)))</f>
        <v/>
      </c>
      <c r="O1469" s="53">
        <f>IF(COUNTA(A1469:K1469)=0,"",IF(OR(A1469="",B1469="",C1469="",D1469="",E1469="",F1469="",G1469="",NOT(ISNUMBER(I1469))),"Incomplete",IF(COUNTIF(Lists!$H$4:$AA$4,C1469)=0,"Check category",IF(COUNTIF(INDEX(Lists!$H$6:$AA$45,0,MATCH(C1469,Lists!$H$4:$AA$4,0)),D1469)=0,"Check sub-category","OK"))))</f>
        <v/>
      </c>
      <c r="P1469">
        <f>IF(ISNUMBER(I1469),I1469+ROW()/10000000,"")</f>
        <v/>
      </c>
      <c r="Q1469">
        <f>IF(AND(ISNUMBER(P1469),ISNUMBER(A1469)),IF(AND(A1469&gt;=Dashboard!$Q$3,A1469&lt;=Dashboard!$Q$4,OR(J1469&lt;&gt;"Yes",Dashboard!$Q$15="Yes")),P1469,""),"")</f>
        <v/>
      </c>
    </row>
    <row r="1470">
      <c r="A1470" s="47" t="n"/>
      <c r="B1470" s="48" t="n"/>
      <c r="C1470" s="48" t="n"/>
      <c r="D1470" s="48" t="n"/>
      <c r="E1470" s="48" t="n"/>
      <c r="F1470" s="48" t="n"/>
      <c r="G1470" s="48" t="n"/>
      <c r="H1470" s="48" t="n"/>
      <c r="I1470" s="49" t="n"/>
      <c r="J1470" s="50" t="n"/>
      <c r="K1470" s="48" t="n"/>
      <c r="L1470" s="51">
        <f>IF(A1470="","",DATE(YEAR(A1470),MONTH(A1470),1))</f>
        <v/>
      </c>
      <c r="M1470" s="52">
        <f>IF(OR(A1470="",NOT(ISNUMBER(I1470))),"",IF(G1470=Lists!$B$5,I1470/2,IF(G1470=Lists!$B$6,I1470,0)))</f>
        <v/>
      </c>
      <c r="N1470" s="52">
        <f>IF(OR(A1470="",NOT(ISNUMBER(I1470))),"",IF(G1470=Lists!$B$5,I1470/2,IF(G1470=Lists!$B$7,I1470,0)))</f>
        <v/>
      </c>
      <c r="O1470" s="53">
        <f>IF(COUNTA(A1470:K1470)=0,"",IF(OR(A1470="",B1470="",C1470="",D1470="",E1470="",F1470="",G1470="",NOT(ISNUMBER(I1470))),"Incomplete",IF(COUNTIF(Lists!$H$4:$AA$4,C1470)=0,"Check category",IF(COUNTIF(INDEX(Lists!$H$6:$AA$45,0,MATCH(C1470,Lists!$H$4:$AA$4,0)),D1470)=0,"Check sub-category","OK"))))</f>
        <v/>
      </c>
      <c r="P1470">
        <f>IF(ISNUMBER(I1470),I1470+ROW()/10000000,"")</f>
        <v/>
      </c>
      <c r="Q1470">
        <f>IF(AND(ISNUMBER(P1470),ISNUMBER(A1470)),IF(AND(A1470&gt;=Dashboard!$Q$3,A1470&lt;=Dashboard!$Q$4,OR(J1470&lt;&gt;"Yes",Dashboard!$Q$15="Yes")),P1470,""),"")</f>
        <v/>
      </c>
    </row>
    <row r="1471">
      <c r="A1471" s="47" t="n"/>
      <c r="B1471" s="48" t="n"/>
      <c r="C1471" s="48" t="n"/>
      <c r="D1471" s="48" t="n"/>
      <c r="E1471" s="48" t="n"/>
      <c r="F1471" s="48" t="n"/>
      <c r="G1471" s="48" t="n"/>
      <c r="H1471" s="48" t="n"/>
      <c r="I1471" s="49" t="n"/>
      <c r="J1471" s="50" t="n"/>
      <c r="K1471" s="48" t="n"/>
      <c r="L1471" s="51">
        <f>IF(A1471="","",DATE(YEAR(A1471),MONTH(A1471),1))</f>
        <v/>
      </c>
      <c r="M1471" s="52">
        <f>IF(OR(A1471="",NOT(ISNUMBER(I1471))),"",IF(G1471=Lists!$B$5,I1471/2,IF(G1471=Lists!$B$6,I1471,0)))</f>
        <v/>
      </c>
      <c r="N1471" s="52">
        <f>IF(OR(A1471="",NOT(ISNUMBER(I1471))),"",IF(G1471=Lists!$B$5,I1471/2,IF(G1471=Lists!$B$7,I1471,0)))</f>
        <v/>
      </c>
      <c r="O1471" s="53">
        <f>IF(COUNTA(A1471:K1471)=0,"",IF(OR(A1471="",B1471="",C1471="",D1471="",E1471="",F1471="",G1471="",NOT(ISNUMBER(I1471))),"Incomplete",IF(COUNTIF(Lists!$H$4:$AA$4,C1471)=0,"Check category",IF(COUNTIF(INDEX(Lists!$H$6:$AA$45,0,MATCH(C1471,Lists!$H$4:$AA$4,0)),D1471)=0,"Check sub-category","OK"))))</f>
        <v/>
      </c>
      <c r="P1471">
        <f>IF(ISNUMBER(I1471),I1471+ROW()/10000000,"")</f>
        <v/>
      </c>
      <c r="Q1471">
        <f>IF(AND(ISNUMBER(P1471),ISNUMBER(A1471)),IF(AND(A1471&gt;=Dashboard!$Q$3,A1471&lt;=Dashboard!$Q$4,OR(J1471&lt;&gt;"Yes",Dashboard!$Q$15="Yes")),P1471,""),"")</f>
        <v/>
      </c>
    </row>
    <row r="1472">
      <c r="A1472" s="47" t="n"/>
      <c r="B1472" s="48" t="n"/>
      <c r="C1472" s="48" t="n"/>
      <c r="D1472" s="48" t="n"/>
      <c r="E1472" s="48" t="n"/>
      <c r="F1472" s="48" t="n"/>
      <c r="G1472" s="48" t="n"/>
      <c r="H1472" s="48" t="n"/>
      <c r="I1472" s="49" t="n"/>
      <c r="J1472" s="50" t="n"/>
      <c r="K1472" s="48" t="n"/>
      <c r="L1472" s="51">
        <f>IF(A1472="","",DATE(YEAR(A1472),MONTH(A1472),1))</f>
        <v/>
      </c>
      <c r="M1472" s="52">
        <f>IF(OR(A1472="",NOT(ISNUMBER(I1472))),"",IF(G1472=Lists!$B$5,I1472/2,IF(G1472=Lists!$B$6,I1472,0)))</f>
        <v/>
      </c>
      <c r="N1472" s="52">
        <f>IF(OR(A1472="",NOT(ISNUMBER(I1472))),"",IF(G1472=Lists!$B$5,I1472/2,IF(G1472=Lists!$B$7,I1472,0)))</f>
        <v/>
      </c>
      <c r="O1472" s="53">
        <f>IF(COUNTA(A1472:K1472)=0,"",IF(OR(A1472="",B1472="",C1472="",D1472="",E1472="",F1472="",G1472="",NOT(ISNUMBER(I1472))),"Incomplete",IF(COUNTIF(Lists!$H$4:$AA$4,C1472)=0,"Check category",IF(COUNTIF(INDEX(Lists!$H$6:$AA$45,0,MATCH(C1472,Lists!$H$4:$AA$4,0)),D1472)=0,"Check sub-category","OK"))))</f>
        <v/>
      </c>
      <c r="P1472">
        <f>IF(ISNUMBER(I1472),I1472+ROW()/10000000,"")</f>
        <v/>
      </c>
      <c r="Q1472">
        <f>IF(AND(ISNUMBER(P1472),ISNUMBER(A1472)),IF(AND(A1472&gt;=Dashboard!$Q$3,A1472&lt;=Dashboard!$Q$4,OR(J1472&lt;&gt;"Yes",Dashboard!$Q$15="Yes")),P1472,""),"")</f>
        <v/>
      </c>
    </row>
    <row r="1473">
      <c r="A1473" s="47" t="n"/>
      <c r="B1473" s="48" t="n"/>
      <c r="C1473" s="48" t="n"/>
      <c r="D1473" s="48" t="n"/>
      <c r="E1473" s="48" t="n"/>
      <c r="F1473" s="48" t="n"/>
      <c r="G1473" s="48" t="n"/>
      <c r="H1473" s="48" t="n"/>
      <c r="I1473" s="49" t="n"/>
      <c r="J1473" s="50" t="n"/>
      <c r="K1473" s="48" t="n"/>
      <c r="L1473" s="51">
        <f>IF(A1473="","",DATE(YEAR(A1473),MONTH(A1473),1))</f>
        <v/>
      </c>
      <c r="M1473" s="52">
        <f>IF(OR(A1473="",NOT(ISNUMBER(I1473))),"",IF(G1473=Lists!$B$5,I1473/2,IF(G1473=Lists!$B$6,I1473,0)))</f>
        <v/>
      </c>
      <c r="N1473" s="52">
        <f>IF(OR(A1473="",NOT(ISNUMBER(I1473))),"",IF(G1473=Lists!$B$5,I1473/2,IF(G1473=Lists!$B$7,I1473,0)))</f>
        <v/>
      </c>
      <c r="O1473" s="53">
        <f>IF(COUNTA(A1473:K1473)=0,"",IF(OR(A1473="",B1473="",C1473="",D1473="",E1473="",F1473="",G1473="",NOT(ISNUMBER(I1473))),"Incomplete",IF(COUNTIF(Lists!$H$4:$AA$4,C1473)=0,"Check category",IF(COUNTIF(INDEX(Lists!$H$6:$AA$45,0,MATCH(C1473,Lists!$H$4:$AA$4,0)),D1473)=0,"Check sub-category","OK"))))</f>
        <v/>
      </c>
      <c r="P1473">
        <f>IF(ISNUMBER(I1473),I1473+ROW()/10000000,"")</f>
        <v/>
      </c>
      <c r="Q1473">
        <f>IF(AND(ISNUMBER(P1473),ISNUMBER(A1473)),IF(AND(A1473&gt;=Dashboard!$Q$3,A1473&lt;=Dashboard!$Q$4,OR(J1473&lt;&gt;"Yes",Dashboard!$Q$15="Yes")),P1473,""),"")</f>
        <v/>
      </c>
    </row>
    <row r="1474">
      <c r="A1474" s="47" t="n"/>
      <c r="B1474" s="48" t="n"/>
      <c r="C1474" s="48" t="n"/>
      <c r="D1474" s="48" t="n"/>
      <c r="E1474" s="48" t="n"/>
      <c r="F1474" s="48" t="n"/>
      <c r="G1474" s="48" t="n"/>
      <c r="H1474" s="48" t="n"/>
      <c r="I1474" s="49" t="n"/>
      <c r="J1474" s="50" t="n"/>
      <c r="K1474" s="48" t="n"/>
      <c r="L1474" s="51">
        <f>IF(A1474="","",DATE(YEAR(A1474),MONTH(A1474),1))</f>
        <v/>
      </c>
      <c r="M1474" s="52">
        <f>IF(OR(A1474="",NOT(ISNUMBER(I1474))),"",IF(G1474=Lists!$B$5,I1474/2,IF(G1474=Lists!$B$6,I1474,0)))</f>
        <v/>
      </c>
      <c r="N1474" s="52">
        <f>IF(OR(A1474="",NOT(ISNUMBER(I1474))),"",IF(G1474=Lists!$B$5,I1474/2,IF(G1474=Lists!$B$7,I1474,0)))</f>
        <v/>
      </c>
      <c r="O1474" s="53">
        <f>IF(COUNTA(A1474:K1474)=0,"",IF(OR(A1474="",B1474="",C1474="",D1474="",E1474="",F1474="",G1474="",NOT(ISNUMBER(I1474))),"Incomplete",IF(COUNTIF(Lists!$H$4:$AA$4,C1474)=0,"Check category",IF(COUNTIF(INDEX(Lists!$H$6:$AA$45,0,MATCH(C1474,Lists!$H$4:$AA$4,0)),D1474)=0,"Check sub-category","OK"))))</f>
        <v/>
      </c>
      <c r="P1474">
        <f>IF(ISNUMBER(I1474),I1474+ROW()/10000000,"")</f>
        <v/>
      </c>
      <c r="Q1474">
        <f>IF(AND(ISNUMBER(P1474),ISNUMBER(A1474)),IF(AND(A1474&gt;=Dashboard!$Q$3,A1474&lt;=Dashboard!$Q$4,OR(J1474&lt;&gt;"Yes",Dashboard!$Q$15="Yes")),P1474,""),"")</f>
        <v/>
      </c>
    </row>
    <row r="1475">
      <c r="A1475" s="47" t="n"/>
      <c r="B1475" s="48" t="n"/>
      <c r="C1475" s="48" t="n"/>
      <c r="D1475" s="48" t="n"/>
      <c r="E1475" s="48" t="n"/>
      <c r="F1475" s="48" t="n"/>
      <c r="G1475" s="48" t="n"/>
      <c r="H1475" s="48" t="n"/>
      <c r="I1475" s="49" t="n"/>
      <c r="J1475" s="50" t="n"/>
      <c r="K1475" s="48" t="n"/>
      <c r="L1475" s="51">
        <f>IF(A1475="","",DATE(YEAR(A1475),MONTH(A1475),1))</f>
        <v/>
      </c>
      <c r="M1475" s="52">
        <f>IF(OR(A1475="",NOT(ISNUMBER(I1475))),"",IF(G1475=Lists!$B$5,I1475/2,IF(G1475=Lists!$B$6,I1475,0)))</f>
        <v/>
      </c>
      <c r="N1475" s="52">
        <f>IF(OR(A1475="",NOT(ISNUMBER(I1475))),"",IF(G1475=Lists!$B$5,I1475/2,IF(G1475=Lists!$B$7,I1475,0)))</f>
        <v/>
      </c>
      <c r="O1475" s="53">
        <f>IF(COUNTA(A1475:K1475)=0,"",IF(OR(A1475="",B1475="",C1475="",D1475="",E1475="",F1475="",G1475="",NOT(ISNUMBER(I1475))),"Incomplete",IF(COUNTIF(Lists!$H$4:$AA$4,C1475)=0,"Check category",IF(COUNTIF(INDEX(Lists!$H$6:$AA$45,0,MATCH(C1475,Lists!$H$4:$AA$4,0)),D1475)=0,"Check sub-category","OK"))))</f>
        <v/>
      </c>
      <c r="P1475">
        <f>IF(ISNUMBER(I1475),I1475+ROW()/10000000,"")</f>
        <v/>
      </c>
      <c r="Q1475">
        <f>IF(AND(ISNUMBER(P1475),ISNUMBER(A1475)),IF(AND(A1475&gt;=Dashboard!$Q$3,A1475&lt;=Dashboard!$Q$4,OR(J1475&lt;&gt;"Yes",Dashboard!$Q$15="Yes")),P1475,""),"")</f>
        <v/>
      </c>
    </row>
    <row r="1476">
      <c r="A1476" s="47" t="n"/>
      <c r="B1476" s="48" t="n"/>
      <c r="C1476" s="48" t="n"/>
      <c r="D1476" s="48" t="n"/>
      <c r="E1476" s="48" t="n"/>
      <c r="F1476" s="48" t="n"/>
      <c r="G1476" s="48" t="n"/>
      <c r="H1476" s="48" t="n"/>
      <c r="I1476" s="49" t="n"/>
      <c r="J1476" s="50" t="n"/>
      <c r="K1476" s="48" t="n"/>
      <c r="L1476" s="51">
        <f>IF(A1476="","",DATE(YEAR(A1476),MONTH(A1476),1))</f>
        <v/>
      </c>
      <c r="M1476" s="52">
        <f>IF(OR(A1476="",NOT(ISNUMBER(I1476))),"",IF(G1476=Lists!$B$5,I1476/2,IF(G1476=Lists!$B$6,I1476,0)))</f>
        <v/>
      </c>
      <c r="N1476" s="52">
        <f>IF(OR(A1476="",NOT(ISNUMBER(I1476))),"",IF(G1476=Lists!$B$5,I1476/2,IF(G1476=Lists!$B$7,I1476,0)))</f>
        <v/>
      </c>
      <c r="O1476" s="53">
        <f>IF(COUNTA(A1476:K1476)=0,"",IF(OR(A1476="",B1476="",C1476="",D1476="",E1476="",F1476="",G1476="",NOT(ISNUMBER(I1476))),"Incomplete",IF(COUNTIF(Lists!$H$4:$AA$4,C1476)=0,"Check category",IF(COUNTIF(INDEX(Lists!$H$6:$AA$45,0,MATCH(C1476,Lists!$H$4:$AA$4,0)),D1476)=0,"Check sub-category","OK"))))</f>
        <v/>
      </c>
      <c r="P1476">
        <f>IF(ISNUMBER(I1476),I1476+ROW()/10000000,"")</f>
        <v/>
      </c>
      <c r="Q1476">
        <f>IF(AND(ISNUMBER(P1476),ISNUMBER(A1476)),IF(AND(A1476&gt;=Dashboard!$Q$3,A1476&lt;=Dashboard!$Q$4,OR(J1476&lt;&gt;"Yes",Dashboard!$Q$15="Yes")),P1476,""),"")</f>
        <v/>
      </c>
    </row>
    <row r="1477">
      <c r="A1477" s="47" t="n"/>
      <c r="B1477" s="48" t="n"/>
      <c r="C1477" s="48" t="n"/>
      <c r="D1477" s="48" t="n"/>
      <c r="E1477" s="48" t="n"/>
      <c r="F1477" s="48" t="n"/>
      <c r="G1477" s="48" t="n"/>
      <c r="H1477" s="48" t="n"/>
      <c r="I1477" s="49" t="n"/>
      <c r="J1477" s="50" t="n"/>
      <c r="K1477" s="48" t="n"/>
      <c r="L1477" s="51">
        <f>IF(A1477="","",DATE(YEAR(A1477),MONTH(A1477),1))</f>
        <v/>
      </c>
      <c r="M1477" s="52">
        <f>IF(OR(A1477="",NOT(ISNUMBER(I1477))),"",IF(G1477=Lists!$B$5,I1477/2,IF(G1477=Lists!$B$6,I1477,0)))</f>
        <v/>
      </c>
      <c r="N1477" s="52">
        <f>IF(OR(A1477="",NOT(ISNUMBER(I1477))),"",IF(G1477=Lists!$B$5,I1477/2,IF(G1477=Lists!$B$7,I1477,0)))</f>
        <v/>
      </c>
      <c r="O1477" s="53">
        <f>IF(COUNTA(A1477:K1477)=0,"",IF(OR(A1477="",B1477="",C1477="",D1477="",E1477="",F1477="",G1477="",NOT(ISNUMBER(I1477))),"Incomplete",IF(COUNTIF(Lists!$H$4:$AA$4,C1477)=0,"Check category",IF(COUNTIF(INDEX(Lists!$H$6:$AA$45,0,MATCH(C1477,Lists!$H$4:$AA$4,0)),D1477)=0,"Check sub-category","OK"))))</f>
        <v/>
      </c>
      <c r="P1477">
        <f>IF(ISNUMBER(I1477),I1477+ROW()/10000000,"")</f>
        <v/>
      </c>
      <c r="Q1477">
        <f>IF(AND(ISNUMBER(P1477),ISNUMBER(A1477)),IF(AND(A1477&gt;=Dashboard!$Q$3,A1477&lt;=Dashboard!$Q$4,OR(J1477&lt;&gt;"Yes",Dashboard!$Q$15="Yes")),P1477,""),"")</f>
        <v/>
      </c>
    </row>
    <row r="1478">
      <c r="A1478" s="47" t="n"/>
      <c r="B1478" s="48" t="n"/>
      <c r="C1478" s="48" t="n"/>
      <c r="D1478" s="48" t="n"/>
      <c r="E1478" s="48" t="n"/>
      <c r="F1478" s="48" t="n"/>
      <c r="G1478" s="48" t="n"/>
      <c r="H1478" s="48" t="n"/>
      <c r="I1478" s="49" t="n"/>
      <c r="J1478" s="50" t="n"/>
      <c r="K1478" s="48" t="n"/>
      <c r="L1478" s="51">
        <f>IF(A1478="","",DATE(YEAR(A1478),MONTH(A1478),1))</f>
        <v/>
      </c>
      <c r="M1478" s="52">
        <f>IF(OR(A1478="",NOT(ISNUMBER(I1478))),"",IF(G1478=Lists!$B$5,I1478/2,IF(G1478=Lists!$B$6,I1478,0)))</f>
        <v/>
      </c>
      <c r="N1478" s="52">
        <f>IF(OR(A1478="",NOT(ISNUMBER(I1478))),"",IF(G1478=Lists!$B$5,I1478/2,IF(G1478=Lists!$B$7,I1478,0)))</f>
        <v/>
      </c>
      <c r="O1478" s="53">
        <f>IF(COUNTA(A1478:K1478)=0,"",IF(OR(A1478="",B1478="",C1478="",D1478="",E1478="",F1478="",G1478="",NOT(ISNUMBER(I1478))),"Incomplete",IF(COUNTIF(Lists!$H$4:$AA$4,C1478)=0,"Check category",IF(COUNTIF(INDEX(Lists!$H$6:$AA$45,0,MATCH(C1478,Lists!$H$4:$AA$4,0)),D1478)=0,"Check sub-category","OK"))))</f>
        <v/>
      </c>
      <c r="P1478">
        <f>IF(ISNUMBER(I1478),I1478+ROW()/10000000,"")</f>
        <v/>
      </c>
      <c r="Q1478">
        <f>IF(AND(ISNUMBER(P1478),ISNUMBER(A1478)),IF(AND(A1478&gt;=Dashboard!$Q$3,A1478&lt;=Dashboard!$Q$4,OR(J1478&lt;&gt;"Yes",Dashboard!$Q$15="Yes")),P1478,""),"")</f>
        <v/>
      </c>
    </row>
    <row r="1479">
      <c r="A1479" s="47" t="n"/>
      <c r="B1479" s="48" t="n"/>
      <c r="C1479" s="48" t="n"/>
      <c r="D1479" s="48" t="n"/>
      <c r="E1479" s="48" t="n"/>
      <c r="F1479" s="48" t="n"/>
      <c r="G1479" s="48" t="n"/>
      <c r="H1479" s="48" t="n"/>
      <c r="I1479" s="49" t="n"/>
      <c r="J1479" s="50" t="n"/>
      <c r="K1479" s="48" t="n"/>
      <c r="L1479" s="51">
        <f>IF(A1479="","",DATE(YEAR(A1479),MONTH(A1479),1))</f>
        <v/>
      </c>
      <c r="M1479" s="52">
        <f>IF(OR(A1479="",NOT(ISNUMBER(I1479))),"",IF(G1479=Lists!$B$5,I1479/2,IF(G1479=Lists!$B$6,I1479,0)))</f>
        <v/>
      </c>
      <c r="N1479" s="52">
        <f>IF(OR(A1479="",NOT(ISNUMBER(I1479))),"",IF(G1479=Lists!$B$5,I1479/2,IF(G1479=Lists!$B$7,I1479,0)))</f>
        <v/>
      </c>
      <c r="O1479" s="53">
        <f>IF(COUNTA(A1479:K1479)=0,"",IF(OR(A1479="",B1479="",C1479="",D1479="",E1479="",F1479="",G1479="",NOT(ISNUMBER(I1479))),"Incomplete",IF(COUNTIF(Lists!$H$4:$AA$4,C1479)=0,"Check category",IF(COUNTIF(INDEX(Lists!$H$6:$AA$45,0,MATCH(C1479,Lists!$H$4:$AA$4,0)),D1479)=0,"Check sub-category","OK"))))</f>
        <v/>
      </c>
      <c r="P1479">
        <f>IF(ISNUMBER(I1479),I1479+ROW()/10000000,"")</f>
        <v/>
      </c>
      <c r="Q1479">
        <f>IF(AND(ISNUMBER(P1479),ISNUMBER(A1479)),IF(AND(A1479&gt;=Dashboard!$Q$3,A1479&lt;=Dashboard!$Q$4,OR(J1479&lt;&gt;"Yes",Dashboard!$Q$15="Yes")),P1479,""),"")</f>
        <v/>
      </c>
    </row>
    <row r="1480">
      <c r="A1480" s="47" t="n"/>
      <c r="B1480" s="48" t="n"/>
      <c r="C1480" s="48" t="n"/>
      <c r="D1480" s="48" t="n"/>
      <c r="E1480" s="48" t="n"/>
      <c r="F1480" s="48" t="n"/>
      <c r="G1480" s="48" t="n"/>
      <c r="H1480" s="48" t="n"/>
      <c r="I1480" s="49" t="n"/>
      <c r="J1480" s="50" t="n"/>
      <c r="K1480" s="48" t="n"/>
      <c r="L1480" s="51">
        <f>IF(A1480="","",DATE(YEAR(A1480),MONTH(A1480),1))</f>
        <v/>
      </c>
      <c r="M1480" s="52">
        <f>IF(OR(A1480="",NOT(ISNUMBER(I1480))),"",IF(G1480=Lists!$B$5,I1480/2,IF(G1480=Lists!$B$6,I1480,0)))</f>
        <v/>
      </c>
      <c r="N1480" s="52">
        <f>IF(OR(A1480="",NOT(ISNUMBER(I1480))),"",IF(G1480=Lists!$B$5,I1480/2,IF(G1480=Lists!$B$7,I1480,0)))</f>
        <v/>
      </c>
      <c r="O1480" s="53">
        <f>IF(COUNTA(A1480:K1480)=0,"",IF(OR(A1480="",B1480="",C1480="",D1480="",E1480="",F1480="",G1480="",NOT(ISNUMBER(I1480))),"Incomplete",IF(COUNTIF(Lists!$H$4:$AA$4,C1480)=0,"Check category",IF(COUNTIF(INDEX(Lists!$H$6:$AA$45,0,MATCH(C1480,Lists!$H$4:$AA$4,0)),D1480)=0,"Check sub-category","OK"))))</f>
        <v/>
      </c>
      <c r="P1480">
        <f>IF(ISNUMBER(I1480),I1480+ROW()/10000000,"")</f>
        <v/>
      </c>
      <c r="Q1480">
        <f>IF(AND(ISNUMBER(P1480),ISNUMBER(A1480)),IF(AND(A1480&gt;=Dashboard!$Q$3,A1480&lt;=Dashboard!$Q$4,OR(J1480&lt;&gt;"Yes",Dashboard!$Q$15="Yes")),P1480,""),"")</f>
        <v/>
      </c>
    </row>
    <row r="1481">
      <c r="A1481" s="47" t="n"/>
      <c r="B1481" s="48" t="n"/>
      <c r="C1481" s="48" t="n"/>
      <c r="D1481" s="48" t="n"/>
      <c r="E1481" s="48" t="n"/>
      <c r="F1481" s="48" t="n"/>
      <c r="G1481" s="48" t="n"/>
      <c r="H1481" s="48" t="n"/>
      <c r="I1481" s="49" t="n"/>
      <c r="J1481" s="50" t="n"/>
      <c r="K1481" s="48" t="n"/>
      <c r="L1481" s="51">
        <f>IF(A1481="","",DATE(YEAR(A1481),MONTH(A1481),1))</f>
        <v/>
      </c>
      <c r="M1481" s="52">
        <f>IF(OR(A1481="",NOT(ISNUMBER(I1481))),"",IF(G1481=Lists!$B$5,I1481/2,IF(G1481=Lists!$B$6,I1481,0)))</f>
        <v/>
      </c>
      <c r="N1481" s="52">
        <f>IF(OR(A1481="",NOT(ISNUMBER(I1481))),"",IF(G1481=Lists!$B$5,I1481/2,IF(G1481=Lists!$B$7,I1481,0)))</f>
        <v/>
      </c>
      <c r="O1481" s="53">
        <f>IF(COUNTA(A1481:K1481)=0,"",IF(OR(A1481="",B1481="",C1481="",D1481="",E1481="",F1481="",G1481="",NOT(ISNUMBER(I1481))),"Incomplete",IF(COUNTIF(Lists!$H$4:$AA$4,C1481)=0,"Check category",IF(COUNTIF(INDEX(Lists!$H$6:$AA$45,0,MATCH(C1481,Lists!$H$4:$AA$4,0)),D1481)=0,"Check sub-category","OK"))))</f>
        <v/>
      </c>
      <c r="P1481">
        <f>IF(ISNUMBER(I1481),I1481+ROW()/10000000,"")</f>
        <v/>
      </c>
      <c r="Q1481">
        <f>IF(AND(ISNUMBER(P1481),ISNUMBER(A1481)),IF(AND(A1481&gt;=Dashboard!$Q$3,A1481&lt;=Dashboard!$Q$4,OR(J1481&lt;&gt;"Yes",Dashboard!$Q$15="Yes")),P1481,""),"")</f>
        <v/>
      </c>
    </row>
    <row r="1482">
      <c r="A1482" s="47" t="n"/>
      <c r="B1482" s="48" t="n"/>
      <c r="C1482" s="48" t="n"/>
      <c r="D1482" s="48" t="n"/>
      <c r="E1482" s="48" t="n"/>
      <c r="F1482" s="48" t="n"/>
      <c r="G1482" s="48" t="n"/>
      <c r="H1482" s="48" t="n"/>
      <c r="I1482" s="49" t="n"/>
      <c r="J1482" s="50" t="n"/>
      <c r="K1482" s="48" t="n"/>
      <c r="L1482" s="51">
        <f>IF(A1482="","",DATE(YEAR(A1482),MONTH(A1482),1))</f>
        <v/>
      </c>
      <c r="M1482" s="52">
        <f>IF(OR(A1482="",NOT(ISNUMBER(I1482))),"",IF(G1482=Lists!$B$5,I1482/2,IF(G1482=Lists!$B$6,I1482,0)))</f>
        <v/>
      </c>
      <c r="N1482" s="52">
        <f>IF(OR(A1482="",NOT(ISNUMBER(I1482))),"",IF(G1482=Lists!$B$5,I1482/2,IF(G1482=Lists!$B$7,I1482,0)))</f>
        <v/>
      </c>
      <c r="O1482" s="53">
        <f>IF(COUNTA(A1482:K1482)=0,"",IF(OR(A1482="",B1482="",C1482="",D1482="",E1482="",F1482="",G1482="",NOT(ISNUMBER(I1482))),"Incomplete",IF(COUNTIF(Lists!$H$4:$AA$4,C1482)=0,"Check category",IF(COUNTIF(INDEX(Lists!$H$6:$AA$45,0,MATCH(C1482,Lists!$H$4:$AA$4,0)),D1482)=0,"Check sub-category","OK"))))</f>
        <v/>
      </c>
      <c r="P1482">
        <f>IF(ISNUMBER(I1482),I1482+ROW()/10000000,"")</f>
        <v/>
      </c>
      <c r="Q1482">
        <f>IF(AND(ISNUMBER(P1482),ISNUMBER(A1482)),IF(AND(A1482&gt;=Dashboard!$Q$3,A1482&lt;=Dashboard!$Q$4,OR(J1482&lt;&gt;"Yes",Dashboard!$Q$15="Yes")),P1482,""),"")</f>
        <v/>
      </c>
    </row>
    <row r="1483">
      <c r="A1483" s="47" t="n"/>
      <c r="B1483" s="48" t="n"/>
      <c r="C1483" s="48" t="n"/>
      <c r="D1483" s="48" t="n"/>
      <c r="E1483" s="48" t="n"/>
      <c r="F1483" s="48" t="n"/>
      <c r="G1483" s="48" t="n"/>
      <c r="H1483" s="48" t="n"/>
      <c r="I1483" s="49" t="n"/>
      <c r="J1483" s="50" t="n"/>
      <c r="K1483" s="48" t="n"/>
      <c r="L1483" s="51">
        <f>IF(A1483="","",DATE(YEAR(A1483),MONTH(A1483),1))</f>
        <v/>
      </c>
      <c r="M1483" s="52">
        <f>IF(OR(A1483="",NOT(ISNUMBER(I1483))),"",IF(G1483=Lists!$B$5,I1483/2,IF(G1483=Lists!$B$6,I1483,0)))</f>
        <v/>
      </c>
      <c r="N1483" s="52">
        <f>IF(OR(A1483="",NOT(ISNUMBER(I1483))),"",IF(G1483=Lists!$B$5,I1483/2,IF(G1483=Lists!$B$7,I1483,0)))</f>
        <v/>
      </c>
      <c r="O1483" s="53">
        <f>IF(COUNTA(A1483:K1483)=0,"",IF(OR(A1483="",B1483="",C1483="",D1483="",E1483="",F1483="",G1483="",NOT(ISNUMBER(I1483))),"Incomplete",IF(COUNTIF(Lists!$H$4:$AA$4,C1483)=0,"Check category",IF(COUNTIF(INDEX(Lists!$H$6:$AA$45,0,MATCH(C1483,Lists!$H$4:$AA$4,0)),D1483)=0,"Check sub-category","OK"))))</f>
        <v/>
      </c>
      <c r="P1483">
        <f>IF(ISNUMBER(I1483),I1483+ROW()/10000000,"")</f>
        <v/>
      </c>
      <c r="Q1483">
        <f>IF(AND(ISNUMBER(P1483),ISNUMBER(A1483)),IF(AND(A1483&gt;=Dashboard!$Q$3,A1483&lt;=Dashboard!$Q$4,OR(J1483&lt;&gt;"Yes",Dashboard!$Q$15="Yes")),P1483,""),"")</f>
        <v/>
      </c>
    </row>
    <row r="1484">
      <c r="A1484" s="47" t="n"/>
      <c r="B1484" s="48" t="n"/>
      <c r="C1484" s="48" t="n"/>
      <c r="D1484" s="48" t="n"/>
      <c r="E1484" s="48" t="n"/>
      <c r="F1484" s="48" t="n"/>
      <c r="G1484" s="48" t="n"/>
      <c r="H1484" s="48" t="n"/>
      <c r="I1484" s="49" t="n"/>
      <c r="J1484" s="50" t="n"/>
      <c r="K1484" s="48" t="n"/>
      <c r="L1484" s="51">
        <f>IF(A1484="","",DATE(YEAR(A1484),MONTH(A1484),1))</f>
        <v/>
      </c>
      <c r="M1484" s="52">
        <f>IF(OR(A1484="",NOT(ISNUMBER(I1484))),"",IF(G1484=Lists!$B$5,I1484/2,IF(G1484=Lists!$B$6,I1484,0)))</f>
        <v/>
      </c>
      <c r="N1484" s="52">
        <f>IF(OR(A1484="",NOT(ISNUMBER(I1484))),"",IF(G1484=Lists!$B$5,I1484/2,IF(G1484=Lists!$B$7,I1484,0)))</f>
        <v/>
      </c>
      <c r="O1484" s="53">
        <f>IF(COUNTA(A1484:K1484)=0,"",IF(OR(A1484="",B1484="",C1484="",D1484="",E1484="",F1484="",G1484="",NOT(ISNUMBER(I1484))),"Incomplete",IF(COUNTIF(Lists!$H$4:$AA$4,C1484)=0,"Check category",IF(COUNTIF(INDEX(Lists!$H$6:$AA$45,0,MATCH(C1484,Lists!$H$4:$AA$4,0)),D1484)=0,"Check sub-category","OK"))))</f>
        <v/>
      </c>
      <c r="P1484">
        <f>IF(ISNUMBER(I1484),I1484+ROW()/10000000,"")</f>
        <v/>
      </c>
      <c r="Q1484">
        <f>IF(AND(ISNUMBER(P1484),ISNUMBER(A1484)),IF(AND(A1484&gt;=Dashboard!$Q$3,A1484&lt;=Dashboard!$Q$4,OR(J1484&lt;&gt;"Yes",Dashboard!$Q$15="Yes")),P1484,""),"")</f>
        <v/>
      </c>
    </row>
    <row r="1485">
      <c r="A1485" s="47" t="n"/>
      <c r="B1485" s="48" t="n"/>
      <c r="C1485" s="48" t="n"/>
      <c r="D1485" s="48" t="n"/>
      <c r="E1485" s="48" t="n"/>
      <c r="F1485" s="48" t="n"/>
      <c r="G1485" s="48" t="n"/>
      <c r="H1485" s="48" t="n"/>
      <c r="I1485" s="49" t="n"/>
      <c r="J1485" s="50" t="n"/>
      <c r="K1485" s="48" t="n"/>
      <c r="L1485" s="51">
        <f>IF(A1485="","",DATE(YEAR(A1485),MONTH(A1485),1))</f>
        <v/>
      </c>
      <c r="M1485" s="52">
        <f>IF(OR(A1485="",NOT(ISNUMBER(I1485))),"",IF(G1485=Lists!$B$5,I1485/2,IF(G1485=Lists!$B$6,I1485,0)))</f>
        <v/>
      </c>
      <c r="N1485" s="52">
        <f>IF(OR(A1485="",NOT(ISNUMBER(I1485))),"",IF(G1485=Lists!$B$5,I1485/2,IF(G1485=Lists!$B$7,I1485,0)))</f>
        <v/>
      </c>
      <c r="O1485" s="53">
        <f>IF(COUNTA(A1485:K1485)=0,"",IF(OR(A1485="",B1485="",C1485="",D1485="",E1485="",F1485="",G1485="",NOT(ISNUMBER(I1485))),"Incomplete",IF(COUNTIF(Lists!$H$4:$AA$4,C1485)=0,"Check category",IF(COUNTIF(INDEX(Lists!$H$6:$AA$45,0,MATCH(C1485,Lists!$H$4:$AA$4,0)),D1485)=0,"Check sub-category","OK"))))</f>
        <v/>
      </c>
      <c r="P1485">
        <f>IF(ISNUMBER(I1485),I1485+ROW()/10000000,"")</f>
        <v/>
      </c>
      <c r="Q1485">
        <f>IF(AND(ISNUMBER(P1485),ISNUMBER(A1485)),IF(AND(A1485&gt;=Dashboard!$Q$3,A1485&lt;=Dashboard!$Q$4,OR(J1485&lt;&gt;"Yes",Dashboard!$Q$15="Yes")),P1485,""),"")</f>
        <v/>
      </c>
    </row>
    <row r="1486">
      <c r="A1486" s="47" t="n"/>
      <c r="B1486" s="48" t="n"/>
      <c r="C1486" s="48" t="n"/>
      <c r="D1486" s="48" t="n"/>
      <c r="E1486" s="48" t="n"/>
      <c r="F1486" s="48" t="n"/>
      <c r="G1486" s="48" t="n"/>
      <c r="H1486" s="48" t="n"/>
      <c r="I1486" s="49" t="n"/>
      <c r="J1486" s="50" t="n"/>
      <c r="K1486" s="48" t="n"/>
      <c r="L1486" s="51">
        <f>IF(A1486="","",DATE(YEAR(A1486),MONTH(A1486),1))</f>
        <v/>
      </c>
      <c r="M1486" s="52">
        <f>IF(OR(A1486="",NOT(ISNUMBER(I1486))),"",IF(G1486=Lists!$B$5,I1486/2,IF(G1486=Lists!$B$6,I1486,0)))</f>
        <v/>
      </c>
      <c r="N1486" s="52">
        <f>IF(OR(A1486="",NOT(ISNUMBER(I1486))),"",IF(G1486=Lists!$B$5,I1486/2,IF(G1486=Lists!$B$7,I1486,0)))</f>
        <v/>
      </c>
      <c r="O1486" s="53">
        <f>IF(COUNTA(A1486:K1486)=0,"",IF(OR(A1486="",B1486="",C1486="",D1486="",E1486="",F1486="",G1486="",NOT(ISNUMBER(I1486))),"Incomplete",IF(COUNTIF(Lists!$H$4:$AA$4,C1486)=0,"Check category",IF(COUNTIF(INDEX(Lists!$H$6:$AA$45,0,MATCH(C1486,Lists!$H$4:$AA$4,0)),D1486)=0,"Check sub-category","OK"))))</f>
        <v/>
      </c>
      <c r="P1486">
        <f>IF(ISNUMBER(I1486),I1486+ROW()/10000000,"")</f>
        <v/>
      </c>
      <c r="Q1486">
        <f>IF(AND(ISNUMBER(P1486),ISNUMBER(A1486)),IF(AND(A1486&gt;=Dashboard!$Q$3,A1486&lt;=Dashboard!$Q$4,OR(J1486&lt;&gt;"Yes",Dashboard!$Q$15="Yes")),P1486,""),"")</f>
        <v/>
      </c>
    </row>
    <row r="1487">
      <c r="A1487" s="47" t="n"/>
      <c r="B1487" s="48" t="n"/>
      <c r="C1487" s="48" t="n"/>
      <c r="D1487" s="48" t="n"/>
      <c r="E1487" s="48" t="n"/>
      <c r="F1487" s="48" t="n"/>
      <c r="G1487" s="48" t="n"/>
      <c r="H1487" s="48" t="n"/>
      <c r="I1487" s="49" t="n"/>
      <c r="J1487" s="50" t="n"/>
      <c r="K1487" s="48" t="n"/>
      <c r="L1487" s="51">
        <f>IF(A1487="","",DATE(YEAR(A1487),MONTH(A1487),1))</f>
        <v/>
      </c>
      <c r="M1487" s="52">
        <f>IF(OR(A1487="",NOT(ISNUMBER(I1487))),"",IF(G1487=Lists!$B$5,I1487/2,IF(G1487=Lists!$B$6,I1487,0)))</f>
        <v/>
      </c>
      <c r="N1487" s="52">
        <f>IF(OR(A1487="",NOT(ISNUMBER(I1487))),"",IF(G1487=Lists!$B$5,I1487/2,IF(G1487=Lists!$B$7,I1487,0)))</f>
        <v/>
      </c>
      <c r="O1487" s="53">
        <f>IF(COUNTA(A1487:K1487)=0,"",IF(OR(A1487="",B1487="",C1487="",D1487="",E1487="",F1487="",G1487="",NOT(ISNUMBER(I1487))),"Incomplete",IF(COUNTIF(Lists!$H$4:$AA$4,C1487)=0,"Check category",IF(COUNTIF(INDEX(Lists!$H$6:$AA$45,0,MATCH(C1487,Lists!$H$4:$AA$4,0)),D1487)=0,"Check sub-category","OK"))))</f>
        <v/>
      </c>
      <c r="P1487">
        <f>IF(ISNUMBER(I1487),I1487+ROW()/10000000,"")</f>
        <v/>
      </c>
      <c r="Q1487">
        <f>IF(AND(ISNUMBER(P1487),ISNUMBER(A1487)),IF(AND(A1487&gt;=Dashboard!$Q$3,A1487&lt;=Dashboard!$Q$4,OR(J1487&lt;&gt;"Yes",Dashboard!$Q$15="Yes")),P1487,""),"")</f>
        <v/>
      </c>
    </row>
    <row r="1488">
      <c r="A1488" s="47" t="n"/>
      <c r="B1488" s="48" t="n"/>
      <c r="C1488" s="48" t="n"/>
      <c r="D1488" s="48" t="n"/>
      <c r="E1488" s="48" t="n"/>
      <c r="F1488" s="48" t="n"/>
      <c r="G1488" s="48" t="n"/>
      <c r="H1488" s="48" t="n"/>
      <c r="I1488" s="49" t="n"/>
      <c r="J1488" s="50" t="n"/>
      <c r="K1488" s="48" t="n"/>
      <c r="L1488" s="51">
        <f>IF(A1488="","",DATE(YEAR(A1488),MONTH(A1488),1))</f>
        <v/>
      </c>
      <c r="M1488" s="52">
        <f>IF(OR(A1488="",NOT(ISNUMBER(I1488))),"",IF(G1488=Lists!$B$5,I1488/2,IF(G1488=Lists!$B$6,I1488,0)))</f>
        <v/>
      </c>
      <c r="N1488" s="52">
        <f>IF(OR(A1488="",NOT(ISNUMBER(I1488))),"",IF(G1488=Lists!$B$5,I1488/2,IF(G1488=Lists!$B$7,I1488,0)))</f>
        <v/>
      </c>
      <c r="O1488" s="53">
        <f>IF(COUNTA(A1488:K1488)=0,"",IF(OR(A1488="",B1488="",C1488="",D1488="",E1488="",F1488="",G1488="",NOT(ISNUMBER(I1488))),"Incomplete",IF(COUNTIF(Lists!$H$4:$AA$4,C1488)=0,"Check category",IF(COUNTIF(INDEX(Lists!$H$6:$AA$45,0,MATCH(C1488,Lists!$H$4:$AA$4,0)),D1488)=0,"Check sub-category","OK"))))</f>
        <v/>
      </c>
      <c r="P1488">
        <f>IF(ISNUMBER(I1488),I1488+ROW()/10000000,"")</f>
        <v/>
      </c>
      <c r="Q1488">
        <f>IF(AND(ISNUMBER(P1488),ISNUMBER(A1488)),IF(AND(A1488&gt;=Dashboard!$Q$3,A1488&lt;=Dashboard!$Q$4,OR(J1488&lt;&gt;"Yes",Dashboard!$Q$15="Yes")),P1488,""),"")</f>
        <v/>
      </c>
    </row>
    <row r="1489">
      <c r="A1489" s="47" t="n"/>
      <c r="B1489" s="48" t="n"/>
      <c r="C1489" s="48" t="n"/>
      <c r="D1489" s="48" t="n"/>
      <c r="E1489" s="48" t="n"/>
      <c r="F1489" s="48" t="n"/>
      <c r="G1489" s="48" t="n"/>
      <c r="H1489" s="48" t="n"/>
      <c r="I1489" s="49" t="n"/>
      <c r="J1489" s="50" t="n"/>
      <c r="K1489" s="48" t="n"/>
      <c r="L1489" s="51">
        <f>IF(A1489="","",DATE(YEAR(A1489),MONTH(A1489),1))</f>
        <v/>
      </c>
      <c r="M1489" s="52">
        <f>IF(OR(A1489="",NOT(ISNUMBER(I1489))),"",IF(G1489=Lists!$B$5,I1489/2,IF(G1489=Lists!$B$6,I1489,0)))</f>
        <v/>
      </c>
      <c r="N1489" s="52">
        <f>IF(OR(A1489="",NOT(ISNUMBER(I1489))),"",IF(G1489=Lists!$B$5,I1489/2,IF(G1489=Lists!$B$7,I1489,0)))</f>
        <v/>
      </c>
      <c r="O1489" s="53">
        <f>IF(COUNTA(A1489:K1489)=0,"",IF(OR(A1489="",B1489="",C1489="",D1489="",E1489="",F1489="",G1489="",NOT(ISNUMBER(I1489))),"Incomplete",IF(COUNTIF(Lists!$H$4:$AA$4,C1489)=0,"Check category",IF(COUNTIF(INDEX(Lists!$H$6:$AA$45,0,MATCH(C1489,Lists!$H$4:$AA$4,0)),D1489)=0,"Check sub-category","OK"))))</f>
        <v/>
      </c>
      <c r="P1489">
        <f>IF(ISNUMBER(I1489),I1489+ROW()/10000000,"")</f>
        <v/>
      </c>
      <c r="Q1489">
        <f>IF(AND(ISNUMBER(P1489),ISNUMBER(A1489)),IF(AND(A1489&gt;=Dashboard!$Q$3,A1489&lt;=Dashboard!$Q$4,OR(J1489&lt;&gt;"Yes",Dashboard!$Q$15="Yes")),P1489,""),"")</f>
        <v/>
      </c>
    </row>
    <row r="1490">
      <c r="A1490" s="47" t="n"/>
      <c r="B1490" s="48" t="n"/>
      <c r="C1490" s="48" t="n"/>
      <c r="D1490" s="48" t="n"/>
      <c r="E1490" s="48" t="n"/>
      <c r="F1490" s="48" t="n"/>
      <c r="G1490" s="48" t="n"/>
      <c r="H1490" s="48" t="n"/>
      <c r="I1490" s="49" t="n"/>
      <c r="J1490" s="50" t="n"/>
      <c r="K1490" s="48" t="n"/>
      <c r="L1490" s="51">
        <f>IF(A1490="","",DATE(YEAR(A1490),MONTH(A1490),1))</f>
        <v/>
      </c>
      <c r="M1490" s="52">
        <f>IF(OR(A1490="",NOT(ISNUMBER(I1490))),"",IF(G1490=Lists!$B$5,I1490/2,IF(G1490=Lists!$B$6,I1490,0)))</f>
        <v/>
      </c>
      <c r="N1490" s="52">
        <f>IF(OR(A1490="",NOT(ISNUMBER(I1490))),"",IF(G1490=Lists!$B$5,I1490/2,IF(G1490=Lists!$B$7,I1490,0)))</f>
        <v/>
      </c>
      <c r="O1490" s="53">
        <f>IF(COUNTA(A1490:K1490)=0,"",IF(OR(A1490="",B1490="",C1490="",D1490="",E1490="",F1490="",G1490="",NOT(ISNUMBER(I1490))),"Incomplete",IF(COUNTIF(Lists!$H$4:$AA$4,C1490)=0,"Check category",IF(COUNTIF(INDEX(Lists!$H$6:$AA$45,0,MATCH(C1490,Lists!$H$4:$AA$4,0)),D1490)=0,"Check sub-category","OK"))))</f>
        <v/>
      </c>
      <c r="P1490">
        <f>IF(ISNUMBER(I1490),I1490+ROW()/10000000,"")</f>
        <v/>
      </c>
      <c r="Q1490">
        <f>IF(AND(ISNUMBER(P1490),ISNUMBER(A1490)),IF(AND(A1490&gt;=Dashboard!$Q$3,A1490&lt;=Dashboard!$Q$4,OR(J1490&lt;&gt;"Yes",Dashboard!$Q$15="Yes")),P1490,""),"")</f>
        <v/>
      </c>
    </row>
    <row r="1491">
      <c r="A1491" s="47" t="n"/>
      <c r="B1491" s="48" t="n"/>
      <c r="C1491" s="48" t="n"/>
      <c r="D1491" s="48" t="n"/>
      <c r="E1491" s="48" t="n"/>
      <c r="F1491" s="48" t="n"/>
      <c r="G1491" s="48" t="n"/>
      <c r="H1491" s="48" t="n"/>
      <c r="I1491" s="49" t="n"/>
      <c r="J1491" s="50" t="n"/>
      <c r="K1491" s="48" t="n"/>
      <c r="L1491" s="51">
        <f>IF(A1491="","",DATE(YEAR(A1491),MONTH(A1491),1))</f>
        <v/>
      </c>
      <c r="M1491" s="52">
        <f>IF(OR(A1491="",NOT(ISNUMBER(I1491))),"",IF(G1491=Lists!$B$5,I1491/2,IF(G1491=Lists!$B$6,I1491,0)))</f>
        <v/>
      </c>
      <c r="N1491" s="52">
        <f>IF(OR(A1491="",NOT(ISNUMBER(I1491))),"",IF(G1491=Lists!$B$5,I1491/2,IF(G1491=Lists!$B$7,I1491,0)))</f>
        <v/>
      </c>
      <c r="O1491" s="53">
        <f>IF(COUNTA(A1491:K1491)=0,"",IF(OR(A1491="",B1491="",C1491="",D1491="",E1491="",F1491="",G1491="",NOT(ISNUMBER(I1491))),"Incomplete",IF(COUNTIF(Lists!$H$4:$AA$4,C1491)=0,"Check category",IF(COUNTIF(INDEX(Lists!$H$6:$AA$45,0,MATCH(C1491,Lists!$H$4:$AA$4,0)),D1491)=0,"Check sub-category","OK"))))</f>
        <v/>
      </c>
      <c r="P1491">
        <f>IF(ISNUMBER(I1491),I1491+ROW()/10000000,"")</f>
        <v/>
      </c>
      <c r="Q1491">
        <f>IF(AND(ISNUMBER(P1491),ISNUMBER(A1491)),IF(AND(A1491&gt;=Dashboard!$Q$3,A1491&lt;=Dashboard!$Q$4,OR(J1491&lt;&gt;"Yes",Dashboard!$Q$15="Yes")),P1491,""),"")</f>
        <v/>
      </c>
    </row>
    <row r="1492">
      <c r="A1492" s="47" t="n"/>
      <c r="B1492" s="48" t="n"/>
      <c r="C1492" s="48" t="n"/>
      <c r="D1492" s="48" t="n"/>
      <c r="E1492" s="48" t="n"/>
      <c r="F1492" s="48" t="n"/>
      <c r="G1492" s="48" t="n"/>
      <c r="H1492" s="48" t="n"/>
      <c r="I1492" s="49" t="n"/>
      <c r="J1492" s="50" t="n"/>
      <c r="K1492" s="48" t="n"/>
      <c r="L1492" s="51">
        <f>IF(A1492="","",DATE(YEAR(A1492),MONTH(A1492),1))</f>
        <v/>
      </c>
      <c r="M1492" s="52">
        <f>IF(OR(A1492="",NOT(ISNUMBER(I1492))),"",IF(G1492=Lists!$B$5,I1492/2,IF(G1492=Lists!$B$6,I1492,0)))</f>
        <v/>
      </c>
      <c r="N1492" s="52">
        <f>IF(OR(A1492="",NOT(ISNUMBER(I1492))),"",IF(G1492=Lists!$B$5,I1492/2,IF(G1492=Lists!$B$7,I1492,0)))</f>
        <v/>
      </c>
      <c r="O1492" s="53">
        <f>IF(COUNTA(A1492:K1492)=0,"",IF(OR(A1492="",B1492="",C1492="",D1492="",E1492="",F1492="",G1492="",NOT(ISNUMBER(I1492))),"Incomplete",IF(COUNTIF(Lists!$H$4:$AA$4,C1492)=0,"Check category",IF(COUNTIF(INDEX(Lists!$H$6:$AA$45,0,MATCH(C1492,Lists!$H$4:$AA$4,0)),D1492)=0,"Check sub-category","OK"))))</f>
        <v/>
      </c>
      <c r="P1492">
        <f>IF(ISNUMBER(I1492),I1492+ROW()/10000000,"")</f>
        <v/>
      </c>
      <c r="Q1492">
        <f>IF(AND(ISNUMBER(P1492),ISNUMBER(A1492)),IF(AND(A1492&gt;=Dashboard!$Q$3,A1492&lt;=Dashboard!$Q$4,OR(J1492&lt;&gt;"Yes",Dashboard!$Q$15="Yes")),P1492,""),"")</f>
        <v/>
      </c>
    </row>
    <row r="1493">
      <c r="A1493" s="47" t="n"/>
      <c r="B1493" s="48" t="n"/>
      <c r="C1493" s="48" t="n"/>
      <c r="D1493" s="48" t="n"/>
      <c r="E1493" s="48" t="n"/>
      <c r="F1493" s="48" t="n"/>
      <c r="G1493" s="48" t="n"/>
      <c r="H1493" s="48" t="n"/>
      <c r="I1493" s="49" t="n"/>
      <c r="J1493" s="50" t="n"/>
      <c r="K1493" s="48" t="n"/>
      <c r="L1493" s="51">
        <f>IF(A1493="","",DATE(YEAR(A1493),MONTH(A1493),1))</f>
        <v/>
      </c>
      <c r="M1493" s="52">
        <f>IF(OR(A1493="",NOT(ISNUMBER(I1493))),"",IF(G1493=Lists!$B$5,I1493/2,IF(G1493=Lists!$B$6,I1493,0)))</f>
        <v/>
      </c>
      <c r="N1493" s="52">
        <f>IF(OR(A1493="",NOT(ISNUMBER(I1493))),"",IF(G1493=Lists!$B$5,I1493/2,IF(G1493=Lists!$B$7,I1493,0)))</f>
        <v/>
      </c>
      <c r="O1493" s="53">
        <f>IF(COUNTA(A1493:K1493)=0,"",IF(OR(A1493="",B1493="",C1493="",D1493="",E1493="",F1493="",G1493="",NOT(ISNUMBER(I1493))),"Incomplete",IF(COUNTIF(Lists!$H$4:$AA$4,C1493)=0,"Check category",IF(COUNTIF(INDEX(Lists!$H$6:$AA$45,0,MATCH(C1493,Lists!$H$4:$AA$4,0)),D1493)=0,"Check sub-category","OK"))))</f>
        <v/>
      </c>
      <c r="P1493">
        <f>IF(ISNUMBER(I1493),I1493+ROW()/10000000,"")</f>
        <v/>
      </c>
      <c r="Q1493">
        <f>IF(AND(ISNUMBER(P1493),ISNUMBER(A1493)),IF(AND(A1493&gt;=Dashboard!$Q$3,A1493&lt;=Dashboard!$Q$4,OR(J1493&lt;&gt;"Yes",Dashboard!$Q$15="Yes")),P1493,""),"")</f>
        <v/>
      </c>
    </row>
    <row r="1494">
      <c r="A1494" s="47" t="n"/>
      <c r="B1494" s="48" t="n"/>
      <c r="C1494" s="48" t="n"/>
      <c r="D1494" s="48" t="n"/>
      <c r="E1494" s="48" t="n"/>
      <c r="F1494" s="48" t="n"/>
      <c r="G1494" s="48" t="n"/>
      <c r="H1494" s="48" t="n"/>
      <c r="I1494" s="49" t="n"/>
      <c r="J1494" s="50" t="n"/>
      <c r="K1494" s="48" t="n"/>
      <c r="L1494" s="51">
        <f>IF(A1494="","",DATE(YEAR(A1494),MONTH(A1494),1))</f>
        <v/>
      </c>
      <c r="M1494" s="52">
        <f>IF(OR(A1494="",NOT(ISNUMBER(I1494))),"",IF(G1494=Lists!$B$5,I1494/2,IF(G1494=Lists!$B$6,I1494,0)))</f>
        <v/>
      </c>
      <c r="N1494" s="52">
        <f>IF(OR(A1494="",NOT(ISNUMBER(I1494))),"",IF(G1494=Lists!$B$5,I1494/2,IF(G1494=Lists!$B$7,I1494,0)))</f>
        <v/>
      </c>
      <c r="O1494" s="53">
        <f>IF(COUNTA(A1494:K1494)=0,"",IF(OR(A1494="",B1494="",C1494="",D1494="",E1494="",F1494="",G1494="",NOT(ISNUMBER(I1494))),"Incomplete",IF(COUNTIF(Lists!$H$4:$AA$4,C1494)=0,"Check category",IF(COUNTIF(INDEX(Lists!$H$6:$AA$45,0,MATCH(C1494,Lists!$H$4:$AA$4,0)),D1494)=0,"Check sub-category","OK"))))</f>
        <v/>
      </c>
      <c r="P1494">
        <f>IF(ISNUMBER(I1494),I1494+ROW()/10000000,"")</f>
        <v/>
      </c>
      <c r="Q1494">
        <f>IF(AND(ISNUMBER(P1494),ISNUMBER(A1494)),IF(AND(A1494&gt;=Dashboard!$Q$3,A1494&lt;=Dashboard!$Q$4,OR(J1494&lt;&gt;"Yes",Dashboard!$Q$15="Yes")),P1494,""),"")</f>
        <v/>
      </c>
    </row>
    <row r="1495">
      <c r="A1495" s="47" t="n"/>
      <c r="B1495" s="48" t="n"/>
      <c r="C1495" s="48" t="n"/>
      <c r="D1495" s="48" t="n"/>
      <c r="E1495" s="48" t="n"/>
      <c r="F1495" s="48" t="n"/>
      <c r="G1495" s="48" t="n"/>
      <c r="H1495" s="48" t="n"/>
      <c r="I1495" s="49" t="n"/>
      <c r="J1495" s="50" t="n"/>
      <c r="K1495" s="48" t="n"/>
      <c r="L1495" s="51">
        <f>IF(A1495="","",DATE(YEAR(A1495),MONTH(A1495),1))</f>
        <v/>
      </c>
      <c r="M1495" s="52">
        <f>IF(OR(A1495="",NOT(ISNUMBER(I1495))),"",IF(G1495=Lists!$B$5,I1495/2,IF(G1495=Lists!$B$6,I1495,0)))</f>
        <v/>
      </c>
      <c r="N1495" s="52">
        <f>IF(OR(A1495="",NOT(ISNUMBER(I1495))),"",IF(G1495=Lists!$B$5,I1495/2,IF(G1495=Lists!$B$7,I1495,0)))</f>
        <v/>
      </c>
      <c r="O1495" s="53">
        <f>IF(COUNTA(A1495:K1495)=0,"",IF(OR(A1495="",B1495="",C1495="",D1495="",E1495="",F1495="",G1495="",NOT(ISNUMBER(I1495))),"Incomplete",IF(COUNTIF(Lists!$H$4:$AA$4,C1495)=0,"Check category",IF(COUNTIF(INDEX(Lists!$H$6:$AA$45,0,MATCH(C1495,Lists!$H$4:$AA$4,0)),D1495)=0,"Check sub-category","OK"))))</f>
        <v/>
      </c>
      <c r="P1495">
        <f>IF(ISNUMBER(I1495),I1495+ROW()/10000000,"")</f>
        <v/>
      </c>
      <c r="Q1495">
        <f>IF(AND(ISNUMBER(P1495),ISNUMBER(A1495)),IF(AND(A1495&gt;=Dashboard!$Q$3,A1495&lt;=Dashboard!$Q$4,OR(J1495&lt;&gt;"Yes",Dashboard!$Q$15="Yes")),P1495,""),"")</f>
        <v/>
      </c>
    </row>
    <row r="1496">
      <c r="A1496" s="47" t="n"/>
      <c r="B1496" s="48" t="n"/>
      <c r="C1496" s="48" t="n"/>
      <c r="D1496" s="48" t="n"/>
      <c r="E1496" s="48" t="n"/>
      <c r="F1496" s="48" t="n"/>
      <c r="G1496" s="48" t="n"/>
      <c r="H1496" s="48" t="n"/>
      <c r="I1496" s="49" t="n"/>
      <c r="J1496" s="50" t="n"/>
      <c r="K1496" s="48" t="n"/>
      <c r="L1496" s="51">
        <f>IF(A1496="","",DATE(YEAR(A1496),MONTH(A1496),1))</f>
        <v/>
      </c>
      <c r="M1496" s="52">
        <f>IF(OR(A1496="",NOT(ISNUMBER(I1496))),"",IF(G1496=Lists!$B$5,I1496/2,IF(G1496=Lists!$B$6,I1496,0)))</f>
        <v/>
      </c>
      <c r="N1496" s="52">
        <f>IF(OR(A1496="",NOT(ISNUMBER(I1496))),"",IF(G1496=Lists!$B$5,I1496/2,IF(G1496=Lists!$B$7,I1496,0)))</f>
        <v/>
      </c>
      <c r="O1496" s="53">
        <f>IF(COUNTA(A1496:K1496)=0,"",IF(OR(A1496="",B1496="",C1496="",D1496="",E1496="",F1496="",G1496="",NOT(ISNUMBER(I1496))),"Incomplete",IF(COUNTIF(Lists!$H$4:$AA$4,C1496)=0,"Check category",IF(COUNTIF(INDEX(Lists!$H$6:$AA$45,0,MATCH(C1496,Lists!$H$4:$AA$4,0)),D1496)=0,"Check sub-category","OK"))))</f>
        <v/>
      </c>
      <c r="P1496">
        <f>IF(ISNUMBER(I1496),I1496+ROW()/10000000,"")</f>
        <v/>
      </c>
      <c r="Q1496">
        <f>IF(AND(ISNUMBER(P1496),ISNUMBER(A1496)),IF(AND(A1496&gt;=Dashboard!$Q$3,A1496&lt;=Dashboard!$Q$4,OR(J1496&lt;&gt;"Yes",Dashboard!$Q$15="Yes")),P1496,""),"")</f>
        <v/>
      </c>
    </row>
    <row r="1497">
      <c r="A1497" s="47" t="n"/>
      <c r="B1497" s="48" t="n"/>
      <c r="C1497" s="48" t="n"/>
      <c r="D1497" s="48" t="n"/>
      <c r="E1497" s="48" t="n"/>
      <c r="F1497" s="48" t="n"/>
      <c r="G1497" s="48" t="n"/>
      <c r="H1497" s="48" t="n"/>
      <c r="I1497" s="49" t="n"/>
      <c r="J1497" s="50" t="n"/>
      <c r="K1497" s="48" t="n"/>
      <c r="L1497" s="51">
        <f>IF(A1497="","",DATE(YEAR(A1497),MONTH(A1497),1))</f>
        <v/>
      </c>
      <c r="M1497" s="52">
        <f>IF(OR(A1497="",NOT(ISNUMBER(I1497))),"",IF(G1497=Lists!$B$5,I1497/2,IF(G1497=Lists!$B$6,I1497,0)))</f>
        <v/>
      </c>
      <c r="N1497" s="52">
        <f>IF(OR(A1497="",NOT(ISNUMBER(I1497))),"",IF(G1497=Lists!$B$5,I1497/2,IF(G1497=Lists!$B$7,I1497,0)))</f>
        <v/>
      </c>
      <c r="O1497" s="53">
        <f>IF(COUNTA(A1497:K1497)=0,"",IF(OR(A1497="",B1497="",C1497="",D1497="",E1497="",F1497="",G1497="",NOT(ISNUMBER(I1497))),"Incomplete",IF(COUNTIF(Lists!$H$4:$AA$4,C1497)=0,"Check category",IF(COUNTIF(INDEX(Lists!$H$6:$AA$45,0,MATCH(C1497,Lists!$H$4:$AA$4,0)),D1497)=0,"Check sub-category","OK"))))</f>
        <v/>
      </c>
      <c r="P1497">
        <f>IF(ISNUMBER(I1497),I1497+ROW()/10000000,"")</f>
        <v/>
      </c>
      <c r="Q1497">
        <f>IF(AND(ISNUMBER(P1497),ISNUMBER(A1497)),IF(AND(A1497&gt;=Dashboard!$Q$3,A1497&lt;=Dashboard!$Q$4,OR(J1497&lt;&gt;"Yes",Dashboard!$Q$15="Yes")),P1497,""),"")</f>
        <v/>
      </c>
    </row>
    <row r="1498">
      <c r="A1498" s="47" t="n"/>
      <c r="B1498" s="48" t="n"/>
      <c r="C1498" s="48" t="n"/>
      <c r="D1498" s="48" t="n"/>
      <c r="E1498" s="48" t="n"/>
      <c r="F1498" s="48" t="n"/>
      <c r="G1498" s="48" t="n"/>
      <c r="H1498" s="48" t="n"/>
      <c r="I1498" s="49" t="n"/>
      <c r="J1498" s="50" t="n"/>
      <c r="K1498" s="48" t="n"/>
      <c r="L1498" s="51">
        <f>IF(A1498="","",DATE(YEAR(A1498),MONTH(A1498),1))</f>
        <v/>
      </c>
      <c r="M1498" s="52">
        <f>IF(OR(A1498="",NOT(ISNUMBER(I1498))),"",IF(G1498=Lists!$B$5,I1498/2,IF(G1498=Lists!$B$6,I1498,0)))</f>
        <v/>
      </c>
      <c r="N1498" s="52">
        <f>IF(OR(A1498="",NOT(ISNUMBER(I1498))),"",IF(G1498=Lists!$B$5,I1498/2,IF(G1498=Lists!$B$7,I1498,0)))</f>
        <v/>
      </c>
      <c r="O1498" s="53">
        <f>IF(COUNTA(A1498:K1498)=0,"",IF(OR(A1498="",B1498="",C1498="",D1498="",E1498="",F1498="",G1498="",NOT(ISNUMBER(I1498))),"Incomplete",IF(COUNTIF(Lists!$H$4:$AA$4,C1498)=0,"Check category",IF(COUNTIF(INDEX(Lists!$H$6:$AA$45,0,MATCH(C1498,Lists!$H$4:$AA$4,0)),D1498)=0,"Check sub-category","OK"))))</f>
        <v/>
      </c>
      <c r="P1498">
        <f>IF(ISNUMBER(I1498),I1498+ROW()/10000000,"")</f>
        <v/>
      </c>
      <c r="Q1498">
        <f>IF(AND(ISNUMBER(P1498),ISNUMBER(A1498)),IF(AND(A1498&gt;=Dashboard!$Q$3,A1498&lt;=Dashboard!$Q$4,OR(J1498&lt;&gt;"Yes",Dashboard!$Q$15="Yes")),P1498,""),"")</f>
        <v/>
      </c>
    </row>
    <row r="1499">
      <c r="A1499" s="47" t="n"/>
      <c r="B1499" s="48" t="n"/>
      <c r="C1499" s="48" t="n"/>
      <c r="D1499" s="48" t="n"/>
      <c r="E1499" s="48" t="n"/>
      <c r="F1499" s="48" t="n"/>
      <c r="G1499" s="48" t="n"/>
      <c r="H1499" s="48" t="n"/>
      <c r="I1499" s="49" t="n"/>
      <c r="J1499" s="50" t="n"/>
      <c r="K1499" s="48" t="n"/>
      <c r="L1499" s="51">
        <f>IF(A1499="","",DATE(YEAR(A1499),MONTH(A1499),1))</f>
        <v/>
      </c>
      <c r="M1499" s="52">
        <f>IF(OR(A1499="",NOT(ISNUMBER(I1499))),"",IF(G1499=Lists!$B$5,I1499/2,IF(G1499=Lists!$B$6,I1499,0)))</f>
        <v/>
      </c>
      <c r="N1499" s="52">
        <f>IF(OR(A1499="",NOT(ISNUMBER(I1499))),"",IF(G1499=Lists!$B$5,I1499/2,IF(G1499=Lists!$B$7,I1499,0)))</f>
        <v/>
      </c>
      <c r="O1499" s="53">
        <f>IF(COUNTA(A1499:K1499)=0,"",IF(OR(A1499="",B1499="",C1499="",D1499="",E1499="",F1499="",G1499="",NOT(ISNUMBER(I1499))),"Incomplete",IF(COUNTIF(Lists!$H$4:$AA$4,C1499)=0,"Check category",IF(COUNTIF(INDEX(Lists!$H$6:$AA$45,0,MATCH(C1499,Lists!$H$4:$AA$4,0)),D1499)=0,"Check sub-category","OK"))))</f>
        <v/>
      </c>
      <c r="P1499">
        <f>IF(ISNUMBER(I1499),I1499+ROW()/10000000,"")</f>
        <v/>
      </c>
      <c r="Q1499">
        <f>IF(AND(ISNUMBER(P1499),ISNUMBER(A1499)),IF(AND(A1499&gt;=Dashboard!$Q$3,A1499&lt;=Dashboard!$Q$4,OR(J1499&lt;&gt;"Yes",Dashboard!$Q$15="Yes")),P1499,""),"")</f>
        <v/>
      </c>
    </row>
    <row r="1500">
      <c r="A1500" s="47" t="n"/>
      <c r="B1500" s="48" t="n"/>
      <c r="C1500" s="48" t="n"/>
      <c r="D1500" s="48" t="n"/>
      <c r="E1500" s="48" t="n"/>
      <c r="F1500" s="48" t="n"/>
      <c r="G1500" s="48" t="n"/>
      <c r="H1500" s="48" t="n"/>
      <c r="I1500" s="49" t="n"/>
      <c r="J1500" s="50" t="n"/>
      <c r="K1500" s="48" t="n"/>
      <c r="L1500" s="51">
        <f>IF(A1500="","",DATE(YEAR(A1500),MONTH(A1500),1))</f>
        <v/>
      </c>
      <c r="M1500" s="52">
        <f>IF(OR(A1500="",NOT(ISNUMBER(I1500))),"",IF(G1500=Lists!$B$5,I1500/2,IF(G1500=Lists!$B$6,I1500,0)))</f>
        <v/>
      </c>
      <c r="N1500" s="52">
        <f>IF(OR(A1500="",NOT(ISNUMBER(I1500))),"",IF(G1500=Lists!$B$5,I1500/2,IF(G1500=Lists!$B$7,I1500,0)))</f>
        <v/>
      </c>
      <c r="O1500" s="53">
        <f>IF(COUNTA(A1500:K1500)=0,"",IF(OR(A1500="",B1500="",C1500="",D1500="",E1500="",F1500="",G1500="",NOT(ISNUMBER(I1500))),"Incomplete",IF(COUNTIF(Lists!$H$4:$AA$4,C1500)=0,"Check category",IF(COUNTIF(INDEX(Lists!$H$6:$AA$45,0,MATCH(C1500,Lists!$H$4:$AA$4,0)),D1500)=0,"Check sub-category","OK"))))</f>
        <v/>
      </c>
      <c r="P1500">
        <f>IF(ISNUMBER(I1500),I1500+ROW()/10000000,"")</f>
        <v/>
      </c>
      <c r="Q1500">
        <f>IF(AND(ISNUMBER(P1500),ISNUMBER(A1500)),IF(AND(A1500&gt;=Dashboard!$Q$3,A1500&lt;=Dashboard!$Q$4,OR(J1500&lt;&gt;"Yes",Dashboard!$Q$15="Yes")),P1500,""),"")</f>
        <v/>
      </c>
    </row>
    <row r="1501">
      <c r="A1501" s="47" t="n"/>
      <c r="B1501" s="48" t="n"/>
      <c r="C1501" s="48" t="n"/>
      <c r="D1501" s="48" t="n"/>
      <c r="E1501" s="48" t="n"/>
      <c r="F1501" s="48" t="n"/>
      <c r="G1501" s="48" t="n"/>
      <c r="H1501" s="48" t="n"/>
      <c r="I1501" s="49" t="n"/>
      <c r="J1501" s="50" t="n"/>
      <c r="K1501" s="48" t="n"/>
      <c r="L1501" s="51">
        <f>IF(A1501="","",DATE(YEAR(A1501),MONTH(A1501),1))</f>
        <v/>
      </c>
      <c r="M1501" s="52">
        <f>IF(OR(A1501="",NOT(ISNUMBER(I1501))),"",IF(G1501=Lists!$B$5,I1501/2,IF(G1501=Lists!$B$6,I1501,0)))</f>
        <v/>
      </c>
      <c r="N1501" s="52">
        <f>IF(OR(A1501="",NOT(ISNUMBER(I1501))),"",IF(G1501=Lists!$B$5,I1501/2,IF(G1501=Lists!$B$7,I1501,0)))</f>
        <v/>
      </c>
      <c r="O1501" s="53">
        <f>IF(COUNTA(A1501:K1501)=0,"",IF(OR(A1501="",B1501="",C1501="",D1501="",E1501="",F1501="",G1501="",NOT(ISNUMBER(I1501))),"Incomplete",IF(COUNTIF(Lists!$H$4:$AA$4,C1501)=0,"Check category",IF(COUNTIF(INDEX(Lists!$H$6:$AA$45,0,MATCH(C1501,Lists!$H$4:$AA$4,0)),D1501)=0,"Check sub-category","OK"))))</f>
        <v/>
      </c>
      <c r="P1501">
        <f>IF(ISNUMBER(I1501),I1501+ROW()/10000000,"")</f>
        <v/>
      </c>
      <c r="Q1501">
        <f>IF(AND(ISNUMBER(P1501),ISNUMBER(A1501)),IF(AND(A1501&gt;=Dashboard!$Q$3,A1501&lt;=Dashboard!$Q$4,OR(J1501&lt;&gt;"Yes",Dashboard!$Q$15="Yes")),P1501,""),"")</f>
        <v/>
      </c>
    </row>
    <row r="1502">
      <c r="A1502" s="47" t="n"/>
      <c r="B1502" s="48" t="n"/>
      <c r="C1502" s="48" t="n"/>
      <c r="D1502" s="48" t="n"/>
      <c r="E1502" s="48" t="n"/>
      <c r="F1502" s="48" t="n"/>
      <c r="G1502" s="48" t="n"/>
      <c r="H1502" s="48" t="n"/>
      <c r="I1502" s="49" t="n"/>
      <c r="J1502" s="50" t="n"/>
      <c r="K1502" s="48" t="n"/>
      <c r="L1502" s="51">
        <f>IF(A1502="","",DATE(YEAR(A1502),MONTH(A1502),1))</f>
        <v/>
      </c>
      <c r="M1502" s="52">
        <f>IF(OR(A1502="",NOT(ISNUMBER(I1502))),"",IF(G1502=Lists!$B$5,I1502/2,IF(G1502=Lists!$B$6,I1502,0)))</f>
        <v/>
      </c>
      <c r="N1502" s="52">
        <f>IF(OR(A1502="",NOT(ISNUMBER(I1502))),"",IF(G1502=Lists!$B$5,I1502/2,IF(G1502=Lists!$B$7,I1502,0)))</f>
        <v/>
      </c>
      <c r="O1502" s="53">
        <f>IF(COUNTA(A1502:K1502)=0,"",IF(OR(A1502="",B1502="",C1502="",D1502="",E1502="",F1502="",G1502="",NOT(ISNUMBER(I1502))),"Incomplete",IF(COUNTIF(Lists!$H$4:$AA$4,C1502)=0,"Check category",IF(COUNTIF(INDEX(Lists!$H$6:$AA$45,0,MATCH(C1502,Lists!$H$4:$AA$4,0)),D1502)=0,"Check sub-category","OK"))))</f>
        <v/>
      </c>
      <c r="P1502">
        <f>IF(ISNUMBER(I1502),I1502+ROW()/10000000,"")</f>
        <v/>
      </c>
      <c r="Q1502">
        <f>IF(AND(ISNUMBER(P1502),ISNUMBER(A1502)),IF(AND(A1502&gt;=Dashboard!$Q$3,A1502&lt;=Dashboard!$Q$4,OR(J1502&lt;&gt;"Yes",Dashboard!$Q$15="Yes")),P1502,""),"")</f>
        <v/>
      </c>
    </row>
    <row r="1503">
      <c r="A1503" s="47" t="n"/>
      <c r="B1503" s="48" t="n"/>
      <c r="C1503" s="48" t="n"/>
      <c r="D1503" s="48" t="n"/>
      <c r="E1503" s="48" t="n"/>
      <c r="F1503" s="48" t="n"/>
      <c r="G1503" s="48" t="n"/>
      <c r="H1503" s="48" t="n"/>
      <c r="I1503" s="49" t="n"/>
      <c r="J1503" s="50" t="n"/>
      <c r="K1503" s="48" t="n"/>
      <c r="L1503" s="51">
        <f>IF(A1503="","",DATE(YEAR(A1503),MONTH(A1503),1))</f>
        <v/>
      </c>
      <c r="M1503" s="52">
        <f>IF(OR(A1503="",NOT(ISNUMBER(I1503))),"",IF(G1503=Lists!$B$5,I1503/2,IF(G1503=Lists!$B$6,I1503,0)))</f>
        <v/>
      </c>
      <c r="N1503" s="52">
        <f>IF(OR(A1503="",NOT(ISNUMBER(I1503))),"",IF(G1503=Lists!$B$5,I1503/2,IF(G1503=Lists!$B$7,I1503,0)))</f>
        <v/>
      </c>
      <c r="O1503" s="53">
        <f>IF(COUNTA(A1503:K1503)=0,"",IF(OR(A1503="",B1503="",C1503="",D1503="",E1503="",F1503="",G1503="",NOT(ISNUMBER(I1503))),"Incomplete",IF(COUNTIF(Lists!$H$4:$AA$4,C1503)=0,"Check category",IF(COUNTIF(INDEX(Lists!$H$6:$AA$45,0,MATCH(C1503,Lists!$H$4:$AA$4,0)),D1503)=0,"Check sub-category","OK"))))</f>
        <v/>
      </c>
      <c r="P1503">
        <f>IF(ISNUMBER(I1503),I1503+ROW()/10000000,"")</f>
        <v/>
      </c>
      <c r="Q1503">
        <f>IF(AND(ISNUMBER(P1503),ISNUMBER(A1503)),IF(AND(A1503&gt;=Dashboard!$Q$3,A1503&lt;=Dashboard!$Q$4,OR(J1503&lt;&gt;"Yes",Dashboard!$Q$15="Yes")),P1503,""),"")</f>
        <v/>
      </c>
    </row>
    <row r="1504">
      <c r="A1504" s="47" t="n"/>
      <c r="B1504" s="48" t="n"/>
      <c r="C1504" s="48" t="n"/>
      <c r="D1504" s="48" t="n"/>
      <c r="E1504" s="48" t="n"/>
      <c r="F1504" s="48" t="n"/>
      <c r="G1504" s="48" t="n"/>
      <c r="H1504" s="48" t="n"/>
      <c r="I1504" s="49" t="n"/>
      <c r="J1504" s="50" t="n"/>
      <c r="K1504" s="48" t="n"/>
      <c r="L1504" s="51">
        <f>IF(A1504="","",DATE(YEAR(A1504),MONTH(A1504),1))</f>
        <v/>
      </c>
      <c r="M1504" s="52">
        <f>IF(OR(A1504="",NOT(ISNUMBER(I1504))),"",IF(G1504=Lists!$B$5,I1504/2,IF(G1504=Lists!$B$6,I1504,0)))</f>
        <v/>
      </c>
      <c r="N1504" s="52">
        <f>IF(OR(A1504="",NOT(ISNUMBER(I1504))),"",IF(G1504=Lists!$B$5,I1504/2,IF(G1504=Lists!$B$7,I1504,0)))</f>
        <v/>
      </c>
      <c r="O1504" s="53">
        <f>IF(COUNTA(A1504:K1504)=0,"",IF(OR(A1504="",B1504="",C1504="",D1504="",E1504="",F1504="",G1504="",NOT(ISNUMBER(I1504))),"Incomplete",IF(COUNTIF(Lists!$H$4:$AA$4,C1504)=0,"Check category",IF(COUNTIF(INDEX(Lists!$H$6:$AA$45,0,MATCH(C1504,Lists!$H$4:$AA$4,0)),D1504)=0,"Check sub-category","OK"))))</f>
        <v/>
      </c>
      <c r="P1504">
        <f>IF(ISNUMBER(I1504),I1504+ROW()/10000000,"")</f>
        <v/>
      </c>
      <c r="Q1504">
        <f>IF(AND(ISNUMBER(P1504),ISNUMBER(A1504)),IF(AND(A1504&gt;=Dashboard!$Q$3,A1504&lt;=Dashboard!$Q$4,OR(J1504&lt;&gt;"Yes",Dashboard!$Q$15="Yes")),P1504,""),"")</f>
        <v/>
      </c>
    </row>
    <row r="1505">
      <c r="A1505" s="47" t="n"/>
      <c r="B1505" s="48" t="n"/>
      <c r="C1505" s="48" t="n"/>
      <c r="D1505" s="48" t="n"/>
      <c r="E1505" s="48" t="n"/>
      <c r="F1505" s="48" t="n"/>
      <c r="G1505" s="48" t="n"/>
      <c r="H1505" s="48" t="n"/>
      <c r="I1505" s="49" t="n"/>
      <c r="J1505" s="50" t="n"/>
      <c r="K1505" s="48" t="n"/>
      <c r="L1505" s="51">
        <f>IF(A1505="","",DATE(YEAR(A1505),MONTH(A1505),1))</f>
        <v/>
      </c>
      <c r="M1505" s="52">
        <f>IF(OR(A1505="",NOT(ISNUMBER(I1505))),"",IF(G1505=Lists!$B$5,I1505/2,IF(G1505=Lists!$B$6,I1505,0)))</f>
        <v/>
      </c>
      <c r="N1505" s="52">
        <f>IF(OR(A1505="",NOT(ISNUMBER(I1505))),"",IF(G1505=Lists!$B$5,I1505/2,IF(G1505=Lists!$B$7,I1505,0)))</f>
        <v/>
      </c>
      <c r="O1505" s="53">
        <f>IF(COUNTA(A1505:K1505)=0,"",IF(OR(A1505="",B1505="",C1505="",D1505="",E1505="",F1505="",G1505="",NOT(ISNUMBER(I1505))),"Incomplete",IF(COUNTIF(Lists!$H$4:$AA$4,C1505)=0,"Check category",IF(COUNTIF(INDEX(Lists!$H$6:$AA$45,0,MATCH(C1505,Lists!$H$4:$AA$4,0)),D1505)=0,"Check sub-category","OK"))))</f>
        <v/>
      </c>
      <c r="P1505">
        <f>IF(ISNUMBER(I1505),I1505+ROW()/10000000,"")</f>
        <v/>
      </c>
      <c r="Q1505">
        <f>IF(AND(ISNUMBER(P1505),ISNUMBER(A1505)),IF(AND(A1505&gt;=Dashboard!$Q$3,A1505&lt;=Dashboard!$Q$4,OR(J1505&lt;&gt;"Yes",Dashboard!$Q$15="Yes")),P1505,""),"")</f>
        <v/>
      </c>
    </row>
    <row r="1506">
      <c r="A1506" s="47" t="n"/>
      <c r="B1506" s="48" t="n"/>
      <c r="C1506" s="48" t="n"/>
      <c r="D1506" s="48" t="n"/>
      <c r="E1506" s="48" t="n"/>
      <c r="F1506" s="48" t="n"/>
      <c r="G1506" s="48" t="n"/>
      <c r="H1506" s="48" t="n"/>
      <c r="I1506" s="49" t="n"/>
      <c r="J1506" s="50" t="n"/>
      <c r="K1506" s="48" t="n"/>
      <c r="L1506" s="51">
        <f>IF(A1506="","",DATE(YEAR(A1506),MONTH(A1506),1))</f>
        <v/>
      </c>
      <c r="M1506" s="52">
        <f>IF(OR(A1506="",NOT(ISNUMBER(I1506))),"",IF(G1506=Lists!$B$5,I1506/2,IF(G1506=Lists!$B$6,I1506,0)))</f>
        <v/>
      </c>
      <c r="N1506" s="52">
        <f>IF(OR(A1506="",NOT(ISNUMBER(I1506))),"",IF(G1506=Lists!$B$5,I1506/2,IF(G1506=Lists!$B$7,I1506,0)))</f>
        <v/>
      </c>
      <c r="O1506" s="53">
        <f>IF(COUNTA(A1506:K1506)=0,"",IF(OR(A1506="",B1506="",C1506="",D1506="",E1506="",F1506="",G1506="",NOT(ISNUMBER(I1506))),"Incomplete",IF(COUNTIF(Lists!$H$4:$AA$4,C1506)=0,"Check category",IF(COUNTIF(INDEX(Lists!$H$6:$AA$45,0,MATCH(C1506,Lists!$H$4:$AA$4,0)),D1506)=0,"Check sub-category","OK"))))</f>
        <v/>
      </c>
      <c r="P1506">
        <f>IF(ISNUMBER(I1506),I1506+ROW()/10000000,"")</f>
        <v/>
      </c>
      <c r="Q1506">
        <f>IF(AND(ISNUMBER(P1506),ISNUMBER(A1506)),IF(AND(A1506&gt;=Dashboard!$Q$3,A1506&lt;=Dashboard!$Q$4,OR(J1506&lt;&gt;"Yes",Dashboard!$Q$15="Yes")),P1506,""),"")</f>
        <v/>
      </c>
    </row>
    <row r="1507">
      <c r="A1507" s="47" t="n"/>
      <c r="B1507" s="48" t="n"/>
      <c r="C1507" s="48" t="n"/>
      <c r="D1507" s="48" t="n"/>
      <c r="E1507" s="48" t="n"/>
      <c r="F1507" s="48" t="n"/>
      <c r="G1507" s="48" t="n"/>
      <c r="H1507" s="48" t="n"/>
      <c r="I1507" s="49" t="n"/>
      <c r="J1507" s="50" t="n"/>
      <c r="K1507" s="48" t="n"/>
      <c r="L1507" s="51">
        <f>IF(A1507="","",DATE(YEAR(A1507),MONTH(A1507),1))</f>
        <v/>
      </c>
      <c r="M1507" s="52">
        <f>IF(OR(A1507="",NOT(ISNUMBER(I1507))),"",IF(G1507=Lists!$B$5,I1507/2,IF(G1507=Lists!$B$6,I1507,0)))</f>
        <v/>
      </c>
      <c r="N1507" s="52">
        <f>IF(OR(A1507="",NOT(ISNUMBER(I1507))),"",IF(G1507=Lists!$B$5,I1507/2,IF(G1507=Lists!$B$7,I1507,0)))</f>
        <v/>
      </c>
      <c r="O1507" s="53">
        <f>IF(COUNTA(A1507:K1507)=0,"",IF(OR(A1507="",B1507="",C1507="",D1507="",E1507="",F1507="",G1507="",NOT(ISNUMBER(I1507))),"Incomplete",IF(COUNTIF(Lists!$H$4:$AA$4,C1507)=0,"Check category",IF(COUNTIF(INDEX(Lists!$H$6:$AA$45,0,MATCH(C1507,Lists!$H$4:$AA$4,0)),D1507)=0,"Check sub-category","OK"))))</f>
        <v/>
      </c>
      <c r="P1507">
        <f>IF(ISNUMBER(I1507),I1507+ROW()/10000000,"")</f>
        <v/>
      </c>
      <c r="Q1507">
        <f>IF(AND(ISNUMBER(P1507),ISNUMBER(A1507)),IF(AND(A1507&gt;=Dashboard!$Q$3,A1507&lt;=Dashboard!$Q$4,OR(J1507&lt;&gt;"Yes",Dashboard!$Q$15="Yes")),P1507,""),"")</f>
        <v/>
      </c>
    </row>
    <row r="1508">
      <c r="A1508" s="47" t="n"/>
      <c r="B1508" s="48" t="n"/>
      <c r="C1508" s="48" t="n"/>
      <c r="D1508" s="48" t="n"/>
      <c r="E1508" s="48" t="n"/>
      <c r="F1508" s="48" t="n"/>
      <c r="G1508" s="48" t="n"/>
      <c r="H1508" s="48" t="n"/>
      <c r="I1508" s="49" t="n"/>
      <c r="J1508" s="50" t="n"/>
      <c r="K1508" s="48" t="n"/>
      <c r="L1508" s="51">
        <f>IF(A1508="","",DATE(YEAR(A1508),MONTH(A1508),1))</f>
        <v/>
      </c>
      <c r="M1508" s="52">
        <f>IF(OR(A1508="",NOT(ISNUMBER(I1508))),"",IF(G1508=Lists!$B$5,I1508/2,IF(G1508=Lists!$B$6,I1508,0)))</f>
        <v/>
      </c>
      <c r="N1508" s="52">
        <f>IF(OR(A1508="",NOT(ISNUMBER(I1508))),"",IF(G1508=Lists!$B$5,I1508/2,IF(G1508=Lists!$B$7,I1508,0)))</f>
        <v/>
      </c>
      <c r="O1508" s="53">
        <f>IF(COUNTA(A1508:K1508)=0,"",IF(OR(A1508="",B1508="",C1508="",D1508="",E1508="",F1508="",G1508="",NOT(ISNUMBER(I1508))),"Incomplete",IF(COUNTIF(Lists!$H$4:$AA$4,C1508)=0,"Check category",IF(COUNTIF(INDEX(Lists!$H$6:$AA$45,0,MATCH(C1508,Lists!$H$4:$AA$4,0)),D1508)=0,"Check sub-category","OK"))))</f>
        <v/>
      </c>
      <c r="P1508">
        <f>IF(ISNUMBER(I1508),I1508+ROW()/10000000,"")</f>
        <v/>
      </c>
      <c r="Q1508">
        <f>IF(AND(ISNUMBER(P1508),ISNUMBER(A1508)),IF(AND(A1508&gt;=Dashboard!$Q$3,A1508&lt;=Dashboard!$Q$4,OR(J1508&lt;&gt;"Yes",Dashboard!$Q$15="Yes")),P1508,""),"")</f>
        <v/>
      </c>
    </row>
    <row r="1509">
      <c r="A1509" s="47" t="n"/>
      <c r="B1509" s="48" t="n"/>
      <c r="C1509" s="48" t="n"/>
      <c r="D1509" s="48" t="n"/>
      <c r="E1509" s="48" t="n"/>
      <c r="F1509" s="48" t="n"/>
      <c r="G1509" s="48" t="n"/>
      <c r="H1509" s="48" t="n"/>
      <c r="I1509" s="49" t="n"/>
      <c r="J1509" s="50" t="n"/>
      <c r="K1509" s="48" t="n"/>
      <c r="L1509" s="51">
        <f>IF(A1509="","",DATE(YEAR(A1509),MONTH(A1509),1))</f>
        <v/>
      </c>
      <c r="M1509" s="52">
        <f>IF(OR(A1509="",NOT(ISNUMBER(I1509))),"",IF(G1509=Lists!$B$5,I1509/2,IF(G1509=Lists!$B$6,I1509,0)))</f>
        <v/>
      </c>
      <c r="N1509" s="52">
        <f>IF(OR(A1509="",NOT(ISNUMBER(I1509))),"",IF(G1509=Lists!$B$5,I1509/2,IF(G1509=Lists!$B$7,I1509,0)))</f>
        <v/>
      </c>
      <c r="O1509" s="53">
        <f>IF(COUNTA(A1509:K1509)=0,"",IF(OR(A1509="",B1509="",C1509="",D1509="",E1509="",F1509="",G1509="",NOT(ISNUMBER(I1509))),"Incomplete",IF(COUNTIF(Lists!$H$4:$AA$4,C1509)=0,"Check category",IF(COUNTIF(INDEX(Lists!$H$6:$AA$45,0,MATCH(C1509,Lists!$H$4:$AA$4,0)),D1509)=0,"Check sub-category","OK"))))</f>
        <v/>
      </c>
      <c r="P1509">
        <f>IF(ISNUMBER(I1509),I1509+ROW()/10000000,"")</f>
        <v/>
      </c>
      <c r="Q1509">
        <f>IF(AND(ISNUMBER(P1509),ISNUMBER(A1509)),IF(AND(A1509&gt;=Dashboard!$Q$3,A1509&lt;=Dashboard!$Q$4,OR(J1509&lt;&gt;"Yes",Dashboard!$Q$15="Yes")),P1509,""),"")</f>
        <v/>
      </c>
    </row>
    <row r="1510">
      <c r="A1510" s="47" t="n"/>
      <c r="B1510" s="48" t="n"/>
      <c r="C1510" s="48" t="n"/>
      <c r="D1510" s="48" t="n"/>
      <c r="E1510" s="48" t="n"/>
      <c r="F1510" s="48" t="n"/>
      <c r="G1510" s="48" t="n"/>
      <c r="H1510" s="48" t="n"/>
      <c r="I1510" s="49" t="n"/>
      <c r="J1510" s="50" t="n"/>
      <c r="K1510" s="48" t="n"/>
      <c r="L1510" s="51">
        <f>IF(A1510="","",DATE(YEAR(A1510),MONTH(A1510),1))</f>
        <v/>
      </c>
      <c r="M1510" s="52">
        <f>IF(OR(A1510="",NOT(ISNUMBER(I1510))),"",IF(G1510=Lists!$B$5,I1510/2,IF(G1510=Lists!$B$6,I1510,0)))</f>
        <v/>
      </c>
      <c r="N1510" s="52">
        <f>IF(OR(A1510="",NOT(ISNUMBER(I1510))),"",IF(G1510=Lists!$B$5,I1510/2,IF(G1510=Lists!$B$7,I1510,0)))</f>
        <v/>
      </c>
      <c r="O1510" s="53">
        <f>IF(COUNTA(A1510:K1510)=0,"",IF(OR(A1510="",B1510="",C1510="",D1510="",E1510="",F1510="",G1510="",NOT(ISNUMBER(I1510))),"Incomplete",IF(COUNTIF(Lists!$H$4:$AA$4,C1510)=0,"Check category",IF(COUNTIF(INDEX(Lists!$H$6:$AA$45,0,MATCH(C1510,Lists!$H$4:$AA$4,0)),D1510)=0,"Check sub-category","OK"))))</f>
        <v/>
      </c>
      <c r="P1510">
        <f>IF(ISNUMBER(I1510),I1510+ROW()/10000000,"")</f>
        <v/>
      </c>
      <c r="Q1510">
        <f>IF(AND(ISNUMBER(P1510),ISNUMBER(A1510)),IF(AND(A1510&gt;=Dashboard!$Q$3,A1510&lt;=Dashboard!$Q$4,OR(J1510&lt;&gt;"Yes",Dashboard!$Q$15="Yes")),P1510,""),"")</f>
        <v/>
      </c>
    </row>
    <row r="1511">
      <c r="A1511" s="47" t="n"/>
      <c r="B1511" s="48" t="n"/>
      <c r="C1511" s="48" t="n"/>
      <c r="D1511" s="48" t="n"/>
      <c r="E1511" s="48" t="n"/>
      <c r="F1511" s="48" t="n"/>
      <c r="G1511" s="48" t="n"/>
      <c r="H1511" s="48" t="n"/>
      <c r="I1511" s="49" t="n"/>
      <c r="J1511" s="50" t="n"/>
      <c r="K1511" s="48" t="n"/>
      <c r="L1511" s="51">
        <f>IF(A1511="","",DATE(YEAR(A1511),MONTH(A1511),1))</f>
        <v/>
      </c>
      <c r="M1511" s="52">
        <f>IF(OR(A1511="",NOT(ISNUMBER(I1511))),"",IF(G1511=Lists!$B$5,I1511/2,IF(G1511=Lists!$B$6,I1511,0)))</f>
        <v/>
      </c>
      <c r="N1511" s="52">
        <f>IF(OR(A1511="",NOT(ISNUMBER(I1511))),"",IF(G1511=Lists!$B$5,I1511/2,IF(G1511=Lists!$B$7,I1511,0)))</f>
        <v/>
      </c>
      <c r="O1511" s="53">
        <f>IF(COUNTA(A1511:K1511)=0,"",IF(OR(A1511="",B1511="",C1511="",D1511="",E1511="",F1511="",G1511="",NOT(ISNUMBER(I1511))),"Incomplete",IF(COUNTIF(Lists!$H$4:$AA$4,C1511)=0,"Check category",IF(COUNTIF(INDEX(Lists!$H$6:$AA$45,0,MATCH(C1511,Lists!$H$4:$AA$4,0)),D1511)=0,"Check sub-category","OK"))))</f>
        <v/>
      </c>
      <c r="P1511">
        <f>IF(ISNUMBER(I1511),I1511+ROW()/10000000,"")</f>
        <v/>
      </c>
      <c r="Q1511">
        <f>IF(AND(ISNUMBER(P1511),ISNUMBER(A1511)),IF(AND(A1511&gt;=Dashboard!$Q$3,A1511&lt;=Dashboard!$Q$4,OR(J1511&lt;&gt;"Yes",Dashboard!$Q$15="Yes")),P1511,""),"")</f>
        <v/>
      </c>
    </row>
    <row r="1512">
      <c r="A1512" s="47" t="n"/>
      <c r="B1512" s="48" t="n"/>
      <c r="C1512" s="48" t="n"/>
      <c r="D1512" s="48" t="n"/>
      <c r="E1512" s="48" t="n"/>
      <c r="F1512" s="48" t="n"/>
      <c r="G1512" s="48" t="n"/>
      <c r="H1512" s="48" t="n"/>
      <c r="I1512" s="49" t="n"/>
      <c r="J1512" s="50" t="n"/>
      <c r="K1512" s="48" t="n"/>
      <c r="L1512" s="51">
        <f>IF(A1512="","",DATE(YEAR(A1512),MONTH(A1512),1))</f>
        <v/>
      </c>
      <c r="M1512" s="52">
        <f>IF(OR(A1512="",NOT(ISNUMBER(I1512))),"",IF(G1512=Lists!$B$5,I1512/2,IF(G1512=Lists!$B$6,I1512,0)))</f>
        <v/>
      </c>
      <c r="N1512" s="52">
        <f>IF(OR(A1512="",NOT(ISNUMBER(I1512))),"",IF(G1512=Lists!$B$5,I1512/2,IF(G1512=Lists!$B$7,I1512,0)))</f>
        <v/>
      </c>
      <c r="O1512" s="53">
        <f>IF(COUNTA(A1512:K1512)=0,"",IF(OR(A1512="",B1512="",C1512="",D1512="",E1512="",F1512="",G1512="",NOT(ISNUMBER(I1512))),"Incomplete",IF(COUNTIF(Lists!$H$4:$AA$4,C1512)=0,"Check category",IF(COUNTIF(INDEX(Lists!$H$6:$AA$45,0,MATCH(C1512,Lists!$H$4:$AA$4,0)),D1512)=0,"Check sub-category","OK"))))</f>
        <v/>
      </c>
      <c r="P1512">
        <f>IF(ISNUMBER(I1512),I1512+ROW()/10000000,"")</f>
        <v/>
      </c>
      <c r="Q1512">
        <f>IF(AND(ISNUMBER(P1512),ISNUMBER(A1512)),IF(AND(A1512&gt;=Dashboard!$Q$3,A1512&lt;=Dashboard!$Q$4,OR(J1512&lt;&gt;"Yes",Dashboard!$Q$15="Yes")),P1512,""),"")</f>
        <v/>
      </c>
    </row>
    <row r="1513">
      <c r="A1513" s="47" t="n"/>
      <c r="B1513" s="48" t="n"/>
      <c r="C1513" s="48" t="n"/>
      <c r="D1513" s="48" t="n"/>
      <c r="E1513" s="48" t="n"/>
      <c r="F1513" s="48" t="n"/>
      <c r="G1513" s="48" t="n"/>
      <c r="H1513" s="48" t="n"/>
      <c r="I1513" s="49" t="n"/>
      <c r="J1513" s="50" t="n"/>
      <c r="K1513" s="48" t="n"/>
      <c r="L1513" s="51">
        <f>IF(A1513="","",DATE(YEAR(A1513),MONTH(A1513),1))</f>
        <v/>
      </c>
      <c r="M1513" s="52">
        <f>IF(OR(A1513="",NOT(ISNUMBER(I1513))),"",IF(G1513=Lists!$B$5,I1513/2,IF(G1513=Lists!$B$6,I1513,0)))</f>
        <v/>
      </c>
      <c r="N1513" s="52">
        <f>IF(OR(A1513="",NOT(ISNUMBER(I1513))),"",IF(G1513=Lists!$B$5,I1513/2,IF(G1513=Lists!$B$7,I1513,0)))</f>
        <v/>
      </c>
      <c r="O1513" s="53">
        <f>IF(COUNTA(A1513:K1513)=0,"",IF(OR(A1513="",B1513="",C1513="",D1513="",E1513="",F1513="",G1513="",NOT(ISNUMBER(I1513))),"Incomplete",IF(COUNTIF(Lists!$H$4:$AA$4,C1513)=0,"Check category",IF(COUNTIF(INDEX(Lists!$H$6:$AA$45,0,MATCH(C1513,Lists!$H$4:$AA$4,0)),D1513)=0,"Check sub-category","OK"))))</f>
        <v/>
      </c>
      <c r="P1513">
        <f>IF(ISNUMBER(I1513),I1513+ROW()/10000000,"")</f>
        <v/>
      </c>
      <c r="Q1513">
        <f>IF(AND(ISNUMBER(P1513),ISNUMBER(A1513)),IF(AND(A1513&gt;=Dashboard!$Q$3,A1513&lt;=Dashboard!$Q$4,OR(J1513&lt;&gt;"Yes",Dashboard!$Q$15="Yes")),P1513,""),"")</f>
        <v/>
      </c>
    </row>
    <row r="1514">
      <c r="A1514" s="47" t="n"/>
      <c r="B1514" s="48" t="n"/>
      <c r="C1514" s="48" t="n"/>
      <c r="D1514" s="48" t="n"/>
      <c r="E1514" s="48" t="n"/>
      <c r="F1514" s="48" t="n"/>
      <c r="G1514" s="48" t="n"/>
      <c r="H1514" s="48" t="n"/>
      <c r="I1514" s="49" t="n"/>
      <c r="J1514" s="50" t="n"/>
      <c r="K1514" s="48" t="n"/>
      <c r="L1514" s="51">
        <f>IF(A1514="","",DATE(YEAR(A1514),MONTH(A1514),1))</f>
        <v/>
      </c>
      <c r="M1514" s="52">
        <f>IF(OR(A1514="",NOT(ISNUMBER(I1514))),"",IF(G1514=Lists!$B$5,I1514/2,IF(G1514=Lists!$B$6,I1514,0)))</f>
        <v/>
      </c>
      <c r="N1514" s="52">
        <f>IF(OR(A1514="",NOT(ISNUMBER(I1514))),"",IF(G1514=Lists!$B$5,I1514/2,IF(G1514=Lists!$B$7,I1514,0)))</f>
        <v/>
      </c>
      <c r="O1514" s="53">
        <f>IF(COUNTA(A1514:K1514)=0,"",IF(OR(A1514="",B1514="",C1514="",D1514="",E1514="",F1514="",G1514="",NOT(ISNUMBER(I1514))),"Incomplete",IF(COUNTIF(Lists!$H$4:$AA$4,C1514)=0,"Check category",IF(COUNTIF(INDEX(Lists!$H$6:$AA$45,0,MATCH(C1514,Lists!$H$4:$AA$4,0)),D1514)=0,"Check sub-category","OK"))))</f>
        <v/>
      </c>
      <c r="P1514">
        <f>IF(ISNUMBER(I1514),I1514+ROW()/10000000,"")</f>
        <v/>
      </c>
      <c r="Q1514">
        <f>IF(AND(ISNUMBER(P1514),ISNUMBER(A1514)),IF(AND(A1514&gt;=Dashboard!$Q$3,A1514&lt;=Dashboard!$Q$4,OR(J1514&lt;&gt;"Yes",Dashboard!$Q$15="Yes")),P1514,""),"")</f>
        <v/>
      </c>
    </row>
    <row r="1515">
      <c r="A1515" s="47" t="n"/>
      <c r="B1515" s="48" t="n"/>
      <c r="C1515" s="48" t="n"/>
      <c r="D1515" s="48" t="n"/>
      <c r="E1515" s="48" t="n"/>
      <c r="F1515" s="48" t="n"/>
      <c r="G1515" s="48" t="n"/>
      <c r="H1515" s="48" t="n"/>
      <c r="I1515" s="49" t="n"/>
      <c r="J1515" s="50" t="n"/>
      <c r="K1515" s="48" t="n"/>
      <c r="L1515" s="51">
        <f>IF(A1515="","",DATE(YEAR(A1515),MONTH(A1515),1))</f>
        <v/>
      </c>
      <c r="M1515" s="52">
        <f>IF(OR(A1515="",NOT(ISNUMBER(I1515))),"",IF(G1515=Lists!$B$5,I1515/2,IF(G1515=Lists!$B$6,I1515,0)))</f>
        <v/>
      </c>
      <c r="N1515" s="52">
        <f>IF(OR(A1515="",NOT(ISNUMBER(I1515))),"",IF(G1515=Lists!$B$5,I1515/2,IF(G1515=Lists!$B$7,I1515,0)))</f>
        <v/>
      </c>
      <c r="O1515" s="53">
        <f>IF(COUNTA(A1515:K1515)=0,"",IF(OR(A1515="",B1515="",C1515="",D1515="",E1515="",F1515="",G1515="",NOT(ISNUMBER(I1515))),"Incomplete",IF(COUNTIF(Lists!$H$4:$AA$4,C1515)=0,"Check category",IF(COUNTIF(INDEX(Lists!$H$6:$AA$45,0,MATCH(C1515,Lists!$H$4:$AA$4,0)),D1515)=0,"Check sub-category","OK"))))</f>
        <v/>
      </c>
      <c r="P1515">
        <f>IF(ISNUMBER(I1515),I1515+ROW()/10000000,"")</f>
        <v/>
      </c>
      <c r="Q1515">
        <f>IF(AND(ISNUMBER(P1515),ISNUMBER(A1515)),IF(AND(A1515&gt;=Dashboard!$Q$3,A1515&lt;=Dashboard!$Q$4,OR(J1515&lt;&gt;"Yes",Dashboard!$Q$15="Yes")),P1515,""),"")</f>
        <v/>
      </c>
    </row>
    <row r="1516">
      <c r="A1516" s="47" t="n"/>
      <c r="B1516" s="48" t="n"/>
      <c r="C1516" s="48" t="n"/>
      <c r="D1516" s="48" t="n"/>
      <c r="E1516" s="48" t="n"/>
      <c r="F1516" s="48" t="n"/>
      <c r="G1516" s="48" t="n"/>
      <c r="H1516" s="48" t="n"/>
      <c r="I1516" s="49" t="n"/>
      <c r="J1516" s="50" t="n"/>
      <c r="K1516" s="48" t="n"/>
      <c r="L1516" s="51">
        <f>IF(A1516="","",DATE(YEAR(A1516),MONTH(A1516),1))</f>
        <v/>
      </c>
      <c r="M1516" s="52">
        <f>IF(OR(A1516="",NOT(ISNUMBER(I1516))),"",IF(G1516=Lists!$B$5,I1516/2,IF(G1516=Lists!$B$6,I1516,0)))</f>
        <v/>
      </c>
      <c r="N1516" s="52">
        <f>IF(OR(A1516="",NOT(ISNUMBER(I1516))),"",IF(G1516=Lists!$B$5,I1516/2,IF(G1516=Lists!$B$7,I1516,0)))</f>
        <v/>
      </c>
      <c r="O1516" s="53">
        <f>IF(COUNTA(A1516:K1516)=0,"",IF(OR(A1516="",B1516="",C1516="",D1516="",E1516="",F1516="",G1516="",NOT(ISNUMBER(I1516))),"Incomplete",IF(COUNTIF(Lists!$H$4:$AA$4,C1516)=0,"Check category",IF(COUNTIF(INDEX(Lists!$H$6:$AA$45,0,MATCH(C1516,Lists!$H$4:$AA$4,0)),D1516)=0,"Check sub-category","OK"))))</f>
        <v/>
      </c>
      <c r="P1516">
        <f>IF(ISNUMBER(I1516),I1516+ROW()/10000000,"")</f>
        <v/>
      </c>
      <c r="Q1516">
        <f>IF(AND(ISNUMBER(P1516),ISNUMBER(A1516)),IF(AND(A1516&gt;=Dashboard!$Q$3,A1516&lt;=Dashboard!$Q$4,OR(J1516&lt;&gt;"Yes",Dashboard!$Q$15="Yes")),P1516,""),"")</f>
        <v/>
      </c>
    </row>
    <row r="1517">
      <c r="A1517" s="47" t="n"/>
      <c r="B1517" s="48" t="n"/>
      <c r="C1517" s="48" t="n"/>
      <c r="D1517" s="48" t="n"/>
      <c r="E1517" s="48" t="n"/>
      <c r="F1517" s="48" t="n"/>
      <c r="G1517" s="48" t="n"/>
      <c r="H1517" s="48" t="n"/>
      <c r="I1517" s="49" t="n"/>
      <c r="J1517" s="50" t="n"/>
      <c r="K1517" s="48" t="n"/>
      <c r="L1517" s="51">
        <f>IF(A1517="","",DATE(YEAR(A1517),MONTH(A1517),1))</f>
        <v/>
      </c>
      <c r="M1517" s="52">
        <f>IF(OR(A1517="",NOT(ISNUMBER(I1517))),"",IF(G1517=Lists!$B$5,I1517/2,IF(G1517=Lists!$B$6,I1517,0)))</f>
        <v/>
      </c>
      <c r="N1517" s="52">
        <f>IF(OR(A1517="",NOT(ISNUMBER(I1517))),"",IF(G1517=Lists!$B$5,I1517/2,IF(G1517=Lists!$B$7,I1517,0)))</f>
        <v/>
      </c>
      <c r="O1517" s="53">
        <f>IF(COUNTA(A1517:K1517)=0,"",IF(OR(A1517="",B1517="",C1517="",D1517="",E1517="",F1517="",G1517="",NOT(ISNUMBER(I1517))),"Incomplete",IF(COUNTIF(Lists!$H$4:$AA$4,C1517)=0,"Check category",IF(COUNTIF(INDEX(Lists!$H$6:$AA$45,0,MATCH(C1517,Lists!$H$4:$AA$4,0)),D1517)=0,"Check sub-category","OK"))))</f>
        <v/>
      </c>
      <c r="P1517">
        <f>IF(ISNUMBER(I1517),I1517+ROW()/10000000,"")</f>
        <v/>
      </c>
      <c r="Q1517">
        <f>IF(AND(ISNUMBER(P1517),ISNUMBER(A1517)),IF(AND(A1517&gt;=Dashboard!$Q$3,A1517&lt;=Dashboard!$Q$4,OR(J1517&lt;&gt;"Yes",Dashboard!$Q$15="Yes")),P1517,""),"")</f>
        <v/>
      </c>
    </row>
    <row r="1518">
      <c r="A1518" s="47" t="n"/>
      <c r="B1518" s="48" t="n"/>
      <c r="C1518" s="48" t="n"/>
      <c r="D1518" s="48" t="n"/>
      <c r="E1518" s="48" t="n"/>
      <c r="F1518" s="48" t="n"/>
      <c r="G1518" s="48" t="n"/>
      <c r="H1518" s="48" t="n"/>
      <c r="I1518" s="49" t="n"/>
      <c r="J1518" s="50" t="n"/>
      <c r="K1518" s="48" t="n"/>
      <c r="L1518" s="51">
        <f>IF(A1518="","",DATE(YEAR(A1518),MONTH(A1518),1))</f>
        <v/>
      </c>
      <c r="M1518" s="52">
        <f>IF(OR(A1518="",NOT(ISNUMBER(I1518))),"",IF(G1518=Lists!$B$5,I1518/2,IF(G1518=Lists!$B$6,I1518,0)))</f>
        <v/>
      </c>
      <c r="N1518" s="52">
        <f>IF(OR(A1518="",NOT(ISNUMBER(I1518))),"",IF(G1518=Lists!$B$5,I1518/2,IF(G1518=Lists!$B$7,I1518,0)))</f>
        <v/>
      </c>
      <c r="O1518" s="53">
        <f>IF(COUNTA(A1518:K1518)=0,"",IF(OR(A1518="",B1518="",C1518="",D1518="",E1518="",F1518="",G1518="",NOT(ISNUMBER(I1518))),"Incomplete",IF(COUNTIF(Lists!$H$4:$AA$4,C1518)=0,"Check category",IF(COUNTIF(INDEX(Lists!$H$6:$AA$45,0,MATCH(C1518,Lists!$H$4:$AA$4,0)),D1518)=0,"Check sub-category","OK"))))</f>
        <v/>
      </c>
      <c r="P1518">
        <f>IF(ISNUMBER(I1518),I1518+ROW()/10000000,"")</f>
        <v/>
      </c>
      <c r="Q1518">
        <f>IF(AND(ISNUMBER(P1518),ISNUMBER(A1518)),IF(AND(A1518&gt;=Dashboard!$Q$3,A1518&lt;=Dashboard!$Q$4,OR(J1518&lt;&gt;"Yes",Dashboard!$Q$15="Yes")),P1518,""),"")</f>
        <v/>
      </c>
    </row>
    <row r="1519">
      <c r="A1519" s="47" t="n"/>
      <c r="B1519" s="48" t="n"/>
      <c r="C1519" s="48" t="n"/>
      <c r="D1519" s="48" t="n"/>
      <c r="E1519" s="48" t="n"/>
      <c r="F1519" s="48" t="n"/>
      <c r="G1519" s="48" t="n"/>
      <c r="H1519" s="48" t="n"/>
      <c r="I1519" s="49" t="n"/>
      <c r="J1519" s="50" t="n"/>
      <c r="K1519" s="48" t="n"/>
      <c r="L1519" s="51">
        <f>IF(A1519="","",DATE(YEAR(A1519),MONTH(A1519),1))</f>
        <v/>
      </c>
      <c r="M1519" s="52">
        <f>IF(OR(A1519="",NOT(ISNUMBER(I1519))),"",IF(G1519=Lists!$B$5,I1519/2,IF(G1519=Lists!$B$6,I1519,0)))</f>
        <v/>
      </c>
      <c r="N1519" s="52">
        <f>IF(OR(A1519="",NOT(ISNUMBER(I1519))),"",IF(G1519=Lists!$B$5,I1519/2,IF(G1519=Lists!$B$7,I1519,0)))</f>
        <v/>
      </c>
      <c r="O1519" s="53">
        <f>IF(COUNTA(A1519:K1519)=0,"",IF(OR(A1519="",B1519="",C1519="",D1519="",E1519="",F1519="",G1519="",NOT(ISNUMBER(I1519))),"Incomplete",IF(COUNTIF(Lists!$H$4:$AA$4,C1519)=0,"Check category",IF(COUNTIF(INDEX(Lists!$H$6:$AA$45,0,MATCH(C1519,Lists!$H$4:$AA$4,0)),D1519)=0,"Check sub-category","OK"))))</f>
        <v/>
      </c>
      <c r="P1519">
        <f>IF(ISNUMBER(I1519),I1519+ROW()/10000000,"")</f>
        <v/>
      </c>
      <c r="Q1519">
        <f>IF(AND(ISNUMBER(P1519),ISNUMBER(A1519)),IF(AND(A1519&gt;=Dashboard!$Q$3,A1519&lt;=Dashboard!$Q$4,OR(J1519&lt;&gt;"Yes",Dashboard!$Q$15="Yes")),P1519,""),"")</f>
        <v/>
      </c>
    </row>
    <row r="1520">
      <c r="A1520" s="47" t="n"/>
      <c r="B1520" s="48" t="n"/>
      <c r="C1520" s="48" t="n"/>
      <c r="D1520" s="48" t="n"/>
      <c r="E1520" s="48" t="n"/>
      <c r="F1520" s="48" t="n"/>
      <c r="G1520" s="48" t="n"/>
      <c r="H1520" s="48" t="n"/>
      <c r="I1520" s="49" t="n"/>
      <c r="J1520" s="50" t="n"/>
      <c r="K1520" s="48" t="n"/>
      <c r="L1520" s="51">
        <f>IF(A1520="","",DATE(YEAR(A1520),MONTH(A1520),1))</f>
        <v/>
      </c>
      <c r="M1520" s="52">
        <f>IF(OR(A1520="",NOT(ISNUMBER(I1520))),"",IF(G1520=Lists!$B$5,I1520/2,IF(G1520=Lists!$B$6,I1520,0)))</f>
        <v/>
      </c>
      <c r="N1520" s="52">
        <f>IF(OR(A1520="",NOT(ISNUMBER(I1520))),"",IF(G1520=Lists!$B$5,I1520/2,IF(G1520=Lists!$B$7,I1520,0)))</f>
        <v/>
      </c>
      <c r="O1520" s="53">
        <f>IF(COUNTA(A1520:K1520)=0,"",IF(OR(A1520="",B1520="",C1520="",D1520="",E1520="",F1520="",G1520="",NOT(ISNUMBER(I1520))),"Incomplete",IF(COUNTIF(Lists!$H$4:$AA$4,C1520)=0,"Check category",IF(COUNTIF(INDEX(Lists!$H$6:$AA$45,0,MATCH(C1520,Lists!$H$4:$AA$4,0)),D1520)=0,"Check sub-category","OK"))))</f>
        <v/>
      </c>
      <c r="P1520">
        <f>IF(ISNUMBER(I1520),I1520+ROW()/10000000,"")</f>
        <v/>
      </c>
      <c r="Q1520">
        <f>IF(AND(ISNUMBER(P1520),ISNUMBER(A1520)),IF(AND(A1520&gt;=Dashboard!$Q$3,A1520&lt;=Dashboard!$Q$4,OR(J1520&lt;&gt;"Yes",Dashboard!$Q$15="Yes")),P1520,""),"")</f>
        <v/>
      </c>
    </row>
    <row r="1521">
      <c r="A1521" s="47" t="n"/>
      <c r="B1521" s="48" t="n"/>
      <c r="C1521" s="48" t="n"/>
      <c r="D1521" s="48" t="n"/>
      <c r="E1521" s="48" t="n"/>
      <c r="F1521" s="48" t="n"/>
      <c r="G1521" s="48" t="n"/>
      <c r="H1521" s="48" t="n"/>
      <c r="I1521" s="49" t="n"/>
      <c r="J1521" s="50" t="n"/>
      <c r="K1521" s="48" t="n"/>
      <c r="L1521" s="51">
        <f>IF(A1521="","",DATE(YEAR(A1521),MONTH(A1521),1))</f>
        <v/>
      </c>
      <c r="M1521" s="52">
        <f>IF(OR(A1521="",NOT(ISNUMBER(I1521))),"",IF(G1521=Lists!$B$5,I1521/2,IF(G1521=Lists!$B$6,I1521,0)))</f>
        <v/>
      </c>
      <c r="N1521" s="52">
        <f>IF(OR(A1521="",NOT(ISNUMBER(I1521))),"",IF(G1521=Lists!$B$5,I1521/2,IF(G1521=Lists!$B$7,I1521,0)))</f>
        <v/>
      </c>
      <c r="O1521" s="53">
        <f>IF(COUNTA(A1521:K1521)=0,"",IF(OR(A1521="",B1521="",C1521="",D1521="",E1521="",F1521="",G1521="",NOT(ISNUMBER(I1521))),"Incomplete",IF(COUNTIF(Lists!$H$4:$AA$4,C1521)=0,"Check category",IF(COUNTIF(INDEX(Lists!$H$6:$AA$45,0,MATCH(C1521,Lists!$H$4:$AA$4,0)),D1521)=0,"Check sub-category","OK"))))</f>
        <v/>
      </c>
      <c r="P1521">
        <f>IF(ISNUMBER(I1521),I1521+ROW()/10000000,"")</f>
        <v/>
      </c>
      <c r="Q1521">
        <f>IF(AND(ISNUMBER(P1521),ISNUMBER(A1521)),IF(AND(A1521&gt;=Dashboard!$Q$3,A1521&lt;=Dashboard!$Q$4,OR(J1521&lt;&gt;"Yes",Dashboard!$Q$15="Yes")),P1521,""),"")</f>
        <v/>
      </c>
    </row>
    <row r="1522">
      <c r="A1522" s="47" t="n"/>
      <c r="B1522" s="48" t="n"/>
      <c r="C1522" s="48" t="n"/>
      <c r="D1522" s="48" t="n"/>
      <c r="E1522" s="48" t="n"/>
      <c r="F1522" s="48" t="n"/>
      <c r="G1522" s="48" t="n"/>
      <c r="H1522" s="48" t="n"/>
      <c r="I1522" s="49" t="n"/>
      <c r="J1522" s="50" t="n"/>
      <c r="K1522" s="48" t="n"/>
      <c r="L1522" s="51">
        <f>IF(A1522="","",DATE(YEAR(A1522),MONTH(A1522),1))</f>
        <v/>
      </c>
      <c r="M1522" s="52">
        <f>IF(OR(A1522="",NOT(ISNUMBER(I1522))),"",IF(G1522=Lists!$B$5,I1522/2,IF(G1522=Lists!$B$6,I1522,0)))</f>
        <v/>
      </c>
      <c r="N1522" s="52">
        <f>IF(OR(A1522="",NOT(ISNUMBER(I1522))),"",IF(G1522=Lists!$B$5,I1522/2,IF(G1522=Lists!$B$7,I1522,0)))</f>
        <v/>
      </c>
      <c r="O1522" s="53">
        <f>IF(COUNTA(A1522:K1522)=0,"",IF(OR(A1522="",B1522="",C1522="",D1522="",E1522="",F1522="",G1522="",NOT(ISNUMBER(I1522))),"Incomplete",IF(COUNTIF(Lists!$H$4:$AA$4,C1522)=0,"Check category",IF(COUNTIF(INDEX(Lists!$H$6:$AA$45,0,MATCH(C1522,Lists!$H$4:$AA$4,0)),D1522)=0,"Check sub-category","OK"))))</f>
        <v/>
      </c>
      <c r="P1522">
        <f>IF(ISNUMBER(I1522),I1522+ROW()/10000000,"")</f>
        <v/>
      </c>
      <c r="Q1522">
        <f>IF(AND(ISNUMBER(P1522),ISNUMBER(A1522)),IF(AND(A1522&gt;=Dashboard!$Q$3,A1522&lt;=Dashboard!$Q$4,OR(J1522&lt;&gt;"Yes",Dashboard!$Q$15="Yes")),P1522,""),"")</f>
        <v/>
      </c>
    </row>
    <row r="1523">
      <c r="A1523" s="47" t="n"/>
      <c r="B1523" s="48" t="n"/>
      <c r="C1523" s="48" t="n"/>
      <c r="D1523" s="48" t="n"/>
      <c r="E1523" s="48" t="n"/>
      <c r="F1523" s="48" t="n"/>
      <c r="G1523" s="48" t="n"/>
      <c r="H1523" s="48" t="n"/>
      <c r="I1523" s="49" t="n"/>
      <c r="J1523" s="50" t="n"/>
      <c r="K1523" s="48" t="n"/>
      <c r="L1523" s="51">
        <f>IF(A1523="","",DATE(YEAR(A1523),MONTH(A1523),1))</f>
        <v/>
      </c>
      <c r="M1523" s="52">
        <f>IF(OR(A1523="",NOT(ISNUMBER(I1523))),"",IF(G1523=Lists!$B$5,I1523/2,IF(G1523=Lists!$B$6,I1523,0)))</f>
        <v/>
      </c>
      <c r="N1523" s="52">
        <f>IF(OR(A1523="",NOT(ISNUMBER(I1523))),"",IF(G1523=Lists!$B$5,I1523/2,IF(G1523=Lists!$B$7,I1523,0)))</f>
        <v/>
      </c>
      <c r="O1523" s="53">
        <f>IF(COUNTA(A1523:K1523)=0,"",IF(OR(A1523="",B1523="",C1523="",D1523="",E1523="",F1523="",G1523="",NOT(ISNUMBER(I1523))),"Incomplete",IF(COUNTIF(Lists!$H$4:$AA$4,C1523)=0,"Check category",IF(COUNTIF(INDEX(Lists!$H$6:$AA$45,0,MATCH(C1523,Lists!$H$4:$AA$4,0)),D1523)=0,"Check sub-category","OK"))))</f>
        <v/>
      </c>
      <c r="P1523">
        <f>IF(ISNUMBER(I1523),I1523+ROW()/10000000,"")</f>
        <v/>
      </c>
      <c r="Q1523">
        <f>IF(AND(ISNUMBER(P1523),ISNUMBER(A1523)),IF(AND(A1523&gt;=Dashboard!$Q$3,A1523&lt;=Dashboard!$Q$4,OR(J1523&lt;&gt;"Yes",Dashboard!$Q$15="Yes")),P1523,""),"")</f>
        <v/>
      </c>
    </row>
    <row r="1524">
      <c r="A1524" s="47" t="n"/>
      <c r="B1524" s="48" t="n"/>
      <c r="C1524" s="48" t="n"/>
      <c r="D1524" s="48" t="n"/>
      <c r="E1524" s="48" t="n"/>
      <c r="F1524" s="48" t="n"/>
      <c r="G1524" s="48" t="n"/>
      <c r="H1524" s="48" t="n"/>
      <c r="I1524" s="49" t="n"/>
      <c r="J1524" s="50" t="n"/>
      <c r="K1524" s="48" t="n"/>
      <c r="L1524" s="51">
        <f>IF(A1524="","",DATE(YEAR(A1524),MONTH(A1524),1))</f>
        <v/>
      </c>
      <c r="M1524" s="52">
        <f>IF(OR(A1524="",NOT(ISNUMBER(I1524))),"",IF(G1524=Lists!$B$5,I1524/2,IF(G1524=Lists!$B$6,I1524,0)))</f>
        <v/>
      </c>
      <c r="N1524" s="52">
        <f>IF(OR(A1524="",NOT(ISNUMBER(I1524))),"",IF(G1524=Lists!$B$5,I1524/2,IF(G1524=Lists!$B$7,I1524,0)))</f>
        <v/>
      </c>
      <c r="O1524" s="53">
        <f>IF(COUNTA(A1524:K1524)=0,"",IF(OR(A1524="",B1524="",C1524="",D1524="",E1524="",F1524="",G1524="",NOT(ISNUMBER(I1524))),"Incomplete",IF(COUNTIF(Lists!$H$4:$AA$4,C1524)=0,"Check category",IF(COUNTIF(INDEX(Lists!$H$6:$AA$45,0,MATCH(C1524,Lists!$H$4:$AA$4,0)),D1524)=0,"Check sub-category","OK"))))</f>
        <v/>
      </c>
      <c r="P1524">
        <f>IF(ISNUMBER(I1524),I1524+ROW()/10000000,"")</f>
        <v/>
      </c>
      <c r="Q1524">
        <f>IF(AND(ISNUMBER(P1524),ISNUMBER(A1524)),IF(AND(A1524&gt;=Dashboard!$Q$3,A1524&lt;=Dashboard!$Q$4,OR(J1524&lt;&gt;"Yes",Dashboard!$Q$15="Yes")),P1524,""),"")</f>
        <v/>
      </c>
    </row>
    <row r="1525">
      <c r="A1525" s="47" t="n"/>
      <c r="B1525" s="48" t="n"/>
      <c r="C1525" s="48" t="n"/>
      <c r="D1525" s="48" t="n"/>
      <c r="E1525" s="48" t="n"/>
      <c r="F1525" s="48" t="n"/>
      <c r="G1525" s="48" t="n"/>
      <c r="H1525" s="48" t="n"/>
      <c r="I1525" s="49" t="n"/>
      <c r="J1525" s="50" t="n"/>
      <c r="K1525" s="48" t="n"/>
      <c r="L1525" s="51">
        <f>IF(A1525="","",DATE(YEAR(A1525),MONTH(A1525),1))</f>
        <v/>
      </c>
      <c r="M1525" s="52">
        <f>IF(OR(A1525="",NOT(ISNUMBER(I1525))),"",IF(G1525=Lists!$B$5,I1525/2,IF(G1525=Lists!$B$6,I1525,0)))</f>
        <v/>
      </c>
      <c r="N1525" s="52">
        <f>IF(OR(A1525="",NOT(ISNUMBER(I1525))),"",IF(G1525=Lists!$B$5,I1525/2,IF(G1525=Lists!$B$7,I1525,0)))</f>
        <v/>
      </c>
      <c r="O1525" s="53">
        <f>IF(COUNTA(A1525:K1525)=0,"",IF(OR(A1525="",B1525="",C1525="",D1525="",E1525="",F1525="",G1525="",NOT(ISNUMBER(I1525))),"Incomplete",IF(COUNTIF(Lists!$H$4:$AA$4,C1525)=0,"Check category",IF(COUNTIF(INDEX(Lists!$H$6:$AA$45,0,MATCH(C1525,Lists!$H$4:$AA$4,0)),D1525)=0,"Check sub-category","OK"))))</f>
        <v/>
      </c>
      <c r="P1525">
        <f>IF(ISNUMBER(I1525),I1525+ROW()/10000000,"")</f>
        <v/>
      </c>
      <c r="Q1525">
        <f>IF(AND(ISNUMBER(P1525),ISNUMBER(A1525)),IF(AND(A1525&gt;=Dashboard!$Q$3,A1525&lt;=Dashboard!$Q$4,OR(J1525&lt;&gt;"Yes",Dashboard!$Q$15="Yes")),P1525,""),"")</f>
        <v/>
      </c>
    </row>
    <row r="1526">
      <c r="A1526" s="47" t="n"/>
      <c r="B1526" s="48" t="n"/>
      <c r="C1526" s="48" t="n"/>
      <c r="D1526" s="48" t="n"/>
      <c r="E1526" s="48" t="n"/>
      <c r="F1526" s="48" t="n"/>
      <c r="G1526" s="48" t="n"/>
      <c r="H1526" s="48" t="n"/>
      <c r="I1526" s="49" t="n"/>
      <c r="J1526" s="50" t="n"/>
      <c r="K1526" s="48" t="n"/>
      <c r="L1526" s="51">
        <f>IF(A1526="","",DATE(YEAR(A1526),MONTH(A1526),1))</f>
        <v/>
      </c>
      <c r="M1526" s="52">
        <f>IF(OR(A1526="",NOT(ISNUMBER(I1526))),"",IF(G1526=Lists!$B$5,I1526/2,IF(G1526=Lists!$B$6,I1526,0)))</f>
        <v/>
      </c>
      <c r="N1526" s="52">
        <f>IF(OR(A1526="",NOT(ISNUMBER(I1526))),"",IF(G1526=Lists!$B$5,I1526/2,IF(G1526=Lists!$B$7,I1526,0)))</f>
        <v/>
      </c>
      <c r="O1526" s="53">
        <f>IF(COUNTA(A1526:K1526)=0,"",IF(OR(A1526="",B1526="",C1526="",D1526="",E1526="",F1526="",G1526="",NOT(ISNUMBER(I1526))),"Incomplete",IF(COUNTIF(Lists!$H$4:$AA$4,C1526)=0,"Check category",IF(COUNTIF(INDEX(Lists!$H$6:$AA$45,0,MATCH(C1526,Lists!$H$4:$AA$4,0)),D1526)=0,"Check sub-category","OK"))))</f>
        <v/>
      </c>
      <c r="P1526">
        <f>IF(ISNUMBER(I1526),I1526+ROW()/10000000,"")</f>
        <v/>
      </c>
      <c r="Q1526">
        <f>IF(AND(ISNUMBER(P1526),ISNUMBER(A1526)),IF(AND(A1526&gt;=Dashboard!$Q$3,A1526&lt;=Dashboard!$Q$4,OR(J1526&lt;&gt;"Yes",Dashboard!$Q$15="Yes")),P1526,""),"")</f>
        <v/>
      </c>
    </row>
    <row r="1527">
      <c r="A1527" s="47" t="n"/>
      <c r="B1527" s="48" t="n"/>
      <c r="C1527" s="48" t="n"/>
      <c r="D1527" s="48" t="n"/>
      <c r="E1527" s="48" t="n"/>
      <c r="F1527" s="48" t="n"/>
      <c r="G1527" s="48" t="n"/>
      <c r="H1527" s="48" t="n"/>
      <c r="I1527" s="49" t="n"/>
      <c r="J1527" s="50" t="n"/>
      <c r="K1527" s="48" t="n"/>
      <c r="L1527" s="51">
        <f>IF(A1527="","",DATE(YEAR(A1527),MONTH(A1527),1))</f>
        <v/>
      </c>
      <c r="M1527" s="52">
        <f>IF(OR(A1527="",NOT(ISNUMBER(I1527))),"",IF(G1527=Lists!$B$5,I1527/2,IF(G1527=Lists!$B$6,I1527,0)))</f>
        <v/>
      </c>
      <c r="N1527" s="52">
        <f>IF(OR(A1527="",NOT(ISNUMBER(I1527))),"",IF(G1527=Lists!$B$5,I1527/2,IF(G1527=Lists!$B$7,I1527,0)))</f>
        <v/>
      </c>
      <c r="O1527" s="53">
        <f>IF(COUNTA(A1527:K1527)=0,"",IF(OR(A1527="",B1527="",C1527="",D1527="",E1527="",F1527="",G1527="",NOT(ISNUMBER(I1527))),"Incomplete",IF(COUNTIF(Lists!$H$4:$AA$4,C1527)=0,"Check category",IF(COUNTIF(INDEX(Lists!$H$6:$AA$45,0,MATCH(C1527,Lists!$H$4:$AA$4,0)),D1527)=0,"Check sub-category","OK"))))</f>
        <v/>
      </c>
      <c r="P1527">
        <f>IF(ISNUMBER(I1527),I1527+ROW()/10000000,"")</f>
        <v/>
      </c>
      <c r="Q1527">
        <f>IF(AND(ISNUMBER(P1527),ISNUMBER(A1527)),IF(AND(A1527&gt;=Dashboard!$Q$3,A1527&lt;=Dashboard!$Q$4,OR(J1527&lt;&gt;"Yes",Dashboard!$Q$15="Yes")),P1527,""),"")</f>
        <v/>
      </c>
    </row>
    <row r="1528">
      <c r="A1528" s="47" t="n"/>
      <c r="B1528" s="48" t="n"/>
      <c r="C1528" s="48" t="n"/>
      <c r="D1528" s="48" t="n"/>
      <c r="E1528" s="48" t="n"/>
      <c r="F1528" s="48" t="n"/>
      <c r="G1528" s="48" t="n"/>
      <c r="H1528" s="48" t="n"/>
      <c r="I1528" s="49" t="n"/>
      <c r="J1528" s="50" t="n"/>
      <c r="K1528" s="48" t="n"/>
      <c r="L1528" s="51">
        <f>IF(A1528="","",DATE(YEAR(A1528),MONTH(A1528),1))</f>
        <v/>
      </c>
      <c r="M1528" s="52">
        <f>IF(OR(A1528="",NOT(ISNUMBER(I1528))),"",IF(G1528=Lists!$B$5,I1528/2,IF(G1528=Lists!$B$6,I1528,0)))</f>
        <v/>
      </c>
      <c r="N1528" s="52">
        <f>IF(OR(A1528="",NOT(ISNUMBER(I1528))),"",IF(G1528=Lists!$B$5,I1528/2,IF(G1528=Lists!$B$7,I1528,0)))</f>
        <v/>
      </c>
      <c r="O1528" s="53">
        <f>IF(COUNTA(A1528:K1528)=0,"",IF(OR(A1528="",B1528="",C1528="",D1528="",E1528="",F1528="",G1528="",NOT(ISNUMBER(I1528))),"Incomplete",IF(COUNTIF(Lists!$H$4:$AA$4,C1528)=0,"Check category",IF(COUNTIF(INDEX(Lists!$H$6:$AA$45,0,MATCH(C1528,Lists!$H$4:$AA$4,0)),D1528)=0,"Check sub-category","OK"))))</f>
        <v/>
      </c>
      <c r="P1528">
        <f>IF(ISNUMBER(I1528),I1528+ROW()/10000000,"")</f>
        <v/>
      </c>
      <c r="Q1528">
        <f>IF(AND(ISNUMBER(P1528),ISNUMBER(A1528)),IF(AND(A1528&gt;=Dashboard!$Q$3,A1528&lt;=Dashboard!$Q$4,OR(J1528&lt;&gt;"Yes",Dashboard!$Q$15="Yes")),P1528,""),"")</f>
        <v/>
      </c>
    </row>
    <row r="1529">
      <c r="A1529" s="47" t="n"/>
      <c r="B1529" s="48" t="n"/>
      <c r="C1529" s="48" t="n"/>
      <c r="D1529" s="48" t="n"/>
      <c r="E1529" s="48" t="n"/>
      <c r="F1529" s="48" t="n"/>
      <c r="G1529" s="48" t="n"/>
      <c r="H1529" s="48" t="n"/>
      <c r="I1529" s="49" t="n"/>
      <c r="J1529" s="50" t="n"/>
      <c r="K1529" s="48" t="n"/>
      <c r="L1529" s="51">
        <f>IF(A1529="","",DATE(YEAR(A1529),MONTH(A1529),1))</f>
        <v/>
      </c>
      <c r="M1529" s="52">
        <f>IF(OR(A1529="",NOT(ISNUMBER(I1529))),"",IF(G1529=Lists!$B$5,I1529/2,IF(G1529=Lists!$B$6,I1529,0)))</f>
        <v/>
      </c>
      <c r="N1529" s="52">
        <f>IF(OR(A1529="",NOT(ISNUMBER(I1529))),"",IF(G1529=Lists!$B$5,I1529/2,IF(G1529=Lists!$B$7,I1529,0)))</f>
        <v/>
      </c>
      <c r="O1529" s="53">
        <f>IF(COUNTA(A1529:K1529)=0,"",IF(OR(A1529="",B1529="",C1529="",D1529="",E1529="",F1529="",G1529="",NOT(ISNUMBER(I1529))),"Incomplete",IF(COUNTIF(Lists!$H$4:$AA$4,C1529)=0,"Check category",IF(COUNTIF(INDEX(Lists!$H$6:$AA$45,0,MATCH(C1529,Lists!$H$4:$AA$4,0)),D1529)=0,"Check sub-category","OK"))))</f>
        <v/>
      </c>
      <c r="P1529">
        <f>IF(ISNUMBER(I1529),I1529+ROW()/10000000,"")</f>
        <v/>
      </c>
      <c r="Q1529">
        <f>IF(AND(ISNUMBER(P1529),ISNUMBER(A1529)),IF(AND(A1529&gt;=Dashboard!$Q$3,A1529&lt;=Dashboard!$Q$4,OR(J1529&lt;&gt;"Yes",Dashboard!$Q$15="Yes")),P1529,""),"")</f>
        <v/>
      </c>
    </row>
    <row r="1530">
      <c r="A1530" s="47" t="n"/>
      <c r="B1530" s="48" t="n"/>
      <c r="C1530" s="48" t="n"/>
      <c r="D1530" s="48" t="n"/>
      <c r="E1530" s="48" t="n"/>
      <c r="F1530" s="48" t="n"/>
      <c r="G1530" s="48" t="n"/>
      <c r="H1530" s="48" t="n"/>
      <c r="I1530" s="49" t="n"/>
      <c r="J1530" s="50" t="n"/>
      <c r="K1530" s="48" t="n"/>
      <c r="L1530" s="51">
        <f>IF(A1530="","",DATE(YEAR(A1530),MONTH(A1530),1))</f>
        <v/>
      </c>
      <c r="M1530" s="52">
        <f>IF(OR(A1530="",NOT(ISNUMBER(I1530))),"",IF(G1530=Lists!$B$5,I1530/2,IF(G1530=Lists!$B$6,I1530,0)))</f>
        <v/>
      </c>
      <c r="N1530" s="52">
        <f>IF(OR(A1530="",NOT(ISNUMBER(I1530))),"",IF(G1530=Lists!$B$5,I1530/2,IF(G1530=Lists!$B$7,I1530,0)))</f>
        <v/>
      </c>
      <c r="O1530" s="53">
        <f>IF(COUNTA(A1530:K1530)=0,"",IF(OR(A1530="",B1530="",C1530="",D1530="",E1530="",F1530="",G1530="",NOT(ISNUMBER(I1530))),"Incomplete",IF(COUNTIF(Lists!$H$4:$AA$4,C1530)=0,"Check category",IF(COUNTIF(INDEX(Lists!$H$6:$AA$45,0,MATCH(C1530,Lists!$H$4:$AA$4,0)),D1530)=0,"Check sub-category","OK"))))</f>
        <v/>
      </c>
      <c r="P1530">
        <f>IF(ISNUMBER(I1530),I1530+ROW()/10000000,"")</f>
        <v/>
      </c>
      <c r="Q1530">
        <f>IF(AND(ISNUMBER(P1530),ISNUMBER(A1530)),IF(AND(A1530&gt;=Dashboard!$Q$3,A1530&lt;=Dashboard!$Q$4,OR(J1530&lt;&gt;"Yes",Dashboard!$Q$15="Yes")),P1530,""),"")</f>
        <v/>
      </c>
    </row>
    <row r="1531">
      <c r="A1531" s="47" t="n"/>
      <c r="B1531" s="48" t="n"/>
      <c r="C1531" s="48" t="n"/>
      <c r="D1531" s="48" t="n"/>
      <c r="E1531" s="48" t="n"/>
      <c r="F1531" s="48" t="n"/>
      <c r="G1531" s="48" t="n"/>
      <c r="H1531" s="48" t="n"/>
      <c r="I1531" s="49" t="n"/>
      <c r="J1531" s="50" t="n"/>
      <c r="K1531" s="48" t="n"/>
      <c r="L1531" s="51">
        <f>IF(A1531="","",DATE(YEAR(A1531),MONTH(A1531),1))</f>
        <v/>
      </c>
      <c r="M1531" s="52">
        <f>IF(OR(A1531="",NOT(ISNUMBER(I1531))),"",IF(G1531=Lists!$B$5,I1531/2,IF(G1531=Lists!$B$6,I1531,0)))</f>
        <v/>
      </c>
      <c r="N1531" s="52">
        <f>IF(OR(A1531="",NOT(ISNUMBER(I1531))),"",IF(G1531=Lists!$B$5,I1531/2,IF(G1531=Lists!$B$7,I1531,0)))</f>
        <v/>
      </c>
      <c r="O1531" s="53">
        <f>IF(COUNTA(A1531:K1531)=0,"",IF(OR(A1531="",B1531="",C1531="",D1531="",E1531="",F1531="",G1531="",NOT(ISNUMBER(I1531))),"Incomplete",IF(COUNTIF(Lists!$H$4:$AA$4,C1531)=0,"Check category",IF(COUNTIF(INDEX(Lists!$H$6:$AA$45,0,MATCH(C1531,Lists!$H$4:$AA$4,0)),D1531)=0,"Check sub-category","OK"))))</f>
        <v/>
      </c>
      <c r="P1531">
        <f>IF(ISNUMBER(I1531),I1531+ROW()/10000000,"")</f>
        <v/>
      </c>
      <c r="Q1531">
        <f>IF(AND(ISNUMBER(P1531),ISNUMBER(A1531)),IF(AND(A1531&gt;=Dashboard!$Q$3,A1531&lt;=Dashboard!$Q$4,OR(J1531&lt;&gt;"Yes",Dashboard!$Q$15="Yes")),P1531,""),"")</f>
        <v/>
      </c>
    </row>
    <row r="1532">
      <c r="A1532" s="47" t="n"/>
      <c r="B1532" s="48" t="n"/>
      <c r="C1532" s="48" t="n"/>
      <c r="D1532" s="48" t="n"/>
      <c r="E1532" s="48" t="n"/>
      <c r="F1532" s="48" t="n"/>
      <c r="G1532" s="48" t="n"/>
      <c r="H1532" s="48" t="n"/>
      <c r="I1532" s="49" t="n"/>
      <c r="J1532" s="50" t="n"/>
      <c r="K1532" s="48" t="n"/>
      <c r="L1532" s="51">
        <f>IF(A1532="","",DATE(YEAR(A1532),MONTH(A1532),1))</f>
        <v/>
      </c>
      <c r="M1532" s="52">
        <f>IF(OR(A1532="",NOT(ISNUMBER(I1532))),"",IF(G1532=Lists!$B$5,I1532/2,IF(G1532=Lists!$B$6,I1532,0)))</f>
        <v/>
      </c>
      <c r="N1532" s="52">
        <f>IF(OR(A1532="",NOT(ISNUMBER(I1532))),"",IF(G1532=Lists!$B$5,I1532/2,IF(G1532=Lists!$B$7,I1532,0)))</f>
        <v/>
      </c>
      <c r="O1532" s="53">
        <f>IF(COUNTA(A1532:K1532)=0,"",IF(OR(A1532="",B1532="",C1532="",D1532="",E1532="",F1532="",G1532="",NOT(ISNUMBER(I1532))),"Incomplete",IF(COUNTIF(Lists!$H$4:$AA$4,C1532)=0,"Check category",IF(COUNTIF(INDEX(Lists!$H$6:$AA$45,0,MATCH(C1532,Lists!$H$4:$AA$4,0)),D1532)=0,"Check sub-category","OK"))))</f>
        <v/>
      </c>
      <c r="P1532">
        <f>IF(ISNUMBER(I1532),I1532+ROW()/10000000,"")</f>
        <v/>
      </c>
      <c r="Q1532">
        <f>IF(AND(ISNUMBER(P1532),ISNUMBER(A1532)),IF(AND(A1532&gt;=Dashboard!$Q$3,A1532&lt;=Dashboard!$Q$4,OR(J1532&lt;&gt;"Yes",Dashboard!$Q$15="Yes")),P1532,""),"")</f>
        <v/>
      </c>
    </row>
    <row r="1533">
      <c r="A1533" s="47" t="n"/>
      <c r="B1533" s="48" t="n"/>
      <c r="C1533" s="48" t="n"/>
      <c r="D1533" s="48" t="n"/>
      <c r="E1533" s="48" t="n"/>
      <c r="F1533" s="48" t="n"/>
      <c r="G1533" s="48" t="n"/>
      <c r="H1533" s="48" t="n"/>
      <c r="I1533" s="49" t="n"/>
      <c r="J1533" s="50" t="n"/>
      <c r="K1533" s="48" t="n"/>
      <c r="L1533" s="51">
        <f>IF(A1533="","",DATE(YEAR(A1533),MONTH(A1533),1))</f>
        <v/>
      </c>
      <c r="M1533" s="52">
        <f>IF(OR(A1533="",NOT(ISNUMBER(I1533))),"",IF(G1533=Lists!$B$5,I1533/2,IF(G1533=Lists!$B$6,I1533,0)))</f>
        <v/>
      </c>
      <c r="N1533" s="52">
        <f>IF(OR(A1533="",NOT(ISNUMBER(I1533))),"",IF(G1533=Lists!$B$5,I1533/2,IF(G1533=Lists!$B$7,I1533,0)))</f>
        <v/>
      </c>
      <c r="O1533" s="53">
        <f>IF(COUNTA(A1533:K1533)=0,"",IF(OR(A1533="",B1533="",C1533="",D1533="",E1533="",F1533="",G1533="",NOT(ISNUMBER(I1533))),"Incomplete",IF(COUNTIF(Lists!$H$4:$AA$4,C1533)=0,"Check category",IF(COUNTIF(INDEX(Lists!$H$6:$AA$45,0,MATCH(C1533,Lists!$H$4:$AA$4,0)),D1533)=0,"Check sub-category","OK"))))</f>
        <v/>
      </c>
      <c r="P1533">
        <f>IF(ISNUMBER(I1533),I1533+ROW()/10000000,"")</f>
        <v/>
      </c>
      <c r="Q1533">
        <f>IF(AND(ISNUMBER(P1533),ISNUMBER(A1533)),IF(AND(A1533&gt;=Dashboard!$Q$3,A1533&lt;=Dashboard!$Q$4,OR(J1533&lt;&gt;"Yes",Dashboard!$Q$15="Yes")),P1533,""),"")</f>
        <v/>
      </c>
    </row>
    <row r="1534">
      <c r="A1534" s="47" t="n"/>
      <c r="B1534" s="48" t="n"/>
      <c r="C1534" s="48" t="n"/>
      <c r="D1534" s="48" t="n"/>
      <c r="E1534" s="48" t="n"/>
      <c r="F1534" s="48" t="n"/>
      <c r="G1534" s="48" t="n"/>
      <c r="H1534" s="48" t="n"/>
      <c r="I1534" s="49" t="n"/>
      <c r="J1534" s="50" t="n"/>
      <c r="K1534" s="48" t="n"/>
      <c r="L1534" s="51">
        <f>IF(A1534="","",DATE(YEAR(A1534),MONTH(A1534),1))</f>
        <v/>
      </c>
      <c r="M1534" s="52">
        <f>IF(OR(A1534="",NOT(ISNUMBER(I1534))),"",IF(G1534=Lists!$B$5,I1534/2,IF(G1534=Lists!$B$6,I1534,0)))</f>
        <v/>
      </c>
      <c r="N1534" s="52">
        <f>IF(OR(A1534="",NOT(ISNUMBER(I1534))),"",IF(G1534=Lists!$B$5,I1534/2,IF(G1534=Lists!$B$7,I1534,0)))</f>
        <v/>
      </c>
      <c r="O1534" s="53">
        <f>IF(COUNTA(A1534:K1534)=0,"",IF(OR(A1534="",B1534="",C1534="",D1534="",E1534="",F1534="",G1534="",NOT(ISNUMBER(I1534))),"Incomplete",IF(COUNTIF(Lists!$H$4:$AA$4,C1534)=0,"Check category",IF(COUNTIF(INDEX(Lists!$H$6:$AA$45,0,MATCH(C1534,Lists!$H$4:$AA$4,0)),D1534)=0,"Check sub-category","OK"))))</f>
        <v/>
      </c>
      <c r="P1534">
        <f>IF(ISNUMBER(I1534),I1534+ROW()/10000000,"")</f>
        <v/>
      </c>
      <c r="Q1534">
        <f>IF(AND(ISNUMBER(P1534),ISNUMBER(A1534)),IF(AND(A1534&gt;=Dashboard!$Q$3,A1534&lt;=Dashboard!$Q$4,OR(J1534&lt;&gt;"Yes",Dashboard!$Q$15="Yes")),P1534,""),"")</f>
        <v/>
      </c>
    </row>
    <row r="1535">
      <c r="A1535" s="47" t="n"/>
      <c r="B1535" s="48" t="n"/>
      <c r="C1535" s="48" t="n"/>
      <c r="D1535" s="48" t="n"/>
      <c r="E1535" s="48" t="n"/>
      <c r="F1535" s="48" t="n"/>
      <c r="G1535" s="48" t="n"/>
      <c r="H1535" s="48" t="n"/>
      <c r="I1535" s="49" t="n"/>
      <c r="J1535" s="50" t="n"/>
      <c r="K1535" s="48" t="n"/>
      <c r="L1535" s="51">
        <f>IF(A1535="","",DATE(YEAR(A1535),MONTH(A1535),1))</f>
        <v/>
      </c>
      <c r="M1535" s="52">
        <f>IF(OR(A1535="",NOT(ISNUMBER(I1535))),"",IF(G1535=Lists!$B$5,I1535/2,IF(G1535=Lists!$B$6,I1535,0)))</f>
        <v/>
      </c>
      <c r="N1535" s="52">
        <f>IF(OR(A1535="",NOT(ISNUMBER(I1535))),"",IF(G1535=Lists!$B$5,I1535/2,IF(G1535=Lists!$B$7,I1535,0)))</f>
        <v/>
      </c>
      <c r="O1535" s="53">
        <f>IF(COUNTA(A1535:K1535)=0,"",IF(OR(A1535="",B1535="",C1535="",D1535="",E1535="",F1535="",G1535="",NOT(ISNUMBER(I1535))),"Incomplete",IF(COUNTIF(Lists!$H$4:$AA$4,C1535)=0,"Check category",IF(COUNTIF(INDEX(Lists!$H$6:$AA$45,0,MATCH(C1535,Lists!$H$4:$AA$4,0)),D1535)=0,"Check sub-category","OK"))))</f>
        <v/>
      </c>
      <c r="P1535">
        <f>IF(ISNUMBER(I1535),I1535+ROW()/10000000,"")</f>
        <v/>
      </c>
      <c r="Q1535">
        <f>IF(AND(ISNUMBER(P1535),ISNUMBER(A1535)),IF(AND(A1535&gt;=Dashboard!$Q$3,A1535&lt;=Dashboard!$Q$4,OR(J1535&lt;&gt;"Yes",Dashboard!$Q$15="Yes")),P1535,""),"")</f>
        <v/>
      </c>
    </row>
    <row r="1536">
      <c r="A1536" s="47" t="n"/>
      <c r="B1536" s="48" t="n"/>
      <c r="C1536" s="48" t="n"/>
      <c r="D1536" s="48" t="n"/>
      <c r="E1536" s="48" t="n"/>
      <c r="F1536" s="48" t="n"/>
      <c r="G1536" s="48" t="n"/>
      <c r="H1536" s="48" t="n"/>
      <c r="I1536" s="49" t="n"/>
      <c r="J1536" s="50" t="n"/>
      <c r="K1536" s="48" t="n"/>
      <c r="L1536" s="51">
        <f>IF(A1536="","",DATE(YEAR(A1536),MONTH(A1536),1))</f>
        <v/>
      </c>
      <c r="M1536" s="52">
        <f>IF(OR(A1536="",NOT(ISNUMBER(I1536))),"",IF(G1536=Lists!$B$5,I1536/2,IF(G1536=Lists!$B$6,I1536,0)))</f>
        <v/>
      </c>
      <c r="N1536" s="52">
        <f>IF(OR(A1536="",NOT(ISNUMBER(I1536))),"",IF(G1536=Lists!$B$5,I1536/2,IF(G1536=Lists!$B$7,I1536,0)))</f>
        <v/>
      </c>
      <c r="O1536" s="53">
        <f>IF(COUNTA(A1536:K1536)=0,"",IF(OR(A1536="",B1536="",C1536="",D1536="",E1536="",F1536="",G1536="",NOT(ISNUMBER(I1536))),"Incomplete",IF(COUNTIF(Lists!$H$4:$AA$4,C1536)=0,"Check category",IF(COUNTIF(INDEX(Lists!$H$6:$AA$45,0,MATCH(C1536,Lists!$H$4:$AA$4,0)),D1536)=0,"Check sub-category","OK"))))</f>
        <v/>
      </c>
      <c r="P1536">
        <f>IF(ISNUMBER(I1536),I1536+ROW()/10000000,"")</f>
        <v/>
      </c>
      <c r="Q1536">
        <f>IF(AND(ISNUMBER(P1536),ISNUMBER(A1536)),IF(AND(A1536&gt;=Dashboard!$Q$3,A1536&lt;=Dashboard!$Q$4,OR(J1536&lt;&gt;"Yes",Dashboard!$Q$15="Yes")),P1536,""),"")</f>
        <v/>
      </c>
    </row>
    <row r="1537">
      <c r="A1537" s="47" t="n"/>
      <c r="B1537" s="48" t="n"/>
      <c r="C1537" s="48" t="n"/>
      <c r="D1537" s="48" t="n"/>
      <c r="E1537" s="48" t="n"/>
      <c r="F1537" s="48" t="n"/>
      <c r="G1537" s="48" t="n"/>
      <c r="H1537" s="48" t="n"/>
      <c r="I1537" s="49" t="n"/>
      <c r="J1537" s="50" t="n"/>
      <c r="K1537" s="48" t="n"/>
      <c r="L1537" s="51">
        <f>IF(A1537="","",DATE(YEAR(A1537),MONTH(A1537),1))</f>
        <v/>
      </c>
      <c r="M1537" s="52">
        <f>IF(OR(A1537="",NOT(ISNUMBER(I1537))),"",IF(G1537=Lists!$B$5,I1537/2,IF(G1537=Lists!$B$6,I1537,0)))</f>
        <v/>
      </c>
      <c r="N1537" s="52">
        <f>IF(OR(A1537="",NOT(ISNUMBER(I1537))),"",IF(G1537=Lists!$B$5,I1537/2,IF(G1537=Lists!$B$7,I1537,0)))</f>
        <v/>
      </c>
      <c r="O1537" s="53">
        <f>IF(COUNTA(A1537:K1537)=0,"",IF(OR(A1537="",B1537="",C1537="",D1537="",E1537="",F1537="",G1537="",NOT(ISNUMBER(I1537))),"Incomplete",IF(COUNTIF(Lists!$H$4:$AA$4,C1537)=0,"Check category",IF(COUNTIF(INDEX(Lists!$H$6:$AA$45,0,MATCH(C1537,Lists!$H$4:$AA$4,0)),D1537)=0,"Check sub-category","OK"))))</f>
        <v/>
      </c>
      <c r="P1537">
        <f>IF(ISNUMBER(I1537),I1537+ROW()/10000000,"")</f>
        <v/>
      </c>
      <c r="Q1537">
        <f>IF(AND(ISNUMBER(P1537),ISNUMBER(A1537)),IF(AND(A1537&gt;=Dashboard!$Q$3,A1537&lt;=Dashboard!$Q$4,OR(J1537&lt;&gt;"Yes",Dashboard!$Q$15="Yes")),P1537,""),"")</f>
        <v/>
      </c>
    </row>
    <row r="1538">
      <c r="A1538" s="47" t="n"/>
      <c r="B1538" s="48" t="n"/>
      <c r="C1538" s="48" t="n"/>
      <c r="D1538" s="48" t="n"/>
      <c r="E1538" s="48" t="n"/>
      <c r="F1538" s="48" t="n"/>
      <c r="G1538" s="48" t="n"/>
      <c r="H1538" s="48" t="n"/>
      <c r="I1538" s="49" t="n"/>
      <c r="J1538" s="50" t="n"/>
      <c r="K1538" s="48" t="n"/>
      <c r="L1538" s="51">
        <f>IF(A1538="","",DATE(YEAR(A1538),MONTH(A1538),1))</f>
        <v/>
      </c>
      <c r="M1538" s="52">
        <f>IF(OR(A1538="",NOT(ISNUMBER(I1538))),"",IF(G1538=Lists!$B$5,I1538/2,IF(G1538=Lists!$B$6,I1538,0)))</f>
        <v/>
      </c>
      <c r="N1538" s="52">
        <f>IF(OR(A1538="",NOT(ISNUMBER(I1538))),"",IF(G1538=Lists!$B$5,I1538/2,IF(G1538=Lists!$B$7,I1538,0)))</f>
        <v/>
      </c>
      <c r="O1538" s="53">
        <f>IF(COUNTA(A1538:K1538)=0,"",IF(OR(A1538="",B1538="",C1538="",D1538="",E1538="",F1538="",G1538="",NOT(ISNUMBER(I1538))),"Incomplete",IF(COUNTIF(Lists!$H$4:$AA$4,C1538)=0,"Check category",IF(COUNTIF(INDEX(Lists!$H$6:$AA$45,0,MATCH(C1538,Lists!$H$4:$AA$4,0)),D1538)=0,"Check sub-category","OK"))))</f>
        <v/>
      </c>
      <c r="P1538">
        <f>IF(ISNUMBER(I1538),I1538+ROW()/10000000,"")</f>
        <v/>
      </c>
      <c r="Q1538">
        <f>IF(AND(ISNUMBER(P1538),ISNUMBER(A1538)),IF(AND(A1538&gt;=Dashboard!$Q$3,A1538&lt;=Dashboard!$Q$4,OR(J1538&lt;&gt;"Yes",Dashboard!$Q$15="Yes")),P1538,""),"")</f>
        <v/>
      </c>
    </row>
    <row r="1539">
      <c r="A1539" s="47" t="n"/>
      <c r="B1539" s="48" t="n"/>
      <c r="C1539" s="48" t="n"/>
      <c r="D1539" s="48" t="n"/>
      <c r="E1539" s="48" t="n"/>
      <c r="F1539" s="48" t="n"/>
      <c r="G1539" s="48" t="n"/>
      <c r="H1539" s="48" t="n"/>
      <c r="I1539" s="49" t="n"/>
      <c r="J1539" s="50" t="n"/>
      <c r="K1539" s="48" t="n"/>
      <c r="L1539" s="51">
        <f>IF(A1539="","",DATE(YEAR(A1539),MONTH(A1539),1))</f>
        <v/>
      </c>
      <c r="M1539" s="52">
        <f>IF(OR(A1539="",NOT(ISNUMBER(I1539))),"",IF(G1539=Lists!$B$5,I1539/2,IF(G1539=Lists!$B$6,I1539,0)))</f>
        <v/>
      </c>
      <c r="N1539" s="52">
        <f>IF(OR(A1539="",NOT(ISNUMBER(I1539))),"",IF(G1539=Lists!$B$5,I1539/2,IF(G1539=Lists!$B$7,I1539,0)))</f>
        <v/>
      </c>
      <c r="O1539" s="53">
        <f>IF(COUNTA(A1539:K1539)=0,"",IF(OR(A1539="",B1539="",C1539="",D1539="",E1539="",F1539="",G1539="",NOT(ISNUMBER(I1539))),"Incomplete",IF(COUNTIF(Lists!$H$4:$AA$4,C1539)=0,"Check category",IF(COUNTIF(INDEX(Lists!$H$6:$AA$45,0,MATCH(C1539,Lists!$H$4:$AA$4,0)),D1539)=0,"Check sub-category","OK"))))</f>
        <v/>
      </c>
      <c r="P1539">
        <f>IF(ISNUMBER(I1539),I1539+ROW()/10000000,"")</f>
        <v/>
      </c>
      <c r="Q1539">
        <f>IF(AND(ISNUMBER(P1539),ISNUMBER(A1539)),IF(AND(A1539&gt;=Dashboard!$Q$3,A1539&lt;=Dashboard!$Q$4,OR(J1539&lt;&gt;"Yes",Dashboard!$Q$15="Yes")),P1539,""),"")</f>
        <v/>
      </c>
    </row>
    <row r="1540">
      <c r="A1540" s="47" t="n"/>
      <c r="B1540" s="48" t="n"/>
      <c r="C1540" s="48" t="n"/>
      <c r="D1540" s="48" t="n"/>
      <c r="E1540" s="48" t="n"/>
      <c r="F1540" s="48" t="n"/>
      <c r="G1540" s="48" t="n"/>
      <c r="H1540" s="48" t="n"/>
      <c r="I1540" s="49" t="n"/>
      <c r="J1540" s="50" t="n"/>
      <c r="K1540" s="48" t="n"/>
      <c r="L1540" s="51">
        <f>IF(A1540="","",DATE(YEAR(A1540),MONTH(A1540),1))</f>
        <v/>
      </c>
      <c r="M1540" s="52">
        <f>IF(OR(A1540="",NOT(ISNUMBER(I1540))),"",IF(G1540=Lists!$B$5,I1540/2,IF(G1540=Lists!$B$6,I1540,0)))</f>
        <v/>
      </c>
      <c r="N1540" s="52">
        <f>IF(OR(A1540="",NOT(ISNUMBER(I1540))),"",IF(G1540=Lists!$B$5,I1540/2,IF(G1540=Lists!$B$7,I1540,0)))</f>
        <v/>
      </c>
      <c r="O1540" s="53">
        <f>IF(COUNTA(A1540:K1540)=0,"",IF(OR(A1540="",B1540="",C1540="",D1540="",E1540="",F1540="",G1540="",NOT(ISNUMBER(I1540))),"Incomplete",IF(COUNTIF(Lists!$H$4:$AA$4,C1540)=0,"Check category",IF(COUNTIF(INDEX(Lists!$H$6:$AA$45,0,MATCH(C1540,Lists!$H$4:$AA$4,0)),D1540)=0,"Check sub-category","OK"))))</f>
        <v/>
      </c>
      <c r="P1540">
        <f>IF(ISNUMBER(I1540),I1540+ROW()/10000000,"")</f>
        <v/>
      </c>
      <c r="Q1540">
        <f>IF(AND(ISNUMBER(P1540),ISNUMBER(A1540)),IF(AND(A1540&gt;=Dashboard!$Q$3,A1540&lt;=Dashboard!$Q$4,OR(J1540&lt;&gt;"Yes",Dashboard!$Q$15="Yes")),P1540,""),"")</f>
        <v/>
      </c>
    </row>
    <row r="1541">
      <c r="A1541" s="47" t="n"/>
      <c r="B1541" s="48" t="n"/>
      <c r="C1541" s="48" t="n"/>
      <c r="D1541" s="48" t="n"/>
      <c r="E1541" s="48" t="n"/>
      <c r="F1541" s="48" t="n"/>
      <c r="G1541" s="48" t="n"/>
      <c r="H1541" s="48" t="n"/>
      <c r="I1541" s="49" t="n"/>
      <c r="J1541" s="50" t="n"/>
      <c r="K1541" s="48" t="n"/>
      <c r="L1541" s="51">
        <f>IF(A1541="","",DATE(YEAR(A1541),MONTH(A1541),1))</f>
        <v/>
      </c>
      <c r="M1541" s="52">
        <f>IF(OR(A1541="",NOT(ISNUMBER(I1541))),"",IF(G1541=Lists!$B$5,I1541/2,IF(G1541=Lists!$B$6,I1541,0)))</f>
        <v/>
      </c>
      <c r="N1541" s="52">
        <f>IF(OR(A1541="",NOT(ISNUMBER(I1541))),"",IF(G1541=Lists!$B$5,I1541/2,IF(G1541=Lists!$B$7,I1541,0)))</f>
        <v/>
      </c>
      <c r="O1541" s="53">
        <f>IF(COUNTA(A1541:K1541)=0,"",IF(OR(A1541="",B1541="",C1541="",D1541="",E1541="",F1541="",G1541="",NOT(ISNUMBER(I1541))),"Incomplete",IF(COUNTIF(Lists!$H$4:$AA$4,C1541)=0,"Check category",IF(COUNTIF(INDEX(Lists!$H$6:$AA$45,0,MATCH(C1541,Lists!$H$4:$AA$4,0)),D1541)=0,"Check sub-category","OK"))))</f>
        <v/>
      </c>
      <c r="P1541">
        <f>IF(ISNUMBER(I1541),I1541+ROW()/10000000,"")</f>
        <v/>
      </c>
      <c r="Q1541">
        <f>IF(AND(ISNUMBER(P1541),ISNUMBER(A1541)),IF(AND(A1541&gt;=Dashboard!$Q$3,A1541&lt;=Dashboard!$Q$4,OR(J1541&lt;&gt;"Yes",Dashboard!$Q$15="Yes")),P1541,""),"")</f>
        <v/>
      </c>
    </row>
    <row r="1542">
      <c r="A1542" s="47" t="n"/>
      <c r="B1542" s="48" t="n"/>
      <c r="C1542" s="48" t="n"/>
      <c r="D1542" s="48" t="n"/>
      <c r="E1542" s="48" t="n"/>
      <c r="F1542" s="48" t="n"/>
      <c r="G1542" s="48" t="n"/>
      <c r="H1542" s="48" t="n"/>
      <c r="I1542" s="49" t="n"/>
      <c r="J1542" s="50" t="n"/>
      <c r="K1542" s="48" t="n"/>
      <c r="L1542" s="51">
        <f>IF(A1542="","",DATE(YEAR(A1542),MONTH(A1542),1))</f>
        <v/>
      </c>
      <c r="M1542" s="52">
        <f>IF(OR(A1542="",NOT(ISNUMBER(I1542))),"",IF(G1542=Lists!$B$5,I1542/2,IF(G1542=Lists!$B$6,I1542,0)))</f>
        <v/>
      </c>
      <c r="N1542" s="52">
        <f>IF(OR(A1542="",NOT(ISNUMBER(I1542))),"",IF(G1542=Lists!$B$5,I1542/2,IF(G1542=Lists!$B$7,I1542,0)))</f>
        <v/>
      </c>
      <c r="O1542" s="53">
        <f>IF(COUNTA(A1542:K1542)=0,"",IF(OR(A1542="",B1542="",C1542="",D1542="",E1542="",F1542="",G1542="",NOT(ISNUMBER(I1542))),"Incomplete",IF(COUNTIF(Lists!$H$4:$AA$4,C1542)=0,"Check category",IF(COUNTIF(INDEX(Lists!$H$6:$AA$45,0,MATCH(C1542,Lists!$H$4:$AA$4,0)),D1542)=0,"Check sub-category","OK"))))</f>
        <v/>
      </c>
      <c r="P1542">
        <f>IF(ISNUMBER(I1542),I1542+ROW()/10000000,"")</f>
        <v/>
      </c>
      <c r="Q1542">
        <f>IF(AND(ISNUMBER(P1542),ISNUMBER(A1542)),IF(AND(A1542&gt;=Dashboard!$Q$3,A1542&lt;=Dashboard!$Q$4,OR(J1542&lt;&gt;"Yes",Dashboard!$Q$15="Yes")),P1542,""),"")</f>
        <v/>
      </c>
    </row>
    <row r="1543">
      <c r="A1543" s="47" t="n"/>
      <c r="B1543" s="48" t="n"/>
      <c r="C1543" s="48" t="n"/>
      <c r="D1543" s="48" t="n"/>
      <c r="E1543" s="48" t="n"/>
      <c r="F1543" s="48" t="n"/>
      <c r="G1543" s="48" t="n"/>
      <c r="H1543" s="48" t="n"/>
      <c r="I1543" s="49" t="n"/>
      <c r="J1543" s="50" t="n"/>
      <c r="K1543" s="48" t="n"/>
      <c r="L1543" s="51">
        <f>IF(A1543="","",DATE(YEAR(A1543),MONTH(A1543),1))</f>
        <v/>
      </c>
      <c r="M1543" s="52">
        <f>IF(OR(A1543="",NOT(ISNUMBER(I1543))),"",IF(G1543=Lists!$B$5,I1543/2,IF(G1543=Lists!$B$6,I1543,0)))</f>
        <v/>
      </c>
      <c r="N1543" s="52">
        <f>IF(OR(A1543="",NOT(ISNUMBER(I1543))),"",IF(G1543=Lists!$B$5,I1543/2,IF(G1543=Lists!$B$7,I1543,0)))</f>
        <v/>
      </c>
      <c r="O1543" s="53">
        <f>IF(COUNTA(A1543:K1543)=0,"",IF(OR(A1543="",B1543="",C1543="",D1543="",E1543="",F1543="",G1543="",NOT(ISNUMBER(I1543))),"Incomplete",IF(COUNTIF(Lists!$H$4:$AA$4,C1543)=0,"Check category",IF(COUNTIF(INDEX(Lists!$H$6:$AA$45,0,MATCH(C1543,Lists!$H$4:$AA$4,0)),D1543)=0,"Check sub-category","OK"))))</f>
        <v/>
      </c>
      <c r="P1543">
        <f>IF(ISNUMBER(I1543),I1543+ROW()/10000000,"")</f>
        <v/>
      </c>
      <c r="Q1543">
        <f>IF(AND(ISNUMBER(P1543),ISNUMBER(A1543)),IF(AND(A1543&gt;=Dashboard!$Q$3,A1543&lt;=Dashboard!$Q$4,OR(J1543&lt;&gt;"Yes",Dashboard!$Q$15="Yes")),P1543,""),"")</f>
        <v/>
      </c>
    </row>
    <row r="1544">
      <c r="A1544" s="47" t="n"/>
      <c r="B1544" s="48" t="n"/>
      <c r="C1544" s="48" t="n"/>
      <c r="D1544" s="48" t="n"/>
      <c r="E1544" s="48" t="n"/>
      <c r="F1544" s="48" t="n"/>
      <c r="G1544" s="48" t="n"/>
      <c r="H1544" s="48" t="n"/>
      <c r="I1544" s="49" t="n"/>
      <c r="J1544" s="50" t="n"/>
      <c r="K1544" s="48" t="n"/>
      <c r="L1544" s="51">
        <f>IF(A1544="","",DATE(YEAR(A1544),MONTH(A1544),1))</f>
        <v/>
      </c>
      <c r="M1544" s="52">
        <f>IF(OR(A1544="",NOT(ISNUMBER(I1544))),"",IF(G1544=Lists!$B$5,I1544/2,IF(G1544=Lists!$B$6,I1544,0)))</f>
        <v/>
      </c>
      <c r="N1544" s="52">
        <f>IF(OR(A1544="",NOT(ISNUMBER(I1544))),"",IF(G1544=Lists!$B$5,I1544/2,IF(G1544=Lists!$B$7,I1544,0)))</f>
        <v/>
      </c>
      <c r="O1544" s="53">
        <f>IF(COUNTA(A1544:K1544)=0,"",IF(OR(A1544="",B1544="",C1544="",D1544="",E1544="",F1544="",G1544="",NOT(ISNUMBER(I1544))),"Incomplete",IF(COUNTIF(Lists!$H$4:$AA$4,C1544)=0,"Check category",IF(COUNTIF(INDEX(Lists!$H$6:$AA$45,0,MATCH(C1544,Lists!$H$4:$AA$4,0)),D1544)=0,"Check sub-category","OK"))))</f>
        <v/>
      </c>
      <c r="P1544">
        <f>IF(ISNUMBER(I1544),I1544+ROW()/10000000,"")</f>
        <v/>
      </c>
      <c r="Q1544">
        <f>IF(AND(ISNUMBER(P1544),ISNUMBER(A1544)),IF(AND(A1544&gt;=Dashboard!$Q$3,A1544&lt;=Dashboard!$Q$4,OR(J1544&lt;&gt;"Yes",Dashboard!$Q$15="Yes")),P1544,""),"")</f>
        <v/>
      </c>
    </row>
    <row r="1545">
      <c r="A1545" s="47" t="n"/>
      <c r="B1545" s="48" t="n"/>
      <c r="C1545" s="48" t="n"/>
      <c r="D1545" s="48" t="n"/>
      <c r="E1545" s="48" t="n"/>
      <c r="F1545" s="48" t="n"/>
      <c r="G1545" s="48" t="n"/>
      <c r="H1545" s="48" t="n"/>
      <c r="I1545" s="49" t="n"/>
      <c r="J1545" s="50" t="n"/>
      <c r="K1545" s="48" t="n"/>
      <c r="L1545" s="51">
        <f>IF(A1545="","",DATE(YEAR(A1545),MONTH(A1545),1))</f>
        <v/>
      </c>
      <c r="M1545" s="52">
        <f>IF(OR(A1545="",NOT(ISNUMBER(I1545))),"",IF(G1545=Lists!$B$5,I1545/2,IF(G1545=Lists!$B$6,I1545,0)))</f>
        <v/>
      </c>
      <c r="N1545" s="52">
        <f>IF(OR(A1545="",NOT(ISNUMBER(I1545))),"",IF(G1545=Lists!$B$5,I1545/2,IF(G1545=Lists!$B$7,I1545,0)))</f>
        <v/>
      </c>
      <c r="O1545" s="53">
        <f>IF(COUNTA(A1545:K1545)=0,"",IF(OR(A1545="",B1545="",C1545="",D1545="",E1545="",F1545="",G1545="",NOT(ISNUMBER(I1545))),"Incomplete",IF(COUNTIF(Lists!$H$4:$AA$4,C1545)=0,"Check category",IF(COUNTIF(INDEX(Lists!$H$6:$AA$45,0,MATCH(C1545,Lists!$H$4:$AA$4,0)),D1545)=0,"Check sub-category","OK"))))</f>
        <v/>
      </c>
      <c r="P1545">
        <f>IF(ISNUMBER(I1545),I1545+ROW()/10000000,"")</f>
        <v/>
      </c>
      <c r="Q1545">
        <f>IF(AND(ISNUMBER(P1545),ISNUMBER(A1545)),IF(AND(A1545&gt;=Dashboard!$Q$3,A1545&lt;=Dashboard!$Q$4,OR(J1545&lt;&gt;"Yes",Dashboard!$Q$15="Yes")),P1545,""),"")</f>
        <v/>
      </c>
    </row>
    <row r="1546">
      <c r="A1546" s="47" t="n"/>
      <c r="B1546" s="48" t="n"/>
      <c r="C1546" s="48" t="n"/>
      <c r="D1546" s="48" t="n"/>
      <c r="E1546" s="48" t="n"/>
      <c r="F1546" s="48" t="n"/>
      <c r="G1546" s="48" t="n"/>
      <c r="H1546" s="48" t="n"/>
      <c r="I1546" s="49" t="n"/>
      <c r="J1546" s="50" t="n"/>
      <c r="K1546" s="48" t="n"/>
      <c r="L1546" s="51">
        <f>IF(A1546="","",DATE(YEAR(A1546),MONTH(A1546),1))</f>
        <v/>
      </c>
      <c r="M1546" s="52">
        <f>IF(OR(A1546="",NOT(ISNUMBER(I1546))),"",IF(G1546=Lists!$B$5,I1546/2,IF(G1546=Lists!$B$6,I1546,0)))</f>
        <v/>
      </c>
      <c r="N1546" s="52">
        <f>IF(OR(A1546="",NOT(ISNUMBER(I1546))),"",IF(G1546=Lists!$B$5,I1546/2,IF(G1546=Lists!$B$7,I1546,0)))</f>
        <v/>
      </c>
      <c r="O1546" s="53">
        <f>IF(COUNTA(A1546:K1546)=0,"",IF(OR(A1546="",B1546="",C1546="",D1546="",E1546="",F1546="",G1546="",NOT(ISNUMBER(I1546))),"Incomplete",IF(COUNTIF(Lists!$H$4:$AA$4,C1546)=0,"Check category",IF(COUNTIF(INDEX(Lists!$H$6:$AA$45,0,MATCH(C1546,Lists!$H$4:$AA$4,0)),D1546)=0,"Check sub-category","OK"))))</f>
        <v/>
      </c>
      <c r="P1546">
        <f>IF(ISNUMBER(I1546),I1546+ROW()/10000000,"")</f>
        <v/>
      </c>
      <c r="Q1546">
        <f>IF(AND(ISNUMBER(P1546),ISNUMBER(A1546)),IF(AND(A1546&gt;=Dashboard!$Q$3,A1546&lt;=Dashboard!$Q$4,OR(J1546&lt;&gt;"Yes",Dashboard!$Q$15="Yes")),P1546,""),"")</f>
        <v/>
      </c>
    </row>
    <row r="1547">
      <c r="A1547" s="47" t="n"/>
      <c r="B1547" s="48" t="n"/>
      <c r="C1547" s="48" t="n"/>
      <c r="D1547" s="48" t="n"/>
      <c r="E1547" s="48" t="n"/>
      <c r="F1547" s="48" t="n"/>
      <c r="G1547" s="48" t="n"/>
      <c r="H1547" s="48" t="n"/>
      <c r="I1547" s="49" t="n"/>
      <c r="J1547" s="50" t="n"/>
      <c r="K1547" s="48" t="n"/>
      <c r="L1547" s="51">
        <f>IF(A1547="","",DATE(YEAR(A1547),MONTH(A1547),1))</f>
        <v/>
      </c>
      <c r="M1547" s="52">
        <f>IF(OR(A1547="",NOT(ISNUMBER(I1547))),"",IF(G1547=Lists!$B$5,I1547/2,IF(G1547=Lists!$B$6,I1547,0)))</f>
        <v/>
      </c>
      <c r="N1547" s="52">
        <f>IF(OR(A1547="",NOT(ISNUMBER(I1547))),"",IF(G1547=Lists!$B$5,I1547/2,IF(G1547=Lists!$B$7,I1547,0)))</f>
        <v/>
      </c>
      <c r="O1547" s="53">
        <f>IF(COUNTA(A1547:K1547)=0,"",IF(OR(A1547="",B1547="",C1547="",D1547="",E1547="",F1547="",G1547="",NOT(ISNUMBER(I1547))),"Incomplete",IF(COUNTIF(Lists!$H$4:$AA$4,C1547)=0,"Check category",IF(COUNTIF(INDEX(Lists!$H$6:$AA$45,0,MATCH(C1547,Lists!$H$4:$AA$4,0)),D1547)=0,"Check sub-category","OK"))))</f>
        <v/>
      </c>
      <c r="P1547">
        <f>IF(ISNUMBER(I1547),I1547+ROW()/10000000,"")</f>
        <v/>
      </c>
      <c r="Q1547">
        <f>IF(AND(ISNUMBER(P1547),ISNUMBER(A1547)),IF(AND(A1547&gt;=Dashboard!$Q$3,A1547&lt;=Dashboard!$Q$4,OR(J1547&lt;&gt;"Yes",Dashboard!$Q$15="Yes")),P1547,""),"")</f>
        <v/>
      </c>
    </row>
    <row r="1548">
      <c r="A1548" s="47" t="n"/>
      <c r="B1548" s="48" t="n"/>
      <c r="C1548" s="48" t="n"/>
      <c r="D1548" s="48" t="n"/>
      <c r="E1548" s="48" t="n"/>
      <c r="F1548" s="48" t="n"/>
      <c r="G1548" s="48" t="n"/>
      <c r="H1548" s="48" t="n"/>
      <c r="I1548" s="49" t="n"/>
      <c r="J1548" s="50" t="n"/>
      <c r="K1548" s="48" t="n"/>
      <c r="L1548" s="51">
        <f>IF(A1548="","",DATE(YEAR(A1548),MONTH(A1548),1))</f>
        <v/>
      </c>
      <c r="M1548" s="52">
        <f>IF(OR(A1548="",NOT(ISNUMBER(I1548))),"",IF(G1548=Lists!$B$5,I1548/2,IF(G1548=Lists!$B$6,I1548,0)))</f>
        <v/>
      </c>
      <c r="N1548" s="52">
        <f>IF(OR(A1548="",NOT(ISNUMBER(I1548))),"",IF(G1548=Lists!$B$5,I1548/2,IF(G1548=Lists!$B$7,I1548,0)))</f>
        <v/>
      </c>
      <c r="O1548" s="53">
        <f>IF(COUNTA(A1548:K1548)=0,"",IF(OR(A1548="",B1548="",C1548="",D1548="",E1548="",F1548="",G1548="",NOT(ISNUMBER(I1548))),"Incomplete",IF(COUNTIF(Lists!$H$4:$AA$4,C1548)=0,"Check category",IF(COUNTIF(INDEX(Lists!$H$6:$AA$45,0,MATCH(C1548,Lists!$H$4:$AA$4,0)),D1548)=0,"Check sub-category","OK"))))</f>
        <v/>
      </c>
      <c r="P1548">
        <f>IF(ISNUMBER(I1548),I1548+ROW()/10000000,"")</f>
        <v/>
      </c>
      <c r="Q1548">
        <f>IF(AND(ISNUMBER(P1548),ISNUMBER(A1548)),IF(AND(A1548&gt;=Dashboard!$Q$3,A1548&lt;=Dashboard!$Q$4,OR(J1548&lt;&gt;"Yes",Dashboard!$Q$15="Yes")),P1548,""),"")</f>
        <v/>
      </c>
    </row>
    <row r="1549">
      <c r="A1549" s="47" t="n"/>
      <c r="B1549" s="48" t="n"/>
      <c r="C1549" s="48" t="n"/>
      <c r="D1549" s="48" t="n"/>
      <c r="E1549" s="48" t="n"/>
      <c r="F1549" s="48" t="n"/>
      <c r="G1549" s="48" t="n"/>
      <c r="H1549" s="48" t="n"/>
      <c r="I1549" s="49" t="n"/>
      <c r="J1549" s="50" t="n"/>
      <c r="K1549" s="48" t="n"/>
      <c r="L1549" s="51">
        <f>IF(A1549="","",DATE(YEAR(A1549),MONTH(A1549),1))</f>
        <v/>
      </c>
      <c r="M1549" s="52">
        <f>IF(OR(A1549="",NOT(ISNUMBER(I1549))),"",IF(G1549=Lists!$B$5,I1549/2,IF(G1549=Lists!$B$6,I1549,0)))</f>
        <v/>
      </c>
      <c r="N1549" s="52">
        <f>IF(OR(A1549="",NOT(ISNUMBER(I1549))),"",IF(G1549=Lists!$B$5,I1549/2,IF(G1549=Lists!$B$7,I1549,0)))</f>
        <v/>
      </c>
      <c r="O1549" s="53">
        <f>IF(COUNTA(A1549:K1549)=0,"",IF(OR(A1549="",B1549="",C1549="",D1549="",E1549="",F1549="",G1549="",NOT(ISNUMBER(I1549))),"Incomplete",IF(COUNTIF(Lists!$H$4:$AA$4,C1549)=0,"Check category",IF(COUNTIF(INDEX(Lists!$H$6:$AA$45,0,MATCH(C1549,Lists!$H$4:$AA$4,0)),D1549)=0,"Check sub-category","OK"))))</f>
        <v/>
      </c>
      <c r="P1549">
        <f>IF(ISNUMBER(I1549),I1549+ROW()/10000000,"")</f>
        <v/>
      </c>
      <c r="Q1549">
        <f>IF(AND(ISNUMBER(P1549),ISNUMBER(A1549)),IF(AND(A1549&gt;=Dashboard!$Q$3,A1549&lt;=Dashboard!$Q$4,OR(J1549&lt;&gt;"Yes",Dashboard!$Q$15="Yes")),P1549,""),"")</f>
        <v/>
      </c>
    </row>
    <row r="1550">
      <c r="A1550" s="47" t="n"/>
      <c r="B1550" s="48" t="n"/>
      <c r="C1550" s="48" t="n"/>
      <c r="D1550" s="48" t="n"/>
      <c r="E1550" s="48" t="n"/>
      <c r="F1550" s="48" t="n"/>
      <c r="G1550" s="48" t="n"/>
      <c r="H1550" s="48" t="n"/>
      <c r="I1550" s="49" t="n"/>
      <c r="J1550" s="50" t="n"/>
      <c r="K1550" s="48" t="n"/>
      <c r="L1550" s="51">
        <f>IF(A1550="","",DATE(YEAR(A1550),MONTH(A1550),1))</f>
        <v/>
      </c>
      <c r="M1550" s="52">
        <f>IF(OR(A1550="",NOT(ISNUMBER(I1550))),"",IF(G1550=Lists!$B$5,I1550/2,IF(G1550=Lists!$B$6,I1550,0)))</f>
        <v/>
      </c>
      <c r="N1550" s="52">
        <f>IF(OR(A1550="",NOT(ISNUMBER(I1550))),"",IF(G1550=Lists!$B$5,I1550/2,IF(G1550=Lists!$B$7,I1550,0)))</f>
        <v/>
      </c>
      <c r="O1550" s="53">
        <f>IF(COUNTA(A1550:K1550)=0,"",IF(OR(A1550="",B1550="",C1550="",D1550="",E1550="",F1550="",G1550="",NOT(ISNUMBER(I1550))),"Incomplete",IF(COUNTIF(Lists!$H$4:$AA$4,C1550)=0,"Check category",IF(COUNTIF(INDEX(Lists!$H$6:$AA$45,0,MATCH(C1550,Lists!$H$4:$AA$4,0)),D1550)=0,"Check sub-category","OK"))))</f>
        <v/>
      </c>
      <c r="P1550">
        <f>IF(ISNUMBER(I1550),I1550+ROW()/10000000,"")</f>
        <v/>
      </c>
      <c r="Q1550">
        <f>IF(AND(ISNUMBER(P1550),ISNUMBER(A1550)),IF(AND(A1550&gt;=Dashboard!$Q$3,A1550&lt;=Dashboard!$Q$4,OR(J1550&lt;&gt;"Yes",Dashboard!$Q$15="Yes")),P1550,""),"")</f>
        <v/>
      </c>
    </row>
    <row r="1551">
      <c r="A1551" s="47" t="n"/>
      <c r="B1551" s="48" t="n"/>
      <c r="C1551" s="48" t="n"/>
      <c r="D1551" s="48" t="n"/>
      <c r="E1551" s="48" t="n"/>
      <c r="F1551" s="48" t="n"/>
      <c r="G1551" s="48" t="n"/>
      <c r="H1551" s="48" t="n"/>
      <c r="I1551" s="49" t="n"/>
      <c r="J1551" s="50" t="n"/>
      <c r="K1551" s="48" t="n"/>
      <c r="L1551" s="51">
        <f>IF(A1551="","",DATE(YEAR(A1551),MONTH(A1551),1))</f>
        <v/>
      </c>
      <c r="M1551" s="52">
        <f>IF(OR(A1551="",NOT(ISNUMBER(I1551))),"",IF(G1551=Lists!$B$5,I1551/2,IF(G1551=Lists!$B$6,I1551,0)))</f>
        <v/>
      </c>
      <c r="N1551" s="52">
        <f>IF(OR(A1551="",NOT(ISNUMBER(I1551))),"",IF(G1551=Lists!$B$5,I1551/2,IF(G1551=Lists!$B$7,I1551,0)))</f>
        <v/>
      </c>
      <c r="O1551" s="53">
        <f>IF(COUNTA(A1551:K1551)=0,"",IF(OR(A1551="",B1551="",C1551="",D1551="",E1551="",F1551="",G1551="",NOT(ISNUMBER(I1551))),"Incomplete",IF(COUNTIF(Lists!$H$4:$AA$4,C1551)=0,"Check category",IF(COUNTIF(INDEX(Lists!$H$6:$AA$45,0,MATCH(C1551,Lists!$H$4:$AA$4,0)),D1551)=0,"Check sub-category","OK"))))</f>
        <v/>
      </c>
      <c r="P1551">
        <f>IF(ISNUMBER(I1551),I1551+ROW()/10000000,"")</f>
        <v/>
      </c>
      <c r="Q1551">
        <f>IF(AND(ISNUMBER(P1551),ISNUMBER(A1551)),IF(AND(A1551&gt;=Dashboard!$Q$3,A1551&lt;=Dashboard!$Q$4,OR(J1551&lt;&gt;"Yes",Dashboard!$Q$15="Yes")),P1551,""),"")</f>
        <v/>
      </c>
    </row>
    <row r="1552">
      <c r="A1552" s="47" t="n"/>
      <c r="B1552" s="48" t="n"/>
      <c r="C1552" s="48" t="n"/>
      <c r="D1552" s="48" t="n"/>
      <c r="E1552" s="48" t="n"/>
      <c r="F1552" s="48" t="n"/>
      <c r="G1552" s="48" t="n"/>
      <c r="H1552" s="48" t="n"/>
      <c r="I1552" s="49" t="n"/>
      <c r="J1552" s="50" t="n"/>
      <c r="K1552" s="48" t="n"/>
      <c r="L1552" s="51">
        <f>IF(A1552="","",DATE(YEAR(A1552),MONTH(A1552),1))</f>
        <v/>
      </c>
      <c r="M1552" s="52">
        <f>IF(OR(A1552="",NOT(ISNUMBER(I1552))),"",IF(G1552=Lists!$B$5,I1552/2,IF(G1552=Lists!$B$6,I1552,0)))</f>
        <v/>
      </c>
      <c r="N1552" s="52">
        <f>IF(OR(A1552="",NOT(ISNUMBER(I1552))),"",IF(G1552=Lists!$B$5,I1552/2,IF(G1552=Lists!$B$7,I1552,0)))</f>
        <v/>
      </c>
      <c r="O1552" s="53">
        <f>IF(COUNTA(A1552:K1552)=0,"",IF(OR(A1552="",B1552="",C1552="",D1552="",E1552="",F1552="",G1552="",NOT(ISNUMBER(I1552))),"Incomplete",IF(COUNTIF(Lists!$H$4:$AA$4,C1552)=0,"Check category",IF(COUNTIF(INDEX(Lists!$H$6:$AA$45,0,MATCH(C1552,Lists!$H$4:$AA$4,0)),D1552)=0,"Check sub-category","OK"))))</f>
        <v/>
      </c>
      <c r="P1552">
        <f>IF(ISNUMBER(I1552),I1552+ROW()/10000000,"")</f>
        <v/>
      </c>
      <c r="Q1552">
        <f>IF(AND(ISNUMBER(P1552),ISNUMBER(A1552)),IF(AND(A1552&gt;=Dashboard!$Q$3,A1552&lt;=Dashboard!$Q$4,OR(J1552&lt;&gt;"Yes",Dashboard!$Q$15="Yes")),P1552,""),"")</f>
        <v/>
      </c>
    </row>
    <row r="1553">
      <c r="A1553" s="47" t="n"/>
      <c r="B1553" s="48" t="n"/>
      <c r="C1553" s="48" t="n"/>
      <c r="D1553" s="48" t="n"/>
      <c r="E1553" s="48" t="n"/>
      <c r="F1553" s="48" t="n"/>
      <c r="G1553" s="48" t="n"/>
      <c r="H1553" s="48" t="n"/>
      <c r="I1553" s="49" t="n"/>
      <c r="J1553" s="50" t="n"/>
      <c r="K1553" s="48" t="n"/>
      <c r="L1553" s="51">
        <f>IF(A1553="","",DATE(YEAR(A1553),MONTH(A1553),1))</f>
        <v/>
      </c>
      <c r="M1553" s="52">
        <f>IF(OR(A1553="",NOT(ISNUMBER(I1553))),"",IF(G1553=Lists!$B$5,I1553/2,IF(G1553=Lists!$B$6,I1553,0)))</f>
        <v/>
      </c>
      <c r="N1553" s="52">
        <f>IF(OR(A1553="",NOT(ISNUMBER(I1553))),"",IF(G1553=Lists!$B$5,I1553/2,IF(G1553=Lists!$B$7,I1553,0)))</f>
        <v/>
      </c>
      <c r="O1553" s="53">
        <f>IF(COUNTA(A1553:K1553)=0,"",IF(OR(A1553="",B1553="",C1553="",D1553="",E1553="",F1553="",G1553="",NOT(ISNUMBER(I1553))),"Incomplete",IF(COUNTIF(Lists!$H$4:$AA$4,C1553)=0,"Check category",IF(COUNTIF(INDEX(Lists!$H$6:$AA$45,0,MATCH(C1553,Lists!$H$4:$AA$4,0)),D1553)=0,"Check sub-category","OK"))))</f>
        <v/>
      </c>
      <c r="P1553">
        <f>IF(ISNUMBER(I1553),I1553+ROW()/10000000,"")</f>
        <v/>
      </c>
      <c r="Q1553">
        <f>IF(AND(ISNUMBER(P1553),ISNUMBER(A1553)),IF(AND(A1553&gt;=Dashboard!$Q$3,A1553&lt;=Dashboard!$Q$4,OR(J1553&lt;&gt;"Yes",Dashboard!$Q$15="Yes")),P1553,""),"")</f>
        <v/>
      </c>
    </row>
    <row r="1554">
      <c r="A1554" s="47" t="n"/>
      <c r="B1554" s="48" t="n"/>
      <c r="C1554" s="48" t="n"/>
      <c r="D1554" s="48" t="n"/>
      <c r="E1554" s="48" t="n"/>
      <c r="F1554" s="48" t="n"/>
      <c r="G1554" s="48" t="n"/>
      <c r="H1554" s="48" t="n"/>
      <c r="I1554" s="49" t="n"/>
      <c r="J1554" s="50" t="n"/>
      <c r="K1554" s="48" t="n"/>
      <c r="L1554" s="51">
        <f>IF(A1554="","",DATE(YEAR(A1554),MONTH(A1554),1))</f>
        <v/>
      </c>
      <c r="M1554" s="52">
        <f>IF(OR(A1554="",NOT(ISNUMBER(I1554))),"",IF(G1554=Lists!$B$5,I1554/2,IF(G1554=Lists!$B$6,I1554,0)))</f>
        <v/>
      </c>
      <c r="N1554" s="52">
        <f>IF(OR(A1554="",NOT(ISNUMBER(I1554))),"",IF(G1554=Lists!$B$5,I1554/2,IF(G1554=Lists!$B$7,I1554,0)))</f>
        <v/>
      </c>
      <c r="O1554" s="53">
        <f>IF(COUNTA(A1554:K1554)=0,"",IF(OR(A1554="",B1554="",C1554="",D1554="",E1554="",F1554="",G1554="",NOT(ISNUMBER(I1554))),"Incomplete",IF(COUNTIF(Lists!$H$4:$AA$4,C1554)=0,"Check category",IF(COUNTIF(INDEX(Lists!$H$6:$AA$45,0,MATCH(C1554,Lists!$H$4:$AA$4,0)),D1554)=0,"Check sub-category","OK"))))</f>
        <v/>
      </c>
      <c r="P1554">
        <f>IF(ISNUMBER(I1554),I1554+ROW()/10000000,"")</f>
        <v/>
      </c>
      <c r="Q1554">
        <f>IF(AND(ISNUMBER(P1554),ISNUMBER(A1554)),IF(AND(A1554&gt;=Dashboard!$Q$3,A1554&lt;=Dashboard!$Q$4,OR(J1554&lt;&gt;"Yes",Dashboard!$Q$15="Yes")),P1554,""),"")</f>
        <v/>
      </c>
    </row>
    <row r="1555">
      <c r="A1555" s="47" t="n"/>
      <c r="B1555" s="48" t="n"/>
      <c r="C1555" s="48" t="n"/>
      <c r="D1555" s="48" t="n"/>
      <c r="E1555" s="48" t="n"/>
      <c r="F1555" s="48" t="n"/>
      <c r="G1555" s="48" t="n"/>
      <c r="H1555" s="48" t="n"/>
      <c r="I1555" s="49" t="n"/>
      <c r="J1555" s="50" t="n"/>
      <c r="K1555" s="48" t="n"/>
      <c r="L1555" s="51">
        <f>IF(A1555="","",DATE(YEAR(A1555),MONTH(A1555),1))</f>
        <v/>
      </c>
      <c r="M1555" s="52">
        <f>IF(OR(A1555="",NOT(ISNUMBER(I1555))),"",IF(G1555=Lists!$B$5,I1555/2,IF(G1555=Lists!$B$6,I1555,0)))</f>
        <v/>
      </c>
      <c r="N1555" s="52">
        <f>IF(OR(A1555="",NOT(ISNUMBER(I1555))),"",IF(G1555=Lists!$B$5,I1555/2,IF(G1555=Lists!$B$7,I1555,0)))</f>
        <v/>
      </c>
      <c r="O1555" s="53">
        <f>IF(COUNTA(A1555:K1555)=0,"",IF(OR(A1555="",B1555="",C1555="",D1555="",E1555="",F1555="",G1555="",NOT(ISNUMBER(I1555))),"Incomplete",IF(COUNTIF(Lists!$H$4:$AA$4,C1555)=0,"Check category",IF(COUNTIF(INDEX(Lists!$H$6:$AA$45,0,MATCH(C1555,Lists!$H$4:$AA$4,0)),D1555)=0,"Check sub-category","OK"))))</f>
        <v/>
      </c>
      <c r="P1555">
        <f>IF(ISNUMBER(I1555),I1555+ROW()/10000000,"")</f>
        <v/>
      </c>
      <c r="Q1555">
        <f>IF(AND(ISNUMBER(P1555),ISNUMBER(A1555)),IF(AND(A1555&gt;=Dashboard!$Q$3,A1555&lt;=Dashboard!$Q$4,OR(J1555&lt;&gt;"Yes",Dashboard!$Q$15="Yes")),P1555,""),"")</f>
        <v/>
      </c>
    </row>
    <row r="1556">
      <c r="A1556" s="47" t="n"/>
      <c r="B1556" s="48" t="n"/>
      <c r="C1556" s="48" t="n"/>
      <c r="D1556" s="48" t="n"/>
      <c r="E1556" s="48" t="n"/>
      <c r="F1556" s="48" t="n"/>
      <c r="G1556" s="48" t="n"/>
      <c r="H1556" s="48" t="n"/>
      <c r="I1556" s="49" t="n"/>
      <c r="J1556" s="50" t="n"/>
      <c r="K1556" s="48" t="n"/>
      <c r="L1556" s="51">
        <f>IF(A1556="","",DATE(YEAR(A1556),MONTH(A1556),1))</f>
        <v/>
      </c>
      <c r="M1556" s="52">
        <f>IF(OR(A1556="",NOT(ISNUMBER(I1556))),"",IF(G1556=Lists!$B$5,I1556/2,IF(G1556=Lists!$B$6,I1556,0)))</f>
        <v/>
      </c>
      <c r="N1556" s="52">
        <f>IF(OR(A1556="",NOT(ISNUMBER(I1556))),"",IF(G1556=Lists!$B$5,I1556/2,IF(G1556=Lists!$B$7,I1556,0)))</f>
        <v/>
      </c>
      <c r="O1556" s="53">
        <f>IF(COUNTA(A1556:K1556)=0,"",IF(OR(A1556="",B1556="",C1556="",D1556="",E1556="",F1556="",G1556="",NOT(ISNUMBER(I1556))),"Incomplete",IF(COUNTIF(Lists!$H$4:$AA$4,C1556)=0,"Check category",IF(COUNTIF(INDEX(Lists!$H$6:$AA$45,0,MATCH(C1556,Lists!$H$4:$AA$4,0)),D1556)=0,"Check sub-category","OK"))))</f>
        <v/>
      </c>
      <c r="P1556">
        <f>IF(ISNUMBER(I1556),I1556+ROW()/10000000,"")</f>
        <v/>
      </c>
      <c r="Q1556">
        <f>IF(AND(ISNUMBER(P1556),ISNUMBER(A1556)),IF(AND(A1556&gt;=Dashboard!$Q$3,A1556&lt;=Dashboard!$Q$4,OR(J1556&lt;&gt;"Yes",Dashboard!$Q$15="Yes")),P1556,""),"")</f>
        <v/>
      </c>
    </row>
    <row r="1557">
      <c r="A1557" s="47" t="n"/>
      <c r="B1557" s="48" t="n"/>
      <c r="C1557" s="48" t="n"/>
      <c r="D1557" s="48" t="n"/>
      <c r="E1557" s="48" t="n"/>
      <c r="F1557" s="48" t="n"/>
      <c r="G1557" s="48" t="n"/>
      <c r="H1557" s="48" t="n"/>
      <c r="I1557" s="49" t="n"/>
      <c r="J1557" s="50" t="n"/>
      <c r="K1557" s="48" t="n"/>
      <c r="L1557" s="51">
        <f>IF(A1557="","",DATE(YEAR(A1557),MONTH(A1557),1))</f>
        <v/>
      </c>
      <c r="M1557" s="52">
        <f>IF(OR(A1557="",NOT(ISNUMBER(I1557))),"",IF(G1557=Lists!$B$5,I1557/2,IF(G1557=Lists!$B$6,I1557,0)))</f>
        <v/>
      </c>
      <c r="N1557" s="52">
        <f>IF(OR(A1557="",NOT(ISNUMBER(I1557))),"",IF(G1557=Lists!$B$5,I1557/2,IF(G1557=Lists!$B$7,I1557,0)))</f>
        <v/>
      </c>
      <c r="O1557" s="53">
        <f>IF(COUNTA(A1557:K1557)=0,"",IF(OR(A1557="",B1557="",C1557="",D1557="",E1557="",F1557="",G1557="",NOT(ISNUMBER(I1557))),"Incomplete",IF(COUNTIF(Lists!$H$4:$AA$4,C1557)=0,"Check category",IF(COUNTIF(INDEX(Lists!$H$6:$AA$45,0,MATCH(C1557,Lists!$H$4:$AA$4,0)),D1557)=0,"Check sub-category","OK"))))</f>
        <v/>
      </c>
      <c r="P1557">
        <f>IF(ISNUMBER(I1557),I1557+ROW()/10000000,"")</f>
        <v/>
      </c>
      <c r="Q1557">
        <f>IF(AND(ISNUMBER(P1557),ISNUMBER(A1557)),IF(AND(A1557&gt;=Dashboard!$Q$3,A1557&lt;=Dashboard!$Q$4,OR(J1557&lt;&gt;"Yes",Dashboard!$Q$15="Yes")),P1557,""),"")</f>
        <v/>
      </c>
    </row>
    <row r="1558">
      <c r="A1558" s="47" t="n"/>
      <c r="B1558" s="48" t="n"/>
      <c r="C1558" s="48" t="n"/>
      <c r="D1558" s="48" t="n"/>
      <c r="E1558" s="48" t="n"/>
      <c r="F1558" s="48" t="n"/>
      <c r="G1558" s="48" t="n"/>
      <c r="H1558" s="48" t="n"/>
      <c r="I1558" s="49" t="n"/>
      <c r="J1558" s="50" t="n"/>
      <c r="K1558" s="48" t="n"/>
      <c r="L1558" s="51">
        <f>IF(A1558="","",DATE(YEAR(A1558),MONTH(A1558),1))</f>
        <v/>
      </c>
      <c r="M1558" s="52">
        <f>IF(OR(A1558="",NOT(ISNUMBER(I1558))),"",IF(G1558=Lists!$B$5,I1558/2,IF(G1558=Lists!$B$6,I1558,0)))</f>
        <v/>
      </c>
      <c r="N1558" s="52">
        <f>IF(OR(A1558="",NOT(ISNUMBER(I1558))),"",IF(G1558=Lists!$B$5,I1558/2,IF(G1558=Lists!$B$7,I1558,0)))</f>
        <v/>
      </c>
      <c r="O1558" s="53">
        <f>IF(COUNTA(A1558:K1558)=0,"",IF(OR(A1558="",B1558="",C1558="",D1558="",E1558="",F1558="",G1558="",NOT(ISNUMBER(I1558))),"Incomplete",IF(COUNTIF(Lists!$H$4:$AA$4,C1558)=0,"Check category",IF(COUNTIF(INDEX(Lists!$H$6:$AA$45,0,MATCH(C1558,Lists!$H$4:$AA$4,0)),D1558)=0,"Check sub-category","OK"))))</f>
        <v/>
      </c>
      <c r="P1558">
        <f>IF(ISNUMBER(I1558),I1558+ROW()/10000000,"")</f>
        <v/>
      </c>
      <c r="Q1558">
        <f>IF(AND(ISNUMBER(P1558),ISNUMBER(A1558)),IF(AND(A1558&gt;=Dashboard!$Q$3,A1558&lt;=Dashboard!$Q$4,OR(J1558&lt;&gt;"Yes",Dashboard!$Q$15="Yes")),P1558,""),"")</f>
        <v/>
      </c>
    </row>
    <row r="1559">
      <c r="A1559" s="47" t="n"/>
      <c r="B1559" s="48" t="n"/>
      <c r="C1559" s="48" t="n"/>
      <c r="D1559" s="48" t="n"/>
      <c r="E1559" s="48" t="n"/>
      <c r="F1559" s="48" t="n"/>
      <c r="G1559" s="48" t="n"/>
      <c r="H1559" s="48" t="n"/>
      <c r="I1559" s="49" t="n"/>
      <c r="J1559" s="50" t="n"/>
      <c r="K1559" s="48" t="n"/>
      <c r="L1559" s="51">
        <f>IF(A1559="","",DATE(YEAR(A1559),MONTH(A1559),1))</f>
        <v/>
      </c>
      <c r="M1559" s="52">
        <f>IF(OR(A1559="",NOT(ISNUMBER(I1559))),"",IF(G1559=Lists!$B$5,I1559/2,IF(G1559=Lists!$B$6,I1559,0)))</f>
        <v/>
      </c>
      <c r="N1559" s="52">
        <f>IF(OR(A1559="",NOT(ISNUMBER(I1559))),"",IF(G1559=Lists!$B$5,I1559/2,IF(G1559=Lists!$B$7,I1559,0)))</f>
        <v/>
      </c>
      <c r="O1559" s="53">
        <f>IF(COUNTA(A1559:K1559)=0,"",IF(OR(A1559="",B1559="",C1559="",D1559="",E1559="",F1559="",G1559="",NOT(ISNUMBER(I1559))),"Incomplete",IF(COUNTIF(Lists!$H$4:$AA$4,C1559)=0,"Check category",IF(COUNTIF(INDEX(Lists!$H$6:$AA$45,0,MATCH(C1559,Lists!$H$4:$AA$4,0)),D1559)=0,"Check sub-category","OK"))))</f>
        <v/>
      </c>
      <c r="P1559">
        <f>IF(ISNUMBER(I1559),I1559+ROW()/10000000,"")</f>
        <v/>
      </c>
      <c r="Q1559">
        <f>IF(AND(ISNUMBER(P1559),ISNUMBER(A1559)),IF(AND(A1559&gt;=Dashboard!$Q$3,A1559&lt;=Dashboard!$Q$4,OR(J1559&lt;&gt;"Yes",Dashboard!$Q$15="Yes")),P1559,""),"")</f>
        <v/>
      </c>
    </row>
    <row r="1560">
      <c r="A1560" s="47" t="n"/>
      <c r="B1560" s="48" t="n"/>
      <c r="C1560" s="48" t="n"/>
      <c r="D1560" s="48" t="n"/>
      <c r="E1560" s="48" t="n"/>
      <c r="F1560" s="48" t="n"/>
      <c r="G1560" s="48" t="n"/>
      <c r="H1560" s="48" t="n"/>
      <c r="I1560" s="49" t="n"/>
      <c r="J1560" s="50" t="n"/>
      <c r="K1560" s="48" t="n"/>
      <c r="L1560" s="51">
        <f>IF(A1560="","",DATE(YEAR(A1560),MONTH(A1560),1))</f>
        <v/>
      </c>
      <c r="M1560" s="52">
        <f>IF(OR(A1560="",NOT(ISNUMBER(I1560))),"",IF(G1560=Lists!$B$5,I1560/2,IF(G1560=Lists!$B$6,I1560,0)))</f>
        <v/>
      </c>
      <c r="N1560" s="52">
        <f>IF(OR(A1560="",NOT(ISNUMBER(I1560))),"",IF(G1560=Lists!$B$5,I1560/2,IF(G1560=Lists!$B$7,I1560,0)))</f>
        <v/>
      </c>
      <c r="O1560" s="53">
        <f>IF(COUNTA(A1560:K1560)=0,"",IF(OR(A1560="",B1560="",C1560="",D1560="",E1560="",F1560="",G1560="",NOT(ISNUMBER(I1560))),"Incomplete",IF(COUNTIF(Lists!$H$4:$AA$4,C1560)=0,"Check category",IF(COUNTIF(INDEX(Lists!$H$6:$AA$45,0,MATCH(C1560,Lists!$H$4:$AA$4,0)),D1560)=0,"Check sub-category","OK"))))</f>
        <v/>
      </c>
      <c r="P1560">
        <f>IF(ISNUMBER(I1560),I1560+ROW()/10000000,"")</f>
        <v/>
      </c>
      <c r="Q1560">
        <f>IF(AND(ISNUMBER(P1560),ISNUMBER(A1560)),IF(AND(A1560&gt;=Dashboard!$Q$3,A1560&lt;=Dashboard!$Q$4,OR(J1560&lt;&gt;"Yes",Dashboard!$Q$15="Yes")),P1560,""),"")</f>
        <v/>
      </c>
    </row>
    <row r="1561">
      <c r="A1561" s="47" t="n"/>
      <c r="B1561" s="48" t="n"/>
      <c r="C1561" s="48" t="n"/>
      <c r="D1561" s="48" t="n"/>
      <c r="E1561" s="48" t="n"/>
      <c r="F1561" s="48" t="n"/>
      <c r="G1561" s="48" t="n"/>
      <c r="H1561" s="48" t="n"/>
      <c r="I1561" s="49" t="n"/>
      <c r="J1561" s="50" t="n"/>
      <c r="K1561" s="48" t="n"/>
      <c r="L1561" s="51">
        <f>IF(A1561="","",DATE(YEAR(A1561),MONTH(A1561),1))</f>
        <v/>
      </c>
      <c r="M1561" s="52">
        <f>IF(OR(A1561="",NOT(ISNUMBER(I1561))),"",IF(G1561=Lists!$B$5,I1561/2,IF(G1561=Lists!$B$6,I1561,0)))</f>
        <v/>
      </c>
      <c r="N1561" s="52">
        <f>IF(OR(A1561="",NOT(ISNUMBER(I1561))),"",IF(G1561=Lists!$B$5,I1561/2,IF(G1561=Lists!$B$7,I1561,0)))</f>
        <v/>
      </c>
      <c r="O1561" s="53">
        <f>IF(COUNTA(A1561:K1561)=0,"",IF(OR(A1561="",B1561="",C1561="",D1561="",E1561="",F1561="",G1561="",NOT(ISNUMBER(I1561))),"Incomplete",IF(COUNTIF(Lists!$H$4:$AA$4,C1561)=0,"Check category",IF(COUNTIF(INDEX(Lists!$H$6:$AA$45,0,MATCH(C1561,Lists!$H$4:$AA$4,0)),D1561)=0,"Check sub-category","OK"))))</f>
        <v/>
      </c>
      <c r="P1561">
        <f>IF(ISNUMBER(I1561),I1561+ROW()/10000000,"")</f>
        <v/>
      </c>
      <c r="Q1561">
        <f>IF(AND(ISNUMBER(P1561),ISNUMBER(A1561)),IF(AND(A1561&gt;=Dashboard!$Q$3,A1561&lt;=Dashboard!$Q$4,OR(J1561&lt;&gt;"Yes",Dashboard!$Q$15="Yes")),P1561,""),"")</f>
        <v/>
      </c>
    </row>
    <row r="1562">
      <c r="A1562" s="47" t="n"/>
      <c r="B1562" s="48" t="n"/>
      <c r="C1562" s="48" t="n"/>
      <c r="D1562" s="48" t="n"/>
      <c r="E1562" s="48" t="n"/>
      <c r="F1562" s="48" t="n"/>
      <c r="G1562" s="48" t="n"/>
      <c r="H1562" s="48" t="n"/>
      <c r="I1562" s="49" t="n"/>
      <c r="J1562" s="50" t="n"/>
      <c r="K1562" s="48" t="n"/>
      <c r="L1562" s="51">
        <f>IF(A1562="","",DATE(YEAR(A1562),MONTH(A1562),1))</f>
        <v/>
      </c>
      <c r="M1562" s="52">
        <f>IF(OR(A1562="",NOT(ISNUMBER(I1562))),"",IF(G1562=Lists!$B$5,I1562/2,IF(G1562=Lists!$B$6,I1562,0)))</f>
        <v/>
      </c>
      <c r="N1562" s="52">
        <f>IF(OR(A1562="",NOT(ISNUMBER(I1562))),"",IF(G1562=Lists!$B$5,I1562/2,IF(G1562=Lists!$B$7,I1562,0)))</f>
        <v/>
      </c>
      <c r="O1562" s="53">
        <f>IF(COUNTA(A1562:K1562)=0,"",IF(OR(A1562="",B1562="",C1562="",D1562="",E1562="",F1562="",G1562="",NOT(ISNUMBER(I1562))),"Incomplete",IF(COUNTIF(Lists!$H$4:$AA$4,C1562)=0,"Check category",IF(COUNTIF(INDEX(Lists!$H$6:$AA$45,0,MATCH(C1562,Lists!$H$4:$AA$4,0)),D1562)=0,"Check sub-category","OK"))))</f>
        <v/>
      </c>
      <c r="P1562">
        <f>IF(ISNUMBER(I1562),I1562+ROW()/10000000,"")</f>
        <v/>
      </c>
      <c r="Q1562">
        <f>IF(AND(ISNUMBER(P1562),ISNUMBER(A1562)),IF(AND(A1562&gt;=Dashboard!$Q$3,A1562&lt;=Dashboard!$Q$4,OR(J1562&lt;&gt;"Yes",Dashboard!$Q$15="Yes")),P1562,""),"")</f>
        <v/>
      </c>
    </row>
    <row r="1563">
      <c r="A1563" s="47" t="n"/>
      <c r="B1563" s="48" t="n"/>
      <c r="C1563" s="48" t="n"/>
      <c r="D1563" s="48" t="n"/>
      <c r="E1563" s="48" t="n"/>
      <c r="F1563" s="48" t="n"/>
      <c r="G1563" s="48" t="n"/>
      <c r="H1563" s="48" t="n"/>
      <c r="I1563" s="49" t="n"/>
      <c r="J1563" s="50" t="n"/>
      <c r="K1563" s="48" t="n"/>
      <c r="L1563" s="51">
        <f>IF(A1563="","",DATE(YEAR(A1563),MONTH(A1563),1))</f>
        <v/>
      </c>
      <c r="M1563" s="52">
        <f>IF(OR(A1563="",NOT(ISNUMBER(I1563))),"",IF(G1563=Lists!$B$5,I1563/2,IF(G1563=Lists!$B$6,I1563,0)))</f>
        <v/>
      </c>
      <c r="N1563" s="52">
        <f>IF(OR(A1563="",NOT(ISNUMBER(I1563))),"",IF(G1563=Lists!$B$5,I1563/2,IF(G1563=Lists!$B$7,I1563,0)))</f>
        <v/>
      </c>
      <c r="O1563" s="53">
        <f>IF(COUNTA(A1563:K1563)=0,"",IF(OR(A1563="",B1563="",C1563="",D1563="",E1563="",F1563="",G1563="",NOT(ISNUMBER(I1563))),"Incomplete",IF(COUNTIF(Lists!$H$4:$AA$4,C1563)=0,"Check category",IF(COUNTIF(INDEX(Lists!$H$6:$AA$45,0,MATCH(C1563,Lists!$H$4:$AA$4,0)),D1563)=0,"Check sub-category","OK"))))</f>
        <v/>
      </c>
      <c r="P1563">
        <f>IF(ISNUMBER(I1563),I1563+ROW()/10000000,"")</f>
        <v/>
      </c>
      <c r="Q1563">
        <f>IF(AND(ISNUMBER(P1563),ISNUMBER(A1563)),IF(AND(A1563&gt;=Dashboard!$Q$3,A1563&lt;=Dashboard!$Q$4,OR(J1563&lt;&gt;"Yes",Dashboard!$Q$15="Yes")),P1563,""),"")</f>
        <v/>
      </c>
    </row>
    <row r="1564">
      <c r="A1564" s="47" t="n"/>
      <c r="B1564" s="48" t="n"/>
      <c r="C1564" s="48" t="n"/>
      <c r="D1564" s="48" t="n"/>
      <c r="E1564" s="48" t="n"/>
      <c r="F1564" s="48" t="n"/>
      <c r="G1564" s="48" t="n"/>
      <c r="H1564" s="48" t="n"/>
      <c r="I1564" s="49" t="n"/>
      <c r="J1564" s="50" t="n"/>
      <c r="K1564" s="48" t="n"/>
      <c r="L1564" s="51">
        <f>IF(A1564="","",DATE(YEAR(A1564),MONTH(A1564),1))</f>
        <v/>
      </c>
      <c r="M1564" s="52">
        <f>IF(OR(A1564="",NOT(ISNUMBER(I1564))),"",IF(G1564=Lists!$B$5,I1564/2,IF(G1564=Lists!$B$6,I1564,0)))</f>
        <v/>
      </c>
      <c r="N1564" s="52">
        <f>IF(OR(A1564="",NOT(ISNUMBER(I1564))),"",IF(G1564=Lists!$B$5,I1564/2,IF(G1564=Lists!$B$7,I1564,0)))</f>
        <v/>
      </c>
      <c r="O1564" s="53">
        <f>IF(COUNTA(A1564:K1564)=0,"",IF(OR(A1564="",B1564="",C1564="",D1564="",E1564="",F1564="",G1564="",NOT(ISNUMBER(I1564))),"Incomplete",IF(COUNTIF(Lists!$H$4:$AA$4,C1564)=0,"Check category",IF(COUNTIF(INDEX(Lists!$H$6:$AA$45,0,MATCH(C1564,Lists!$H$4:$AA$4,0)),D1564)=0,"Check sub-category","OK"))))</f>
        <v/>
      </c>
      <c r="P1564">
        <f>IF(ISNUMBER(I1564),I1564+ROW()/10000000,"")</f>
        <v/>
      </c>
      <c r="Q1564">
        <f>IF(AND(ISNUMBER(P1564),ISNUMBER(A1564)),IF(AND(A1564&gt;=Dashboard!$Q$3,A1564&lt;=Dashboard!$Q$4,OR(J1564&lt;&gt;"Yes",Dashboard!$Q$15="Yes")),P1564,""),"")</f>
        <v/>
      </c>
    </row>
    <row r="1565">
      <c r="A1565" s="47" t="n"/>
      <c r="B1565" s="48" t="n"/>
      <c r="C1565" s="48" t="n"/>
      <c r="D1565" s="48" t="n"/>
      <c r="E1565" s="48" t="n"/>
      <c r="F1565" s="48" t="n"/>
      <c r="G1565" s="48" t="n"/>
      <c r="H1565" s="48" t="n"/>
      <c r="I1565" s="49" t="n"/>
      <c r="J1565" s="50" t="n"/>
      <c r="K1565" s="48" t="n"/>
      <c r="L1565" s="51">
        <f>IF(A1565="","",DATE(YEAR(A1565),MONTH(A1565),1))</f>
        <v/>
      </c>
      <c r="M1565" s="52">
        <f>IF(OR(A1565="",NOT(ISNUMBER(I1565))),"",IF(G1565=Lists!$B$5,I1565/2,IF(G1565=Lists!$B$6,I1565,0)))</f>
        <v/>
      </c>
      <c r="N1565" s="52">
        <f>IF(OR(A1565="",NOT(ISNUMBER(I1565))),"",IF(G1565=Lists!$B$5,I1565/2,IF(G1565=Lists!$B$7,I1565,0)))</f>
        <v/>
      </c>
      <c r="O1565" s="53">
        <f>IF(COUNTA(A1565:K1565)=0,"",IF(OR(A1565="",B1565="",C1565="",D1565="",E1565="",F1565="",G1565="",NOT(ISNUMBER(I1565))),"Incomplete",IF(COUNTIF(Lists!$H$4:$AA$4,C1565)=0,"Check category",IF(COUNTIF(INDEX(Lists!$H$6:$AA$45,0,MATCH(C1565,Lists!$H$4:$AA$4,0)),D1565)=0,"Check sub-category","OK"))))</f>
        <v/>
      </c>
      <c r="P1565">
        <f>IF(ISNUMBER(I1565),I1565+ROW()/10000000,"")</f>
        <v/>
      </c>
      <c r="Q1565">
        <f>IF(AND(ISNUMBER(P1565),ISNUMBER(A1565)),IF(AND(A1565&gt;=Dashboard!$Q$3,A1565&lt;=Dashboard!$Q$4,OR(J1565&lt;&gt;"Yes",Dashboard!$Q$15="Yes")),P1565,""),"")</f>
        <v/>
      </c>
    </row>
    <row r="1566">
      <c r="A1566" s="47" t="n"/>
      <c r="B1566" s="48" t="n"/>
      <c r="C1566" s="48" t="n"/>
      <c r="D1566" s="48" t="n"/>
      <c r="E1566" s="48" t="n"/>
      <c r="F1566" s="48" t="n"/>
      <c r="G1566" s="48" t="n"/>
      <c r="H1566" s="48" t="n"/>
      <c r="I1566" s="49" t="n"/>
      <c r="J1566" s="50" t="n"/>
      <c r="K1566" s="48" t="n"/>
      <c r="L1566" s="51">
        <f>IF(A1566="","",DATE(YEAR(A1566),MONTH(A1566),1))</f>
        <v/>
      </c>
      <c r="M1566" s="52">
        <f>IF(OR(A1566="",NOT(ISNUMBER(I1566))),"",IF(G1566=Lists!$B$5,I1566/2,IF(G1566=Lists!$B$6,I1566,0)))</f>
        <v/>
      </c>
      <c r="N1566" s="52">
        <f>IF(OR(A1566="",NOT(ISNUMBER(I1566))),"",IF(G1566=Lists!$B$5,I1566/2,IF(G1566=Lists!$B$7,I1566,0)))</f>
        <v/>
      </c>
      <c r="O1566" s="53">
        <f>IF(COUNTA(A1566:K1566)=0,"",IF(OR(A1566="",B1566="",C1566="",D1566="",E1566="",F1566="",G1566="",NOT(ISNUMBER(I1566))),"Incomplete",IF(COUNTIF(Lists!$H$4:$AA$4,C1566)=0,"Check category",IF(COUNTIF(INDEX(Lists!$H$6:$AA$45,0,MATCH(C1566,Lists!$H$4:$AA$4,0)),D1566)=0,"Check sub-category","OK"))))</f>
        <v/>
      </c>
      <c r="P1566">
        <f>IF(ISNUMBER(I1566),I1566+ROW()/10000000,"")</f>
        <v/>
      </c>
      <c r="Q1566">
        <f>IF(AND(ISNUMBER(P1566),ISNUMBER(A1566)),IF(AND(A1566&gt;=Dashboard!$Q$3,A1566&lt;=Dashboard!$Q$4,OR(J1566&lt;&gt;"Yes",Dashboard!$Q$15="Yes")),P1566,""),"")</f>
        <v/>
      </c>
    </row>
    <row r="1567">
      <c r="A1567" s="47" t="n"/>
      <c r="B1567" s="48" t="n"/>
      <c r="C1567" s="48" t="n"/>
      <c r="D1567" s="48" t="n"/>
      <c r="E1567" s="48" t="n"/>
      <c r="F1567" s="48" t="n"/>
      <c r="G1567" s="48" t="n"/>
      <c r="H1567" s="48" t="n"/>
      <c r="I1567" s="49" t="n"/>
      <c r="J1567" s="50" t="n"/>
      <c r="K1567" s="48" t="n"/>
      <c r="L1567" s="51">
        <f>IF(A1567="","",DATE(YEAR(A1567),MONTH(A1567),1))</f>
        <v/>
      </c>
      <c r="M1567" s="52">
        <f>IF(OR(A1567="",NOT(ISNUMBER(I1567))),"",IF(G1567=Lists!$B$5,I1567/2,IF(G1567=Lists!$B$6,I1567,0)))</f>
        <v/>
      </c>
      <c r="N1567" s="52">
        <f>IF(OR(A1567="",NOT(ISNUMBER(I1567))),"",IF(G1567=Lists!$B$5,I1567/2,IF(G1567=Lists!$B$7,I1567,0)))</f>
        <v/>
      </c>
      <c r="O1567" s="53">
        <f>IF(COUNTA(A1567:K1567)=0,"",IF(OR(A1567="",B1567="",C1567="",D1567="",E1567="",F1567="",G1567="",NOT(ISNUMBER(I1567))),"Incomplete",IF(COUNTIF(Lists!$H$4:$AA$4,C1567)=0,"Check category",IF(COUNTIF(INDEX(Lists!$H$6:$AA$45,0,MATCH(C1567,Lists!$H$4:$AA$4,0)),D1567)=0,"Check sub-category","OK"))))</f>
        <v/>
      </c>
      <c r="P1567">
        <f>IF(ISNUMBER(I1567),I1567+ROW()/10000000,"")</f>
        <v/>
      </c>
      <c r="Q1567">
        <f>IF(AND(ISNUMBER(P1567),ISNUMBER(A1567)),IF(AND(A1567&gt;=Dashboard!$Q$3,A1567&lt;=Dashboard!$Q$4,OR(J1567&lt;&gt;"Yes",Dashboard!$Q$15="Yes")),P1567,""),"")</f>
        <v/>
      </c>
    </row>
    <row r="1568">
      <c r="A1568" s="47" t="n"/>
      <c r="B1568" s="48" t="n"/>
      <c r="C1568" s="48" t="n"/>
      <c r="D1568" s="48" t="n"/>
      <c r="E1568" s="48" t="n"/>
      <c r="F1568" s="48" t="n"/>
      <c r="G1568" s="48" t="n"/>
      <c r="H1568" s="48" t="n"/>
      <c r="I1568" s="49" t="n"/>
      <c r="J1568" s="50" t="n"/>
      <c r="K1568" s="48" t="n"/>
      <c r="L1568" s="51">
        <f>IF(A1568="","",DATE(YEAR(A1568),MONTH(A1568),1))</f>
        <v/>
      </c>
      <c r="M1568" s="52">
        <f>IF(OR(A1568="",NOT(ISNUMBER(I1568))),"",IF(G1568=Lists!$B$5,I1568/2,IF(G1568=Lists!$B$6,I1568,0)))</f>
        <v/>
      </c>
      <c r="N1568" s="52">
        <f>IF(OR(A1568="",NOT(ISNUMBER(I1568))),"",IF(G1568=Lists!$B$5,I1568/2,IF(G1568=Lists!$B$7,I1568,0)))</f>
        <v/>
      </c>
      <c r="O1568" s="53">
        <f>IF(COUNTA(A1568:K1568)=0,"",IF(OR(A1568="",B1568="",C1568="",D1568="",E1568="",F1568="",G1568="",NOT(ISNUMBER(I1568))),"Incomplete",IF(COUNTIF(Lists!$H$4:$AA$4,C1568)=0,"Check category",IF(COUNTIF(INDEX(Lists!$H$6:$AA$45,0,MATCH(C1568,Lists!$H$4:$AA$4,0)),D1568)=0,"Check sub-category","OK"))))</f>
        <v/>
      </c>
      <c r="P1568">
        <f>IF(ISNUMBER(I1568),I1568+ROW()/10000000,"")</f>
        <v/>
      </c>
      <c r="Q1568">
        <f>IF(AND(ISNUMBER(P1568),ISNUMBER(A1568)),IF(AND(A1568&gt;=Dashboard!$Q$3,A1568&lt;=Dashboard!$Q$4,OR(J1568&lt;&gt;"Yes",Dashboard!$Q$15="Yes")),P1568,""),"")</f>
        <v/>
      </c>
    </row>
    <row r="1569">
      <c r="A1569" s="47" t="n"/>
      <c r="B1569" s="48" t="n"/>
      <c r="C1569" s="48" t="n"/>
      <c r="D1569" s="48" t="n"/>
      <c r="E1569" s="48" t="n"/>
      <c r="F1569" s="48" t="n"/>
      <c r="G1569" s="48" t="n"/>
      <c r="H1569" s="48" t="n"/>
      <c r="I1569" s="49" t="n"/>
      <c r="J1569" s="50" t="n"/>
      <c r="K1569" s="48" t="n"/>
      <c r="L1569" s="51">
        <f>IF(A1569="","",DATE(YEAR(A1569),MONTH(A1569),1))</f>
        <v/>
      </c>
      <c r="M1569" s="52">
        <f>IF(OR(A1569="",NOT(ISNUMBER(I1569))),"",IF(G1569=Lists!$B$5,I1569/2,IF(G1569=Lists!$B$6,I1569,0)))</f>
        <v/>
      </c>
      <c r="N1569" s="52">
        <f>IF(OR(A1569="",NOT(ISNUMBER(I1569))),"",IF(G1569=Lists!$B$5,I1569/2,IF(G1569=Lists!$B$7,I1569,0)))</f>
        <v/>
      </c>
      <c r="O1569" s="53">
        <f>IF(COUNTA(A1569:K1569)=0,"",IF(OR(A1569="",B1569="",C1569="",D1569="",E1569="",F1569="",G1569="",NOT(ISNUMBER(I1569))),"Incomplete",IF(COUNTIF(Lists!$H$4:$AA$4,C1569)=0,"Check category",IF(COUNTIF(INDEX(Lists!$H$6:$AA$45,0,MATCH(C1569,Lists!$H$4:$AA$4,0)),D1569)=0,"Check sub-category","OK"))))</f>
        <v/>
      </c>
      <c r="P1569">
        <f>IF(ISNUMBER(I1569),I1569+ROW()/10000000,"")</f>
        <v/>
      </c>
      <c r="Q1569">
        <f>IF(AND(ISNUMBER(P1569),ISNUMBER(A1569)),IF(AND(A1569&gt;=Dashboard!$Q$3,A1569&lt;=Dashboard!$Q$4,OR(J1569&lt;&gt;"Yes",Dashboard!$Q$15="Yes")),P1569,""),"")</f>
        <v/>
      </c>
    </row>
    <row r="1570">
      <c r="A1570" s="47" t="n"/>
      <c r="B1570" s="48" t="n"/>
      <c r="C1570" s="48" t="n"/>
      <c r="D1570" s="48" t="n"/>
      <c r="E1570" s="48" t="n"/>
      <c r="F1570" s="48" t="n"/>
      <c r="G1570" s="48" t="n"/>
      <c r="H1570" s="48" t="n"/>
      <c r="I1570" s="49" t="n"/>
      <c r="J1570" s="50" t="n"/>
      <c r="K1570" s="48" t="n"/>
      <c r="L1570" s="51">
        <f>IF(A1570="","",DATE(YEAR(A1570),MONTH(A1570),1))</f>
        <v/>
      </c>
      <c r="M1570" s="52">
        <f>IF(OR(A1570="",NOT(ISNUMBER(I1570))),"",IF(G1570=Lists!$B$5,I1570/2,IF(G1570=Lists!$B$6,I1570,0)))</f>
        <v/>
      </c>
      <c r="N1570" s="52">
        <f>IF(OR(A1570="",NOT(ISNUMBER(I1570))),"",IF(G1570=Lists!$B$5,I1570/2,IF(G1570=Lists!$B$7,I1570,0)))</f>
        <v/>
      </c>
      <c r="O1570" s="53">
        <f>IF(COUNTA(A1570:K1570)=0,"",IF(OR(A1570="",B1570="",C1570="",D1570="",E1570="",F1570="",G1570="",NOT(ISNUMBER(I1570))),"Incomplete",IF(COUNTIF(Lists!$H$4:$AA$4,C1570)=0,"Check category",IF(COUNTIF(INDEX(Lists!$H$6:$AA$45,0,MATCH(C1570,Lists!$H$4:$AA$4,0)),D1570)=0,"Check sub-category","OK"))))</f>
        <v/>
      </c>
      <c r="P1570">
        <f>IF(ISNUMBER(I1570),I1570+ROW()/10000000,"")</f>
        <v/>
      </c>
      <c r="Q1570">
        <f>IF(AND(ISNUMBER(P1570),ISNUMBER(A1570)),IF(AND(A1570&gt;=Dashboard!$Q$3,A1570&lt;=Dashboard!$Q$4,OR(J1570&lt;&gt;"Yes",Dashboard!$Q$15="Yes")),P1570,""),"")</f>
        <v/>
      </c>
    </row>
    <row r="1571">
      <c r="A1571" s="47" t="n"/>
      <c r="B1571" s="48" t="n"/>
      <c r="C1571" s="48" t="n"/>
      <c r="D1571" s="48" t="n"/>
      <c r="E1571" s="48" t="n"/>
      <c r="F1571" s="48" t="n"/>
      <c r="G1571" s="48" t="n"/>
      <c r="H1571" s="48" t="n"/>
      <c r="I1571" s="49" t="n"/>
      <c r="J1571" s="50" t="n"/>
      <c r="K1571" s="48" t="n"/>
      <c r="L1571" s="51">
        <f>IF(A1571="","",DATE(YEAR(A1571),MONTH(A1571),1))</f>
        <v/>
      </c>
      <c r="M1571" s="52">
        <f>IF(OR(A1571="",NOT(ISNUMBER(I1571))),"",IF(G1571=Lists!$B$5,I1571/2,IF(G1571=Lists!$B$6,I1571,0)))</f>
        <v/>
      </c>
      <c r="N1571" s="52">
        <f>IF(OR(A1571="",NOT(ISNUMBER(I1571))),"",IF(G1571=Lists!$B$5,I1571/2,IF(G1571=Lists!$B$7,I1571,0)))</f>
        <v/>
      </c>
      <c r="O1571" s="53">
        <f>IF(COUNTA(A1571:K1571)=0,"",IF(OR(A1571="",B1571="",C1571="",D1571="",E1571="",F1571="",G1571="",NOT(ISNUMBER(I1571))),"Incomplete",IF(COUNTIF(Lists!$H$4:$AA$4,C1571)=0,"Check category",IF(COUNTIF(INDEX(Lists!$H$6:$AA$45,0,MATCH(C1571,Lists!$H$4:$AA$4,0)),D1571)=0,"Check sub-category","OK"))))</f>
        <v/>
      </c>
      <c r="P1571">
        <f>IF(ISNUMBER(I1571),I1571+ROW()/10000000,"")</f>
        <v/>
      </c>
      <c r="Q1571">
        <f>IF(AND(ISNUMBER(P1571),ISNUMBER(A1571)),IF(AND(A1571&gt;=Dashboard!$Q$3,A1571&lt;=Dashboard!$Q$4,OR(J1571&lt;&gt;"Yes",Dashboard!$Q$15="Yes")),P1571,""),"")</f>
        <v/>
      </c>
    </row>
    <row r="1572">
      <c r="A1572" s="47" t="n"/>
      <c r="B1572" s="48" t="n"/>
      <c r="C1572" s="48" t="n"/>
      <c r="D1572" s="48" t="n"/>
      <c r="E1572" s="48" t="n"/>
      <c r="F1572" s="48" t="n"/>
      <c r="G1572" s="48" t="n"/>
      <c r="H1572" s="48" t="n"/>
      <c r="I1572" s="49" t="n"/>
      <c r="J1572" s="50" t="n"/>
      <c r="K1572" s="48" t="n"/>
      <c r="L1572" s="51">
        <f>IF(A1572="","",DATE(YEAR(A1572),MONTH(A1572),1))</f>
        <v/>
      </c>
      <c r="M1572" s="52">
        <f>IF(OR(A1572="",NOT(ISNUMBER(I1572))),"",IF(G1572=Lists!$B$5,I1572/2,IF(G1572=Lists!$B$6,I1572,0)))</f>
        <v/>
      </c>
      <c r="N1572" s="52">
        <f>IF(OR(A1572="",NOT(ISNUMBER(I1572))),"",IF(G1572=Lists!$B$5,I1572/2,IF(G1572=Lists!$B$7,I1572,0)))</f>
        <v/>
      </c>
      <c r="O1572" s="53">
        <f>IF(COUNTA(A1572:K1572)=0,"",IF(OR(A1572="",B1572="",C1572="",D1572="",E1572="",F1572="",G1572="",NOT(ISNUMBER(I1572))),"Incomplete",IF(COUNTIF(Lists!$H$4:$AA$4,C1572)=0,"Check category",IF(COUNTIF(INDEX(Lists!$H$6:$AA$45,0,MATCH(C1572,Lists!$H$4:$AA$4,0)),D1572)=0,"Check sub-category","OK"))))</f>
        <v/>
      </c>
      <c r="P1572">
        <f>IF(ISNUMBER(I1572),I1572+ROW()/10000000,"")</f>
        <v/>
      </c>
      <c r="Q1572">
        <f>IF(AND(ISNUMBER(P1572),ISNUMBER(A1572)),IF(AND(A1572&gt;=Dashboard!$Q$3,A1572&lt;=Dashboard!$Q$4,OR(J1572&lt;&gt;"Yes",Dashboard!$Q$15="Yes")),P1572,""),"")</f>
        <v/>
      </c>
    </row>
    <row r="1573">
      <c r="A1573" s="47" t="n"/>
      <c r="B1573" s="48" t="n"/>
      <c r="C1573" s="48" t="n"/>
      <c r="D1573" s="48" t="n"/>
      <c r="E1573" s="48" t="n"/>
      <c r="F1573" s="48" t="n"/>
      <c r="G1573" s="48" t="n"/>
      <c r="H1573" s="48" t="n"/>
      <c r="I1573" s="49" t="n"/>
      <c r="J1573" s="50" t="n"/>
      <c r="K1573" s="48" t="n"/>
      <c r="L1573" s="51">
        <f>IF(A1573="","",DATE(YEAR(A1573),MONTH(A1573),1))</f>
        <v/>
      </c>
      <c r="M1573" s="52">
        <f>IF(OR(A1573="",NOT(ISNUMBER(I1573))),"",IF(G1573=Lists!$B$5,I1573/2,IF(G1573=Lists!$B$6,I1573,0)))</f>
        <v/>
      </c>
      <c r="N1573" s="52">
        <f>IF(OR(A1573="",NOT(ISNUMBER(I1573))),"",IF(G1573=Lists!$B$5,I1573/2,IF(G1573=Lists!$B$7,I1573,0)))</f>
        <v/>
      </c>
      <c r="O1573" s="53">
        <f>IF(COUNTA(A1573:K1573)=0,"",IF(OR(A1573="",B1573="",C1573="",D1573="",E1573="",F1573="",G1573="",NOT(ISNUMBER(I1573))),"Incomplete",IF(COUNTIF(Lists!$H$4:$AA$4,C1573)=0,"Check category",IF(COUNTIF(INDEX(Lists!$H$6:$AA$45,0,MATCH(C1573,Lists!$H$4:$AA$4,0)),D1573)=0,"Check sub-category","OK"))))</f>
        <v/>
      </c>
      <c r="P1573">
        <f>IF(ISNUMBER(I1573),I1573+ROW()/10000000,"")</f>
        <v/>
      </c>
      <c r="Q1573">
        <f>IF(AND(ISNUMBER(P1573),ISNUMBER(A1573)),IF(AND(A1573&gt;=Dashboard!$Q$3,A1573&lt;=Dashboard!$Q$4,OR(J1573&lt;&gt;"Yes",Dashboard!$Q$15="Yes")),P1573,""),"")</f>
        <v/>
      </c>
    </row>
    <row r="1574">
      <c r="A1574" s="47" t="n"/>
      <c r="B1574" s="48" t="n"/>
      <c r="C1574" s="48" t="n"/>
      <c r="D1574" s="48" t="n"/>
      <c r="E1574" s="48" t="n"/>
      <c r="F1574" s="48" t="n"/>
      <c r="G1574" s="48" t="n"/>
      <c r="H1574" s="48" t="n"/>
      <c r="I1574" s="49" t="n"/>
      <c r="J1574" s="50" t="n"/>
      <c r="K1574" s="48" t="n"/>
      <c r="L1574" s="51">
        <f>IF(A1574="","",DATE(YEAR(A1574),MONTH(A1574),1))</f>
        <v/>
      </c>
      <c r="M1574" s="52">
        <f>IF(OR(A1574="",NOT(ISNUMBER(I1574))),"",IF(G1574=Lists!$B$5,I1574/2,IF(G1574=Lists!$B$6,I1574,0)))</f>
        <v/>
      </c>
      <c r="N1574" s="52">
        <f>IF(OR(A1574="",NOT(ISNUMBER(I1574))),"",IF(G1574=Lists!$B$5,I1574/2,IF(G1574=Lists!$B$7,I1574,0)))</f>
        <v/>
      </c>
      <c r="O1574" s="53">
        <f>IF(COUNTA(A1574:K1574)=0,"",IF(OR(A1574="",B1574="",C1574="",D1574="",E1574="",F1574="",G1574="",NOT(ISNUMBER(I1574))),"Incomplete",IF(COUNTIF(Lists!$H$4:$AA$4,C1574)=0,"Check category",IF(COUNTIF(INDEX(Lists!$H$6:$AA$45,0,MATCH(C1574,Lists!$H$4:$AA$4,0)),D1574)=0,"Check sub-category","OK"))))</f>
        <v/>
      </c>
      <c r="P1574">
        <f>IF(ISNUMBER(I1574),I1574+ROW()/10000000,"")</f>
        <v/>
      </c>
      <c r="Q1574">
        <f>IF(AND(ISNUMBER(P1574),ISNUMBER(A1574)),IF(AND(A1574&gt;=Dashboard!$Q$3,A1574&lt;=Dashboard!$Q$4,OR(J1574&lt;&gt;"Yes",Dashboard!$Q$15="Yes")),P1574,""),"")</f>
        <v/>
      </c>
    </row>
    <row r="1575">
      <c r="A1575" s="47" t="n"/>
      <c r="B1575" s="48" t="n"/>
      <c r="C1575" s="48" t="n"/>
      <c r="D1575" s="48" t="n"/>
      <c r="E1575" s="48" t="n"/>
      <c r="F1575" s="48" t="n"/>
      <c r="G1575" s="48" t="n"/>
      <c r="H1575" s="48" t="n"/>
      <c r="I1575" s="49" t="n"/>
      <c r="J1575" s="50" t="n"/>
      <c r="K1575" s="48" t="n"/>
      <c r="L1575" s="51">
        <f>IF(A1575="","",DATE(YEAR(A1575),MONTH(A1575),1))</f>
        <v/>
      </c>
      <c r="M1575" s="52">
        <f>IF(OR(A1575="",NOT(ISNUMBER(I1575))),"",IF(G1575=Lists!$B$5,I1575/2,IF(G1575=Lists!$B$6,I1575,0)))</f>
        <v/>
      </c>
      <c r="N1575" s="52">
        <f>IF(OR(A1575="",NOT(ISNUMBER(I1575))),"",IF(G1575=Lists!$B$5,I1575/2,IF(G1575=Lists!$B$7,I1575,0)))</f>
        <v/>
      </c>
      <c r="O1575" s="53">
        <f>IF(COUNTA(A1575:K1575)=0,"",IF(OR(A1575="",B1575="",C1575="",D1575="",E1575="",F1575="",G1575="",NOT(ISNUMBER(I1575))),"Incomplete",IF(COUNTIF(Lists!$H$4:$AA$4,C1575)=0,"Check category",IF(COUNTIF(INDEX(Lists!$H$6:$AA$45,0,MATCH(C1575,Lists!$H$4:$AA$4,0)),D1575)=0,"Check sub-category","OK"))))</f>
        <v/>
      </c>
      <c r="P1575">
        <f>IF(ISNUMBER(I1575),I1575+ROW()/10000000,"")</f>
        <v/>
      </c>
      <c r="Q1575">
        <f>IF(AND(ISNUMBER(P1575),ISNUMBER(A1575)),IF(AND(A1575&gt;=Dashboard!$Q$3,A1575&lt;=Dashboard!$Q$4,OR(J1575&lt;&gt;"Yes",Dashboard!$Q$15="Yes")),P1575,""),"")</f>
        <v/>
      </c>
    </row>
    <row r="1576">
      <c r="A1576" s="47" t="n"/>
      <c r="B1576" s="48" t="n"/>
      <c r="C1576" s="48" t="n"/>
      <c r="D1576" s="48" t="n"/>
      <c r="E1576" s="48" t="n"/>
      <c r="F1576" s="48" t="n"/>
      <c r="G1576" s="48" t="n"/>
      <c r="H1576" s="48" t="n"/>
      <c r="I1576" s="49" t="n"/>
      <c r="J1576" s="50" t="n"/>
      <c r="K1576" s="48" t="n"/>
      <c r="L1576" s="51">
        <f>IF(A1576="","",DATE(YEAR(A1576),MONTH(A1576),1))</f>
        <v/>
      </c>
      <c r="M1576" s="52">
        <f>IF(OR(A1576="",NOT(ISNUMBER(I1576))),"",IF(G1576=Lists!$B$5,I1576/2,IF(G1576=Lists!$B$6,I1576,0)))</f>
        <v/>
      </c>
      <c r="N1576" s="52">
        <f>IF(OR(A1576="",NOT(ISNUMBER(I1576))),"",IF(G1576=Lists!$B$5,I1576/2,IF(G1576=Lists!$B$7,I1576,0)))</f>
        <v/>
      </c>
      <c r="O1576" s="53">
        <f>IF(COUNTA(A1576:K1576)=0,"",IF(OR(A1576="",B1576="",C1576="",D1576="",E1576="",F1576="",G1576="",NOT(ISNUMBER(I1576))),"Incomplete",IF(COUNTIF(Lists!$H$4:$AA$4,C1576)=0,"Check category",IF(COUNTIF(INDEX(Lists!$H$6:$AA$45,0,MATCH(C1576,Lists!$H$4:$AA$4,0)),D1576)=0,"Check sub-category","OK"))))</f>
        <v/>
      </c>
      <c r="P1576">
        <f>IF(ISNUMBER(I1576),I1576+ROW()/10000000,"")</f>
        <v/>
      </c>
      <c r="Q1576">
        <f>IF(AND(ISNUMBER(P1576),ISNUMBER(A1576)),IF(AND(A1576&gt;=Dashboard!$Q$3,A1576&lt;=Dashboard!$Q$4,OR(J1576&lt;&gt;"Yes",Dashboard!$Q$15="Yes")),P1576,""),"")</f>
        <v/>
      </c>
    </row>
    <row r="1577">
      <c r="A1577" s="47" t="n"/>
      <c r="B1577" s="48" t="n"/>
      <c r="C1577" s="48" t="n"/>
      <c r="D1577" s="48" t="n"/>
      <c r="E1577" s="48" t="n"/>
      <c r="F1577" s="48" t="n"/>
      <c r="G1577" s="48" t="n"/>
      <c r="H1577" s="48" t="n"/>
      <c r="I1577" s="49" t="n"/>
      <c r="J1577" s="50" t="n"/>
      <c r="K1577" s="48" t="n"/>
      <c r="L1577" s="51">
        <f>IF(A1577="","",DATE(YEAR(A1577),MONTH(A1577),1))</f>
        <v/>
      </c>
      <c r="M1577" s="52">
        <f>IF(OR(A1577="",NOT(ISNUMBER(I1577))),"",IF(G1577=Lists!$B$5,I1577/2,IF(G1577=Lists!$B$6,I1577,0)))</f>
        <v/>
      </c>
      <c r="N1577" s="52">
        <f>IF(OR(A1577="",NOT(ISNUMBER(I1577))),"",IF(G1577=Lists!$B$5,I1577/2,IF(G1577=Lists!$B$7,I1577,0)))</f>
        <v/>
      </c>
      <c r="O1577" s="53">
        <f>IF(COUNTA(A1577:K1577)=0,"",IF(OR(A1577="",B1577="",C1577="",D1577="",E1577="",F1577="",G1577="",NOT(ISNUMBER(I1577))),"Incomplete",IF(COUNTIF(Lists!$H$4:$AA$4,C1577)=0,"Check category",IF(COUNTIF(INDEX(Lists!$H$6:$AA$45,0,MATCH(C1577,Lists!$H$4:$AA$4,0)),D1577)=0,"Check sub-category","OK"))))</f>
        <v/>
      </c>
      <c r="P1577">
        <f>IF(ISNUMBER(I1577),I1577+ROW()/10000000,"")</f>
        <v/>
      </c>
      <c r="Q1577">
        <f>IF(AND(ISNUMBER(P1577),ISNUMBER(A1577)),IF(AND(A1577&gt;=Dashboard!$Q$3,A1577&lt;=Dashboard!$Q$4,OR(J1577&lt;&gt;"Yes",Dashboard!$Q$15="Yes")),P1577,""),"")</f>
        <v/>
      </c>
    </row>
    <row r="1578">
      <c r="A1578" s="47" t="n"/>
      <c r="B1578" s="48" t="n"/>
      <c r="C1578" s="48" t="n"/>
      <c r="D1578" s="48" t="n"/>
      <c r="E1578" s="48" t="n"/>
      <c r="F1578" s="48" t="n"/>
      <c r="G1578" s="48" t="n"/>
      <c r="H1578" s="48" t="n"/>
      <c r="I1578" s="49" t="n"/>
      <c r="J1578" s="50" t="n"/>
      <c r="K1578" s="48" t="n"/>
      <c r="L1578" s="51">
        <f>IF(A1578="","",DATE(YEAR(A1578),MONTH(A1578),1))</f>
        <v/>
      </c>
      <c r="M1578" s="52">
        <f>IF(OR(A1578="",NOT(ISNUMBER(I1578))),"",IF(G1578=Lists!$B$5,I1578/2,IF(G1578=Lists!$B$6,I1578,0)))</f>
        <v/>
      </c>
      <c r="N1578" s="52">
        <f>IF(OR(A1578="",NOT(ISNUMBER(I1578))),"",IF(G1578=Lists!$B$5,I1578/2,IF(G1578=Lists!$B$7,I1578,0)))</f>
        <v/>
      </c>
      <c r="O1578" s="53">
        <f>IF(COUNTA(A1578:K1578)=0,"",IF(OR(A1578="",B1578="",C1578="",D1578="",E1578="",F1578="",G1578="",NOT(ISNUMBER(I1578))),"Incomplete",IF(COUNTIF(Lists!$H$4:$AA$4,C1578)=0,"Check category",IF(COUNTIF(INDEX(Lists!$H$6:$AA$45,0,MATCH(C1578,Lists!$H$4:$AA$4,0)),D1578)=0,"Check sub-category","OK"))))</f>
        <v/>
      </c>
      <c r="P1578">
        <f>IF(ISNUMBER(I1578),I1578+ROW()/10000000,"")</f>
        <v/>
      </c>
      <c r="Q1578">
        <f>IF(AND(ISNUMBER(P1578),ISNUMBER(A1578)),IF(AND(A1578&gt;=Dashboard!$Q$3,A1578&lt;=Dashboard!$Q$4,OR(J1578&lt;&gt;"Yes",Dashboard!$Q$15="Yes")),P1578,""),"")</f>
        <v/>
      </c>
    </row>
    <row r="1579">
      <c r="A1579" s="47" t="n"/>
      <c r="B1579" s="48" t="n"/>
      <c r="C1579" s="48" t="n"/>
      <c r="D1579" s="48" t="n"/>
      <c r="E1579" s="48" t="n"/>
      <c r="F1579" s="48" t="n"/>
      <c r="G1579" s="48" t="n"/>
      <c r="H1579" s="48" t="n"/>
      <c r="I1579" s="49" t="n"/>
      <c r="J1579" s="50" t="n"/>
      <c r="K1579" s="48" t="n"/>
      <c r="L1579" s="51">
        <f>IF(A1579="","",DATE(YEAR(A1579),MONTH(A1579),1))</f>
        <v/>
      </c>
      <c r="M1579" s="52">
        <f>IF(OR(A1579="",NOT(ISNUMBER(I1579))),"",IF(G1579=Lists!$B$5,I1579/2,IF(G1579=Lists!$B$6,I1579,0)))</f>
        <v/>
      </c>
      <c r="N1579" s="52">
        <f>IF(OR(A1579="",NOT(ISNUMBER(I1579))),"",IF(G1579=Lists!$B$5,I1579/2,IF(G1579=Lists!$B$7,I1579,0)))</f>
        <v/>
      </c>
      <c r="O1579" s="53">
        <f>IF(COUNTA(A1579:K1579)=0,"",IF(OR(A1579="",B1579="",C1579="",D1579="",E1579="",F1579="",G1579="",NOT(ISNUMBER(I1579))),"Incomplete",IF(COUNTIF(Lists!$H$4:$AA$4,C1579)=0,"Check category",IF(COUNTIF(INDEX(Lists!$H$6:$AA$45,0,MATCH(C1579,Lists!$H$4:$AA$4,0)),D1579)=0,"Check sub-category","OK"))))</f>
        <v/>
      </c>
      <c r="P1579">
        <f>IF(ISNUMBER(I1579),I1579+ROW()/10000000,"")</f>
        <v/>
      </c>
      <c r="Q1579">
        <f>IF(AND(ISNUMBER(P1579),ISNUMBER(A1579)),IF(AND(A1579&gt;=Dashboard!$Q$3,A1579&lt;=Dashboard!$Q$4,OR(J1579&lt;&gt;"Yes",Dashboard!$Q$15="Yes")),P1579,""),"")</f>
        <v/>
      </c>
    </row>
    <row r="1580">
      <c r="A1580" s="47" t="n"/>
      <c r="B1580" s="48" t="n"/>
      <c r="C1580" s="48" t="n"/>
      <c r="D1580" s="48" t="n"/>
      <c r="E1580" s="48" t="n"/>
      <c r="F1580" s="48" t="n"/>
      <c r="G1580" s="48" t="n"/>
      <c r="H1580" s="48" t="n"/>
      <c r="I1580" s="49" t="n"/>
      <c r="J1580" s="50" t="n"/>
      <c r="K1580" s="48" t="n"/>
      <c r="L1580" s="51">
        <f>IF(A1580="","",DATE(YEAR(A1580),MONTH(A1580),1))</f>
        <v/>
      </c>
      <c r="M1580" s="52">
        <f>IF(OR(A1580="",NOT(ISNUMBER(I1580))),"",IF(G1580=Lists!$B$5,I1580/2,IF(G1580=Lists!$B$6,I1580,0)))</f>
        <v/>
      </c>
      <c r="N1580" s="52">
        <f>IF(OR(A1580="",NOT(ISNUMBER(I1580))),"",IF(G1580=Lists!$B$5,I1580/2,IF(G1580=Lists!$B$7,I1580,0)))</f>
        <v/>
      </c>
      <c r="O1580" s="53">
        <f>IF(COUNTA(A1580:K1580)=0,"",IF(OR(A1580="",B1580="",C1580="",D1580="",E1580="",F1580="",G1580="",NOT(ISNUMBER(I1580))),"Incomplete",IF(COUNTIF(Lists!$H$4:$AA$4,C1580)=0,"Check category",IF(COUNTIF(INDEX(Lists!$H$6:$AA$45,0,MATCH(C1580,Lists!$H$4:$AA$4,0)),D1580)=0,"Check sub-category","OK"))))</f>
        <v/>
      </c>
      <c r="P1580">
        <f>IF(ISNUMBER(I1580),I1580+ROW()/10000000,"")</f>
        <v/>
      </c>
      <c r="Q1580">
        <f>IF(AND(ISNUMBER(P1580),ISNUMBER(A1580)),IF(AND(A1580&gt;=Dashboard!$Q$3,A1580&lt;=Dashboard!$Q$4,OR(J1580&lt;&gt;"Yes",Dashboard!$Q$15="Yes")),P1580,""),"")</f>
        <v/>
      </c>
    </row>
    <row r="1581">
      <c r="A1581" s="47" t="n"/>
      <c r="B1581" s="48" t="n"/>
      <c r="C1581" s="48" t="n"/>
      <c r="D1581" s="48" t="n"/>
      <c r="E1581" s="48" t="n"/>
      <c r="F1581" s="48" t="n"/>
      <c r="G1581" s="48" t="n"/>
      <c r="H1581" s="48" t="n"/>
      <c r="I1581" s="49" t="n"/>
      <c r="J1581" s="50" t="n"/>
      <c r="K1581" s="48" t="n"/>
      <c r="L1581" s="51">
        <f>IF(A1581="","",DATE(YEAR(A1581),MONTH(A1581),1))</f>
        <v/>
      </c>
      <c r="M1581" s="52">
        <f>IF(OR(A1581="",NOT(ISNUMBER(I1581))),"",IF(G1581=Lists!$B$5,I1581/2,IF(G1581=Lists!$B$6,I1581,0)))</f>
        <v/>
      </c>
      <c r="N1581" s="52">
        <f>IF(OR(A1581="",NOT(ISNUMBER(I1581))),"",IF(G1581=Lists!$B$5,I1581/2,IF(G1581=Lists!$B$7,I1581,0)))</f>
        <v/>
      </c>
      <c r="O1581" s="53">
        <f>IF(COUNTA(A1581:K1581)=0,"",IF(OR(A1581="",B1581="",C1581="",D1581="",E1581="",F1581="",G1581="",NOT(ISNUMBER(I1581))),"Incomplete",IF(COUNTIF(Lists!$H$4:$AA$4,C1581)=0,"Check category",IF(COUNTIF(INDEX(Lists!$H$6:$AA$45,0,MATCH(C1581,Lists!$H$4:$AA$4,0)),D1581)=0,"Check sub-category","OK"))))</f>
        <v/>
      </c>
      <c r="P1581">
        <f>IF(ISNUMBER(I1581),I1581+ROW()/10000000,"")</f>
        <v/>
      </c>
      <c r="Q1581">
        <f>IF(AND(ISNUMBER(P1581),ISNUMBER(A1581)),IF(AND(A1581&gt;=Dashboard!$Q$3,A1581&lt;=Dashboard!$Q$4,OR(J1581&lt;&gt;"Yes",Dashboard!$Q$15="Yes")),P1581,""),"")</f>
        <v/>
      </c>
    </row>
    <row r="1582">
      <c r="A1582" s="47" t="n"/>
      <c r="B1582" s="48" t="n"/>
      <c r="C1582" s="48" t="n"/>
      <c r="D1582" s="48" t="n"/>
      <c r="E1582" s="48" t="n"/>
      <c r="F1582" s="48" t="n"/>
      <c r="G1582" s="48" t="n"/>
      <c r="H1582" s="48" t="n"/>
      <c r="I1582" s="49" t="n"/>
      <c r="J1582" s="50" t="n"/>
      <c r="K1582" s="48" t="n"/>
      <c r="L1582" s="51">
        <f>IF(A1582="","",DATE(YEAR(A1582),MONTH(A1582),1))</f>
        <v/>
      </c>
      <c r="M1582" s="52">
        <f>IF(OR(A1582="",NOT(ISNUMBER(I1582))),"",IF(G1582=Lists!$B$5,I1582/2,IF(G1582=Lists!$B$6,I1582,0)))</f>
        <v/>
      </c>
      <c r="N1582" s="52">
        <f>IF(OR(A1582="",NOT(ISNUMBER(I1582))),"",IF(G1582=Lists!$B$5,I1582/2,IF(G1582=Lists!$B$7,I1582,0)))</f>
        <v/>
      </c>
      <c r="O1582" s="53">
        <f>IF(COUNTA(A1582:K1582)=0,"",IF(OR(A1582="",B1582="",C1582="",D1582="",E1582="",F1582="",G1582="",NOT(ISNUMBER(I1582))),"Incomplete",IF(COUNTIF(Lists!$H$4:$AA$4,C1582)=0,"Check category",IF(COUNTIF(INDEX(Lists!$H$6:$AA$45,0,MATCH(C1582,Lists!$H$4:$AA$4,0)),D1582)=0,"Check sub-category","OK"))))</f>
        <v/>
      </c>
      <c r="P1582">
        <f>IF(ISNUMBER(I1582),I1582+ROW()/10000000,"")</f>
        <v/>
      </c>
      <c r="Q1582">
        <f>IF(AND(ISNUMBER(P1582),ISNUMBER(A1582)),IF(AND(A1582&gt;=Dashboard!$Q$3,A1582&lt;=Dashboard!$Q$4,OR(J1582&lt;&gt;"Yes",Dashboard!$Q$15="Yes")),P1582,""),"")</f>
        <v/>
      </c>
    </row>
    <row r="1583">
      <c r="A1583" s="47" t="n"/>
      <c r="B1583" s="48" t="n"/>
      <c r="C1583" s="48" t="n"/>
      <c r="D1583" s="48" t="n"/>
      <c r="E1583" s="48" t="n"/>
      <c r="F1583" s="48" t="n"/>
      <c r="G1583" s="48" t="n"/>
      <c r="H1583" s="48" t="n"/>
      <c r="I1583" s="49" t="n"/>
      <c r="J1583" s="50" t="n"/>
      <c r="K1583" s="48" t="n"/>
      <c r="L1583" s="51">
        <f>IF(A1583="","",DATE(YEAR(A1583),MONTH(A1583),1))</f>
        <v/>
      </c>
      <c r="M1583" s="52">
        <f>IF(OR(A1583="",NOT(ISNUMBER(I1583))),"",IF(G1583=Lists!$B$5,I1583/2,IF(G1583=Lists!$B$6,I1583,0)))</f>
        <v/>
      </c>
      <c r="N1583" s="52">
        <f>IF(OR(A1583="",NOT(ISNUMBER(I1583))),"",IF(G1583=Lists!$B$5,I1583/2,IF(G1583=Lists!$B$7,I1583,0)))</f>
        <v/>
      </c>
      <c r="O1583" s="53">
        <f>IF(COUNTA(A1583:K1583)=0,"",IF(OR(A1583="",B1583="",C1583="",D1583="",E1583="",F1583="",G1583="",NOT(ISNUMBER(I1583))),"Incomplete",IF(COUNTIF(Lists!$H$4:$AA$4,C1583)=0,"Check category",IF(COUNTIF(INDEX(Lists!$H$6:$AA$45,0,MATCH(C1583,Lists!$H$4:$AA$4,0)),D1583)=0,"Check sub-category","OK"))))</f>
        <v/>
      </c>
      <c r="P1583">
        <f>IF(ISNUMBER(I1583),I1583+ROW()/10000000,"")</f>
        <v/>
      </c>
      <c r="Q1583">
        <f>IF(AND(ISNUMBER(P1583),ISNUMBER(A1583)),IF(AND(A1583&gt;=Dashboard!$Q$3,A1583&lt;=Dashboard!$Q$4,OR(J1583&lt;&gt;"Yes",Dashboard!$Q$15="Yes")),P1583,""),"")</f>
        <v/>
      </c>
    </row>
    <row r="1584">
      <c r="A1584" s="47" t="n"/>
      <c r="B1584" s="48" t="n"/>
      <c r="C1584" s="48" t="n"/>
      <c r="D1584" s="48" t="n"/>
      <c r="E1584" s="48" t="n"/>
      <c r="F1584" s="48" t="n"/>
      <c r="G1584" s="48" t="n"/>
      <c r="H1584" s="48" t="n"/>
      <c r="I1584" s="49" t="n"/>
      <c r="J1584" s="50" t="n"/>
      <c r="K1584" s="48" t="n"/>
      <c r="L1584" s="51">
        <f>IF(A1584="","",DATE(YEAR(A1584),MONTH(A1584),1))</f>
        <v/>
      </c>
      <c r="M1584" s="52">
        <f>IF(OR(A1584="",NOT(ISNUMBER(I1584))),"",IF(G1584=Lists!$B$5,I1584/2,IF(G1584=Lists!$B$6,I1584,0)))</f>
        <v/>
      </c>
      <c r="N1584" s="52">
        <f>IF(OR(A1584="",NOT(ISNUMBER(I1584))),"",IF(G1584=Lists!$B$5,I1584/2,IF(G1584=Lists!$B$7,I1584,0)))</f>
        <v/>
      </c>
      <c r="O1584" s="53">
        <f>IF(COUNTA(A1584:K1584)=0,"",IF(OR(A1584="",B1584="",C1584="",D1584="",E1584="",F1584="",G1584="",NOT(ISNUMBER(I1584))),"Incomplete",IF(COUNTIF(Lists!$H$4:$AA$4,C1584)=0,"Check category",IF(COUNTIF(INDEX(Lists!$H$6:$AA$45,0,MATCH(C1584,Lists!$H$4:$AA$4,0)),D1584)=0,"Check sub-category","OK"))))</f>
        <v/>
      </c>
      <c r="P1584">
        <f>IF(ISNUMBER(I1584),I1584+ROW()/10000000,"")</f>
        <v/>
      </c>
      <c r="Q1584">
        <f>IF(AND(ISNUMBER(P1584),ISNUMBER(A1584)),IF(AND(A1584&gt;=Dashboard!$Q$3,A1584&lt;=Dashboard!$Q$4,OR(J1584&lt;&gt;"Yes",Dashboard!$Q$15="Yes")),P1584,""),"")</f>
        <v/>
      </c>
    </row>
    <row r="1585">
      <c r="A1585" s="47" t="n"/>
      <c r="B1585" s="48" t="n"/>
      <c r="C1585" s="48" t="n"/>
      <c r="D1585" s="48" t="n"/>
      <c r="E1585" s="48" t="n"/>
      <c r="F1585" s="48" t="n"/>
      <c r="G1585" s="48" t="n"/>
      <c r="H1585" s="48" t="n"/>
      <c r="I1585" s="49" t="n"/>
      <c r="J1585" s="50" t="n"/>
      <c r="K1585" s="48" t="n"/>
      <c r="L1585" s="51">
        <f>IF(A1585="","",DATE(YEAR(A1585),MONTH(A1585),1))</f>
        <v/>
      </c>
      <c r="M1585" s="52">
        <f>IF(OR(A1585="",NOT(ISNUMBER(I1585))),"",IF(G1585=Lists!$B$5,I1585/2,IF(G1585=Lists!$B$6,I1585,0)))</f>
        <v/>
      </c>
      <c r="N1585" s="52">
        <f>IF(OR(A1585="",NOT(ISNUMBER(I1585))),"",IF(G1585=Lists!$B$5,I1585/2,IF(G1585=Lists!$B$7,I1585,0)))</f>
        <v/>
      </c>
      <c r="O1585" s="53">
        <f>IF(COUNTA(A1585:K1585)=0,"",IF(OR(A1585="",B1585="",C1585="",D1585="",E1585="",F1585="",G1585="",NOT(ISNUMBER(I1585))),"Incomplete",IF(COUNTIF(Lists!$H$4:$AA$4,C1585)=0,"Check category",IF(COUNTIF(INDEX(Lists!$H$6:$AA$45,0,MATCH(C1585,Lists!$H$4:$AA$4,0)),D1585)=0,"Check sub-category","OK"))))</f>
        <v/>
      </c>
      <c r="P1585">
        <f>IF(ISNUMBER(I1585),I1585+ROW()/10000000,"")</f>
        <v/>
      </c>
      <c r="Q1585">
        <f>IF(AND(ISNUMBER(P1585),ISNUMBER(A1585)),IF(AND(A1585&gt;=Dashboard!$Q$3,A1585&lt;=Dashboard!$Q$4,OR(J1585&lt;&gt;"Yes",Dashboard!$Q$15="Yes")),P1585,""),"")</f>
        <v/>
      </c>
    </row>
    <row r="1586">
      <c r="A1586" s="47" t="n"/>
      <c r="B1586" s="48" t="n"/>
      <c r="C1586" s="48" t="n"/>
      <c r="D1586" s="48" t="n"/>
      <c r="E1586" s="48" t="n"/>
      <c r="F1586" s="48" t="n"/>
      <c r="G1586" s="48" t="n"/>
      <c r="H1586" s="48" t="n"/>
      <c r="I1586" s="49" t="n"/>
      <c r="J1586" s="50" t="n"/>
      <c r="K1586" s="48" t="n"/>
      <c r="L1586" s="51">
        <f>IF(A1586="","",DATE(YEAR(A1586),MONTH(A1586),1))</f>
        <v/>
      </c>
      <c r="M1586" s="52">
        <f>IF(OR(A1586="",NOT(ISNUMBER(I1586))),"",IF(G1586=Lists!$B$5,I1586/2,IF(G1586=Lists!$B$6,I1586,0)))</f>
        <v/>
      </c>
      <c r="N1586" s="52">
        <f>IF(OR(A1586="",NOT(ISNUMBER(I1586))),"",IF(G1586=Lists!$B$5,I1586/2,IF(G1586=Lists!$B$7,I1586,0)))</f>
        <v/>
      </c>
      <c r="O1586" s="53">
        <f>IF(COUNTA(A1586:K1586)=0,"",IF(OR(A1586="",B1586="",C1586="",D1586="",E1586="",F1586="",G1586="",NOT(ISNUMBER(I1586))),"Incomplete",IF(COUNTIF(Lists!$H$4:$AA$4,C1586)=0,"Check category",IF(COUNTIF(INDEX(Lists!$H$6:$AA$45,0,MATCH(C1586,Lists!$H$4:$AA$4,0)),D1586)=0,"Check sub-category","OK"))))</f>
        <v/>
      </c>
      <c r="P1586">
        <f>IF(ISNUMBER(I1586),I1586+ROW()/10000000,"")</f>
        <v/>
      </c>
      <c r="Q1586">
        <f>IF(AND(ISNUMBER(P1586),ISNUMBER(A1586)),IF(AND(A1586&gt;=Dashboard!$Q$3,A1586&lt;=Dashboard!$Q$4,OR(J1586&lt;&gt;"Yes",Dashboard!$Q$15="Yes")),P1586,""),"")</f>
        <v/>
      </c>
    </row>
    <row r="1587">
      <c r="A1587" s="47" t="n"/>
      <c r="B1587" s="48" t="n"/>
      <c r="C1587" s="48" t="n"/>
      <c r="D1587" s="48" t="n"/>
      <c r="E1587" s="48" t="n"/>
      <c r="F1587" s="48" t="n"/>
      <c r="G1587" s="48" t="n"/>
      <c r="H1587" s="48" t="n"/>
      <c r="I1587" s="49" t="n"/>
      <c r="J1587" s="50" t="n"/>
      <c r="K1587" s="48" t="n"/>
      <c r="L1587" s="51">
        <f>IF(A1587="","",DATE(YEAR(A1587),MONTH(A1587),1))</f>
        <v/>
      </c>
      <c r="M1587" s="52">
        <f>IF(OR(A1587="",NOT(ISNUMBER(I1587))),"",IF(G1587=Lists!$B$5,I1587/2,IF(G1587=Lists!$B$6,I1587,0)))</f>
        <v/>
      </c>
      <c r="N1587" s="52">
        <f>IF(OR(A1587="",NOT(ISNUMBER(I1587))),"",IF(G1587=Lists!$B$5,I1587/2,IF(G1587=Lists!$B$7,I1587,0)))</f>
        <v/>
      </c>
      <c r="O1587" s="53">
        <f>IF(COUNTA(A1587:K1587)=0,"",IF(OR(A1587="",B1587="",C1587="",D1587="",E1587="",F1587="",G1587="",NOT(ISNUMBER(I1587))),"Incomplete",IF(COUNTIF(Lists!$H$4:$AA$4,C1587)=0,"Check category",IF(COUNTIF(INDEX(Lists!$H$6:$AA$45,0,MATCH(C1587,Lists!$H$4:$AA$4,0)),D1587)=0,"Check sub-category","OK"))))</f>
        <v/>
      </c>
      <c r="P1587">
        <f>IF(ISNUMBER(I1587),I1587+ROW()/10000000,"")</f>
        <v/>
      </c>
      <c r="Q1587">
        <f>IF(AND(ISNUMBER(P1587),ISNUMBER(A1587)),IF(AND(A1587&gt;=Dashboard!$Q$3,A1587&lt;=Dashboard!$Q$4,OR(J1587&lt;&gt;"Yes",Dashboard!$Q$15="Yes")),P1587,""),"")</f>
        <v/>
      </c>
    </row>
    <row r="1588">
      <c r="A1588" s="47" t="n"/>
      <c r="B1588" s="48" t="n"/>
      <c r="C1588" s="48" t="n"/>
      <c r="D1588" s="48" t="n"/>
      <c r="E1588" s="48" t="n"/>
      <c r="F1588" s="48" t="n"/>
      <c r="G1588" s="48" t="n"/>
      <c r="H1588" s="48" t="n"/>
      <c r="I1588" s="49" t="n"/>
      <c r="J1588" s="50" t="n"/>
      <c r="K1588" s="48" t="n"/>
      <c r="L1588" s="51">
        <f>IF(A1588="","",DATE(YEAR(A1588),MONTH(A1588),1))</f>
        <v/>
      </c>
      <c r="M1588" s="52">
        <f>IF(OR(A1588="",NOT(ISNUMBER(I1588))),"",IF(G1588=Lists!$B$5,I1588/2,IF(G1588=Lists!$B$6,I1588,0)))</f>
        <v/>
      </c>
      <c r="N1588" s="52">
        <f>IF(OR(A1588="",NOT(ISNUMBER(I1588))),"",IF(G1588=Lists!$B$5,I1588/2,IF(G1588=Lists!$B$7,I1588,0)))</f>
        <v/>
      </c>
      <c r="O1588" s="53">
        <f>IF(COUNTA(A1588:K1588)=0,"",IF(OR(A1588="",B1588="",C1588="",D1588="",E1588="",F1588="",G1588="",NOT(ISNUMBER(I1588))),"Incomplete",IF(COUNTIF(Lists!$H$4:$AA$4,C1588)=0,"Check category",IF(COUNTIF(INDEX(Lists!$H$6:$AA$45,0,MATCH(C1588,Lists!$H$4:$AA$4,0)),D1588)=0,"Check sub-category","OK"))))</f>
        <v/>
      </c>
      <c r="P1588">
        <f>IF(ISNUMBER(I1588),I1588+ROW()/10000000,"")</f>
        <v/>
      </c>
      <c r="Q1588">
        <f>IF(AND(ISNUMBER(P1588),ISNUMBER(A1588)),IF(AND(A1588&gt;=Dashboard!$Q$3,A1588&lt;=Dashboard!$Q$4,OR(J1588&lt;&gt;"Yes",Dashboard!$Q$15="Yes")),P1588,""),"")</f>
        <v/>
      </c>
    </row>
    <row r="1589">
      <c r="A1589" s="47" t="n"/>
      <c r="B1589" s="48" t="n"/>
      <c r="C1589" s="48" t="n"/>
      <c r="D1589" s="48" t="n"/>
      <c r="E1589" s="48" t="n"/>
      <c r="F1589" s="48" t="n"/>
      <c r="G1589" s="48" t="n"/>
      <c r="H1589" s="48" t="n"/>
      <c r="I1589" s="49" t="n"/>
      <c r="J1589" s="50" t="n"/>
      <c r="K1589" s="48" t="n"/>
      <c r="L1589" s="51">
        <f>IF(A1589="","",DATE(YEAR(A1589),MONTH(A1589),1))</f>
        <v/>
      </c>
      <c r="M1589" s="52">
        <f>IF(OR(A1589="",NOT(ISNUMBER(I1589))),"",IF(G1589=Lists!$B$5,I1589/2,IF(G1589=Lists!$B$6,I1589,0)))</f>
        <v/>
      </c>
      <c r="N1589" s="52">
        <f>IF(OR(A1589="",NOT(ISNUMBER(I1589))),"",IF(G1589=Lists!$B$5,I1589/2,IF(G1589=Lists!$B$7,I1589,0)))</f>
        <v/>
      </c>
      <c r="O1589" s="53">
        <f>IF(COUNTA(A1589:K1589)=0,"",IF(OR(A1589="",B1589="",C1589="",D1589="",E1589="",F1589="",G1589="",NOT(ISNUMBER(I1589))),"Incomplete",IF(COUNTIF(Lists!$H$4:$AA$4,C1589)=0,"Check category",IF(COUNTIF(INDEX(Lists!$H$6:$AA$45,0,MATCH(C1589,Lists!$H$4:$AA$4,0)),D1589)=0,"Check sub-category","OK"))))</f>
        <v/>
      </c>
      <c r="P1589">
        <f>IF(ISNUMBER(I1589),I1589+ROW()/10000000,"")</f>
        <v/>
      </c>
      <c r="Q1589">
        <f>IF(AND(ISNUMBER(P1589),ISNUMBER(A1589)),IF(AND(A1589&gt;=Dashboard!$Q$3,A1589&lt;=Dashboard!$Q$4,OR(J1589&lt;&gt;"Yes",Dashboard!$Q$15="Yes")),P1589,""),"")</f>
        <v/>
      </c>
    </row>
    <row r="1590">
      <c r="A1590" s="47" t="n"/>
      <c r="B1590" s="48" t="n"/>
      <c r="C1590" s="48" t="n"/>
      <c r="D1590" s="48" t="n"/>
      <c r="E1590" s="48" t="n"/>
      <c r="F1590" s="48" t="n"/>
      <c r="G1590" s="48" t="n"/>
      <c r="H1590" s="48" t="n"/>
      <c r="I1590" s="49" t="n"/>
      <c r="J1590" s="50" t="n"/>
      <c r="K1590" s="48" t="n"/>
      <c r="L1590" s="51">
        <f>IF(A1590="","",DATE(YEAR(A1590),MONTH(A1590),1))</f>
        <v/>
      </c>
      <c r="M1590" s="52">
        <f>IF(OR(A1590="",NOT(ISNUMBER(I1590))),"",IF(G1590=Lists!$B$5,I1590/2,IF(G1590=Lists!$B$6,I1590,0)))</f>
        <v/>
      </c>
      <c r="N1590" s="52">
        <f>IF(OR(A1590="",NOT(ISNUMBER(I1590))),"",IF(G1590=Lists!$B$5,I1590/2,IF(G1590=Lists!$B$7,I1590,0)))</f>
        <v/>
      </c>
      <c r="O1590" s="53">
        <f>IF(COUNTA(A1590:K1590)=0,"",IF(OR(A1590="",B1590="",C1590="",D1590="",E1590="",F1590="",G1590="",NOT(ISNUMBER(I1590))),"Incomplete",IF(COUNTIF(Lists!$H$4:$AA$4,C1590)=0,"Check category",IF(COUNTIF(INDEX(Lists!$H$6:$AA$45,0,MATCH(C1590,Lists!$H$4:$AA$4,0)),D1590)=0,"Check sub-category","OK"))))</f>
        <v/>
      </c>
      <c r="P1590">
        <f>IF(ISNUMBER(I1590),I1590+ROW()/10000000,"")</f>
        <v/>
      </c>
      <c r="Q1590">
        <f>IF(AND(ISNUMBER(P1590),ISNUMBER(A1590)),IF(AND(A1590&gt;=Dashboard!$Q$3,A1590&lt;=Dashboard!$Q$4,OR(J1590&lt;&gt;"Yes",Dashboard!$Q$15="Yes")),P1590,""),"")</f>
        <v/>
      </c>
    </row>
    <row r="1591">
      <c r="A1591" s="47" t="n"/>
      <c r="B1591" s="48" t="n"/>
      <c r="C1591" s="48" t="n"/>
      <c r="D1591" s="48" t="n"/>
      <c r="E1591" s="48" t="n"/>
      <c r="F1591" s="48" t="n"/>
      <c r="G1591" s="48" t="n"/>
      <c r="H1591" s="48" t="n"/>
      <c r="I1591" s="49" t="n"/>
      <c r="J1591" s="50" t="n"/>
      <c r="K1591" s="48" t="n"/>
      <c r="L1591" s="51">
        <f>IF(A1591="","",DATE(YEAR(A1591),MONTH(A1591),1))</f>
        <v/>
      </c>
      <c r="M1591" s="52">
        <f>IF(OR(A1591="",NOT(ISNUMBER(I1591))),"",IF(G1591=Lists!$B$5,I1591/2,IF(G1591=Lists!$B$6,I1591,0)))</f>
        <v/>
      </c>
      <c r="N1591" s="52">
        <f>IF(OR(A1591="",NOT(ISNUMBER(I1591))),"",IF(G1591=Lists!$B$5,I1591/2,IF(G1591=Lists!$B$7,I1591,0)))</f>
        <v/>
      </c>
      <c r="O1591" s="53">
        <f>IF(COUNTA(A1591:K1591)=0,"",IF(OR(A1591="",B1591="",C1591="",D1591="",E1591="",F1591="",G1591="",NOT(ISNUMBER(I1591))),"Incomplete",IF(COUNTIF(Lists!$H$4:$AA$4,C1591)=0,"Check category",IF(COUNTIF(INDEX(Lists!$H$6:$AA$45,0,MATCH(C1591,Lists!$H$4:$AA$4,0)),D1591)=0,"Check sub-category","OK"))))</f>
        <v/>
      </c>
      <c r="P1591">
        <f>IF(ISNUMBER(I1591),I1591+ROW()/10000000,"")</f>
        <v/>
      </c>
      <c r="Q1591">
        <f>IF(AND(ISNUMBER(P1591),ISNUMBER(A1591)),IF(AND(A1591&gt;=Dashboard!$Q$3,A1591&lt;=Dashboard!$Q$4,OR(J1591&lt;&gt;"Yes",Dashboard!$Q$15="Yes")),P1591,""),"")</f>
        <v/>
      </c>
    </row>
    <row r="1592">
      <c r="A1592" s="47" t="n"/>
      <c r="B1592" s="48" t="n"/>
      <c r="C1592" s="48" t="n"/>
      <c r="D1592" s="48" t="n"/>
      <c r="E1592" s="48" t="n"/>
      <c r="F1592" s="48" t="n"/>
      <c r="G1592" s="48" t="n"/>
      <c r="H1592" s="48" t="n"/>
      <c r="I1592" s="49" t="n"/>
      <c r="J1592" s="50" t="n"/>
      <c r="K1592" s="48" t="n"/>
      <c r="L1592" s="51">
        <f>IF(A1592="","",DATE(YEAR(A1592),MONTH(A1592),1))</f>
        <v/>
      </c>
      <c r="M1592" s="52">
        <f>IF(OR(A1592="",NOT(ISNUMBER(I1592))),"",IF(G1592=Lists!$B$5,I1592/2,IF(G1592=Lists!$B$6,I1592,0)))</f>
        <v/>
      </c>
      <c r="N1592" s="52">
        <f>IF(OR(A1592="",NOT(ISNUMBER(I1592))),"",IF(G1592=Lists!$B$5,I1592/2,IF(G1592=Lists!$B$7,I1592,0)))</f>
        <v/>
      </c>
      <c r="O1592" s="53">
        <f>IF(COUNTA(A1592:K1592)=0,"",IF(OR(A1592="",B1592="",C1592="",D1592="",E1592="",F1592="",G1592="",NOT(ISNUMBER(I1592))),"Incomplete",IF(COUNTIF(Lists!$H$4:$AA$4,C1592)=0,"Check category",IF(COUNTIF(INDEX(Lists!$H$6:$AA$45,0,MATCH(C1592,Lists!$H$4:$AA$4,0)),D1592)=0,"Check sub-category","OK"))))</f>
        <v/>
      </c>
      <c r="P1592">
        <f>IF(ISNUMBER(I1592),I1592+ROW()/10000000,"")</f>
        <v/>
      </c>
      <c r="Q1592">
        <f>IF(AND(ISNUMBER(P1592),ISNUMBER(A1592)),IF(AND(A1592&gt;=Dashboard!$Q$3,A1592&lt;=Dashboard!$Q$4,OR(J1592&lt;&gt;"Yes",Dashboard!$Q$15="Yes")),P1592,""),"")</f>
        <v/>
      </c>
    </row>
    <row r="1593">
      <c r="A1593" s="47" t="n"/>
      <c r="B1593" s="48" t="n"/>
      <c r="C1593" s="48" t="n"/>
      <c r="D1593" s="48" t="n"/>
      <c r="E1593" s="48" t="n"/>
      <c r="F1593" s="48" t="n"/>
      <c r="G1593" s="48" t="n"/>
      <c r="H1593" s="48" t="n"/>
      <c r="I1593" s="49" t="n"/>
      <c r="J1593" s="50" t="n"/>
      <c r="K1593" s="48" t="n"/>
      <c r="L1593" s="51">
        <f>IF(A1593="","",DATE(YEAR(A1593),MONTH(A1593),1))</f>
        <v/>
      </c>
      <c r="M1593" s="52">
        <f>IF(OR(A1593="",NOT(ISNUMBER(I1593))),"",IF(G1593=Lists!$B$5,I1593/2,IF(G1593=Lists!$B$6,I1593,0)))</f>
        <v/>
      </c>
      <c r="N1593" s="52">
        <f>IF(OR(A1593="",NOT(ISNUMBER(I1593))),"",IF(G1593=Lists!$B$5,I1593/2,IF(G1593=Lists!$B$7,I1593,0)))</f>
        <v/>
      </c>
      <c r="O1593" s="53">
        <f>IF(COUNTA(A1593:K1593)=0,"",IF(OR(A1593="",B1593="",C1593="",D1593="",E1593="",F1593="",G1593="",NOT(ISNUMBER(I1593))),"Incomplete",IF(COUNTIF(Lists!$H$4:$AA$4,C1593)=0,"Check category",IF(COUNTIF(INDEX(Lists!$H$6:$AA$45,0,MATCH(C1593,Lists!$H$4:$AA$4,0)),D1593)=0,"Check sub-category","OK"))))</f>
        <v/>
      </c>
      <c r="P1593">
        <f>IF(ISNUMBER(I1593),I1593+ROW()/10000000,"")</f>
        <v/>
      </c>
      <c r="Q1593">
        <f>IF(AND(ISNUMBER(P1593),ISNUMBER(A1593)),IF(AND(A1593&gt;=Dashboard!$Q$3,A1593&lt;=Dashboard!$Q$4,OR(J1593&lt;&gt;"Yes",Dashboard!$Q$15="Yes")),P1593,""),"")</f>
        <v/>
      </c>
    </row>
    <row r="1594">
      <c r="A1594" s="47" t="n"/>
      <c r="B1594" s="48" t="n"/>
      <c r="C1594" s="48" t="n"/>
      <c r="D1594" s="48" t="n"/>
      <c r="E1594" s="48" t="n"/>
      <c r="F1594" s="48" t="n"/>
      <c r="G1594" s="48" t="n"/>
      <c r="H1594" s="48" t="n"/>
      <c r="I1594" s="49" t="n"/>
      <c r="J1594" s="50" t="n"/>
      <c r="K1594" s="48" t="n"/>
      <c r="L1594" s="51">
        <f>IF(A1594="","",DATE(YEAR(A1594),MONTH(A1594),1))</f>
        <v/>
      </c>
      <c r="M1594" s="52">
        <f>IF(OR(A1594="",NOT(ISNUMBER(I1594))),"",IF(G1594=Lists!$B$5,I1594/2,IF(G1594=Lists!$B$6,I1594,0)))</f>
        <v/>
      </c>
      <c r="N1594" s="52">
        <f>IF(OR(A1594="",NOT(ISNUMBER(I1594))),"",IF(G1594=Lists!$B$5,I1594/2,IF(G1594=Lists!$B$7,I1594,0)))</f>
        <v/>
      </c>
      <c r="O1594" s="53">
        <f>IF(COUNTA(A1594:K1594)=0,"",IF(OR(A1594="",B1594="",C1594="",D1594="",E1594="",F1594="",G1594="",NOT(ISNUMBER(I1594))),"Incomplete",IF(COUNTIF(Lists!$H$4:$AA$4,C1594)=0,"Check category",IF(COUNTIF(INDEX(Lists!$H$6:$AA$45,0,MATCH(C1594,Lists!$H$4:$AA$4,0)),D1594)=0,"Check sub-category","OK"))))</f>
        <v/>
      </c>
      <c r="P1594">
        <f>IF(ISNUMBER(I1594),I1594+ROW()/10000000,"")</f>
        <v/>
      </c>
      <c r="Q1594">
        <f>IF(AND(ISNUMBER(P1594),ISNUMBER(A1594)),IF(AND(A1594&gt;=Dashboard!$Q$3,A1594&lt;=Dashboard!$Q$4,OR(J1594&lt;&gt;"Yes",Dashboard!$Q$15="Yes")),P1594,""),"")</f>
        <v/>
      </c>
    </row>
    <row r="1595">
      <c r="A1595" s="47" t="n"/>
      <c r="B1595" s="48" t="n"/>
      <c r="C1595" s="48" t="n"/>
      <c r="D1595" s="48" t="n"/>
      <c r="E1595" s="48" t="n"/>
      <c r="F1595" s="48" t="n"/>
      <c r="G1595" s="48" t="n"/>
      <c r="H1595" s="48" t="n"/>
      <c r="I1595" s="49" t="n"/>
      <c r="J1595" s="50" t="n"/>
      <c r="K1595" s="48" t="n"/>
      <c r="L1595" s="51">
        <f>IF(A1595="","",DATE(YEAR(A1595),MONTH(A1595),1))</f>
        <v/>
      </c>
      <c r="M1595" s="52">
        <f>IF(OR(A1595="",NOT(ISNUMBER(I1595))),"",IF(G1595=Lists!$B$5,I1595/2,IF(G1595=Lists!$B$6,I1595,0)))</f>
        <v/>
      </c>
      <c r="N1595" s="52">
        <f>IF(OR(A1595="",NOT(ISNUMBER(I1595))),"",IF(G1595=Lists!$B$5,I1595/2,IF(G1595=Lists!$B$7,I1595,0)))</f>
        <v/>
      </c>
      <c r="O1595" s="53">
        <f>IF(COUNTA(A1595:K1595)=0,"",IF(OR(A1595="",B1595="",C1595="",D1595="",E1595="",F1595="",G1595="",NOT(ISNUMBER(I1595))),"Incomplete",IF(COUNTIF(Lists!$H$4:$AA$4,C1595)=0,"Check category",IF(COUNTIF(INDEX(Lists!$H$6:$AA$45,0,MATCH(C1595,Lists!$H$4:$AA$4,0)),D1595)=0,"Check sub-category","OK"))))</f>
        <v/>
      </c>
      <c r="P1595">
        <f>IF(ISNUMBER(I1595),I1595+ROW()/10000000,"")</f>
        <v/>
      </c>
      <c r="Q1595">
        <f>IF(AND(ISNUMBER(P1595),ISNUMBER(A1595)),IF(AND(A1595&gt;=Dashboard!$Q$3,A1595&lt;=Dashboard!$Q$4,OR(J1595&lt;&gt;"Yes",Dashboard!$Q$15="Yes")),P1595,""),"")</f>
        <v/>
      </c>
    </row>
    <row r="1596">
      <c r="A1596" s="47" t="n"/>
      <c r="B1596" s="48" t="n"/>
      <c r="C1596" s="48" t="n"/>
      <c r="D1596" s="48" t="n"/>
      <c r="E1596" s="48" t="n"/>
      <c r="F1596" s="48" t="n"/>
      <c r="G1596" s="48" t="n"/>
      <c r="H1596" s="48" t="n"/>
      <c r="I1596" s="49" t="n"/>
      <c r="J1596" s="50" t="n"/>
      <c r="K1596" s="48" t="n"/>
      <c r="L1596" s="51">
        <f>IF(A1596="","",DATE(YEAR(A1596),MONTH(A1596),1))</f>
        <v/>
      </c>
      <c r="M1596" s="52">
        <f>IF(OR(A1596="",NOT(ISNUMBER(I1596))),"",IF(G1596=Lists!$B$5,I1596/2,IF(G1596=Lists!$B$6,I1596,0)))</f>
        <v/>
      </c>
      <c r="N1596" s="52">
        <f>IF(OR(A1596="",NOT(ISNUMBER(I1596))),"",IF(G1596=Lists!$B$5,I1596/2,IF(G1596=Lists!$B$7,I1596,0)))</f>
        <v/>
      </c>
      <c r="O1596" s="53">
        <f>IF(COUNTA(A1596:K1596)=0,"",IF(OR(A1596="",B1596="",C1596="",D1596="",E1596="",F1596="",G1596="",NOT(ISNUMBER(I1596))),"Incomplete",IF(COUNTIF(Lists!$H$4:$AA$4,C1596)=0,"Check category",IF(COUNTIF(INDEX(Lists!$H$6:$AA$45,0,MATCH(C1596,Lists!$H$4:$AA$4,0)),D1596)=0,"Check sub-category","OK"))))</f>
        <v/>
      </c>
      <c r="P1596">
        <f>IF(ISNUMBER(I1596),I1596+ROW()/10000000,"")</f>
        <v/>
      </c>
      <c r="Q1596">
        <f>IF(AND(ISNUMBER(P1596),ISNUMBER(A1596)),IF(AND(A1596&gt;=Dashboard!$Q$3,A1596&lt;=Dashboard!$Q$4,OR(J1596&lt;&gt;"Yes",Dashboard!$Q$15="Yes")),P1596,""),"")</f>
        <v/>
      </c>
    </row>
    <row r="1597">
      <c r="A1597" s="47" t="n"/>
      <c r="B1597" s="48" t="n"/>
      <c r="C1597" s="48" t="n"/>
      <c r="D1597" s="48" t="n"/>
      <c r="E1597" s="48" t="n"/>
      <c r="F1597" s="48" t="n"/>
      <c r="G1597" s="48" t="n"/>
      <c r="H1597" s="48" t="n"/>
      <c r="I1597" s="49" t="n"/>
      <c r="J1597" s="50" t="n"/>
      <c r="K1597" s="48" t="n"/>
      <c r="L1597" s="51">
        <f>IF(A1597="","",DATE(YEAR(A1597),MONTH(A1597),1))</f>
        <v/>
      </c>
      <c r="M1597" s="52">
        <f>IF(OR(A1597="",NOT(ISNUMBER(I1597))),"",IF(G1597=Lists!$B$5,I1597/2,IF(G1597=Lists!$B$6,I1597,0)))</f>
        <v/>
      </c>
      <c r="N1597" s="52">
        <f>IF(OR(A1597="",NOT(ISNUMBER(I1597))),"",IF(G1597=Lists!$B$5,I1597/2,IF(G1597=Lists!$B$7,I1597,0)))</f>
        <v/>
      </c>
      <c r="O1597" s="53">
        <f>IF(COUNTA(A1597:K1597)=0,"",IF(OR(A1597="",B1597="",C1597="",D1597="",E1597="",F1597="",G1597="",NOT(ISNUMBER(I1597))),"Incomplete",IF(COUNTIF(Lists!$H$4:$AA$4,C1597)=0,"Check category",IF(COUNTIF(INDEX(Lists!$H$6:$AA$45,0,MATCH(C1597,Lists!$H$4:$AA$4,0)),D1597)=0,"Check sub-category","OK"))))</f>
        <v/>
      </c>
      <c r="P1597">
        <f>IF(ISNUMBER(I1597),I1597+ROW()/10000000,"")</f>
        <v/>
      </c>
      <c r="Q1597">
        <f>IF(AND(ISNUMBER(P1597),ISNUMBER(A1597)),IF(AND(A1597&gt;=Dashboard!$Q$3,A1597&lt;=Dashboard!$Q$4,OR(J1597&lt;&gt;"Yes",Dashboard!$Q$15="Yes")),P1597,""),"")</f>
        <v/>
      </c>
    </row>
    <row r="1598">
      <c r="A1598" s="47" t="n"/>
      <c r="B1598" s="48" t="n"/>
      <c r="C1598" s="48" t="n"/>
      <c r="D1598" s="48" t="n"/>
      <c r="E1598" s="48" t="n"/>
      <c r="F1598" s="48" t="n"/>
      <c r="G1598" s="48" t="n"/>
      <c r="H1598" s="48" t="n"/>
      <c r="I1598" s="49" t="n"/>
      <c r="J1598" s="50" t="n"/>
      <c r="K1598" s="48" t="n"/>
      <c r="L1598" s="51">
        <f>IF(A1598="","",DATE(YEAR(A1598),MONTH(A1598),1))</f>
        <v/>
      </c>
      <c r="M1598" s="52">
        <f>IF(OR(A1598="",NOT(ISNUMBER(I1598))),"",IF(G1598=Lists!$B$5,I1598/2,IF(G1598=Lists!$B$6,I1598,0)))</f>
        <v/>
      </c>
      <c r="N1598" s="52">
        <f>IF(OR(A1598="",NOT(ISNUMBER(I1598))),"",IF(G1598=Lists!$B$5,I1598/2,IF(G1598=Lists!$B$7,I1598,0)))</f>
        <v/>
      </c>
      <c r="O1598" s="53">
        <f>IF(COUNTA(A1598:K1598)=0,"",IF(OR(A1598="",B1598="",C1598="",D1598="",E1598="",F1598="",G1598="",NOT(ISNUMBER(I1598))),"Incomplete",IF(COUNTIF(Lists!$H$4:$AA$4,C1598)=0,"Check category",IF(COUNTIF(INDEX(Lists!$H$6:$AA$45,0,MATCH(C1598,Lists!$H$4:$AA$4,0)),D1598)=0,"Check sub-category","OK"))))</f>
        <v/>
      </c>
      <c r="P1598">
        <f>IF(ISNUMBER(I1598),I1598+ROW()/10000000,"")</f>
        <v/>
      </c>
      <c r="Q1598">
        <f>IF(AND(ISNUMBER(P1598),ISNUMBER(A1598)),IF(AND(A1598&gt;=Dashboard!$Q$3,A1598&lt;=Dashboard!$Q$4,OR(J1598&lt;&gt;"Yes",Dashboard!$Q$15="Yes")),P1598,""),"")</f>
        <v/>
      </c>
    </row>
    <row r="1599">
      <c r="A1599" s="47" t="n"/>
      <c r="B1599" s="48" t="n"/>
      <c r="C1599" s="48" t="n"/>
      <c r="D1599" s="48" t="n"/>
      <c r="E1599" s="48" t="n"/>
      <c r="F1599" s="48" t="n"/>
      <c r="G1599" s="48" t="n"/>
      <c r="H1599" s="48" t="n"/>
      <c r="I1599" s="49" t="n"/>
      <c r="J1599" s="50" t="n"/>
      <c r="K1599" s="48" t="n"/>
      <c r="L1599" s="51">
        <f>IF(A1599="","",DATE(YEAR(A1599),MONTH(A1599),1))</f>
        <v/>
      </c>
      <c r="M1599" s="52">
        <f>IF(OR(A1599="",NOT(ISNUMBER(I1599))),"",IF(G1599=Lists!$B$5,I1599/2,IF(G1599=Lists!$B$6,I1599,0)))</f>
        <v/>
      </c>
      <c r="N1599" s="52">
        <f>IF(OR(A1599="",NOT(ISNUMBER(I1599))),"",IF(G1599=Lists!$B$5,I1599/2,IF(G1599=Lists!$B$7,I1599,0)))</f>
        <v/>
      </c>
      <c r="O1599" s="53">
        <f>IF(COUNTA(A1599:K1599)=0,"",IF(OR(A1599="",B1599="",C1599="",D1599="",E1599="",F1599="",G1599="",NOT(ISNUMBER(I1599))),"Incomplete",IF(COUNTIF(Lists!$H$4:$AA$4,C1599)=0,"Check category",IF(COUNTIF(INDEX(Lists!$H$6:$AA$45,0,MATCH(C1599,Lists!$H$4:$AA$4,0)),D1599)=0,"Check sub-category","OK"))))</f>
        <v/>
      </c>
      <c r="P1599">
        <f>IF(ISNUMBER(I1599),I1599+ROW()/10000000,"")</f>
        <v/>
      </c>
      <c r="Q1599">
        <f>IF(AND(ISNUMBER(P1599),ISNUMBER(A1599)),IF(AND(A1599&gt;=Dashboard!$Q$3,A1599&lt;=Dashboard!$Q$4,OR(J1599&lt;&gt;"Yes",Dashboard!$Q$15="Yes")),P1599,""),"")</f>
        <v/>
      </c>
    </row>
    <row r="1600">
      <c r="A1600" s="47" t="n"/>
      <c r="B1600" s="48" t="n"/>
      <c r="C1600" s="48" t="n"/>
      <c r="D1600" s="48" t="n"/>
      <c r="E1600" s="48" t="n"/>
      <c r="F1600" s="48" t="n"/>
      <c r="G1600" s="48" t="n"/>
      <c r="H1600" s="48" t="n"/>
      <c r="I1600" s="49" t="n"/>
      <c r="J1600" s="50" t="n"/>
      <c r="K1600" s="48" t="n"/>
      <c r="L1600" s="51">
        <f>IF(A1600="","",DATE(YEAR(A1600),MONTH(A1600),1))</f>
        <v/>
      </c>
      <c r="M1600" s="52">
        <f>IF(OR(A1600="",NOT(ISNUMBER(I1600))),"",IF(G1600=Lists!$B$5,I1600/2,IF(G1600=Lists!$B$6,I1600,0)))</f>
        <v/>
      </c>
      <c r="N1600" s="52">
        <f>IF(OR(A1600="",NOT(ISNUMBER(I1600))),"",IF(G1600=Lists!$B$5,I1600/2,IF(G1600=Lists!$B$7,I1600,0)))</f>
        <v/>
      </c>
      <c r="O1600" s="53">
        <f>IF(COUNTA(A1600:K1600)=0,"",IF(OR(A1600="",B1600="",C1600="",D1600="",E1600="",F1600="",G1600="",NOT(ISNUMBER(I1600))),"Incomplete",IF(COUNTIF(Lists!$H$4:$AA$4,C1600)=0,"Check category",IF(COUNTIF(INDEX(Lists!$H$6:$AA$45,0,MATCH(C1600,Lists!$H$4:$AA$4,0)),D1600)=0,"Check sub-category","OK"))))</f>
        <v/>
      </c>
      <c r="P1600">
        <f>IF(ISNUMBER(I1600),I1600+ROW()/10000000,"")</f>
        <v/>
      </c>
      <c r="Q1600">
        <f>IF(AND(ISNUMBER(P1600),ISNUMBER(A1600)),IF(AND(A1600&gt;=Dashboard!$Q$3,A1600&lt;=Dashboard!$Q$4,OR(J1600&lt;&gt;"Yes",Dashboard!$Q$15="Yes")),P1600,""),"")</f>
        <v/>
      </c>
    </row>
    <row r="1601">
      <c r="A1601" s="47" t="n"/>
      <c r="B1601" s="48" t="n"/>
      <c r="C1601" s="48" t="n"/>
      <c r="D1601" s="48" t="n"/>
      <c r="E1601" s="48" t="n"/>
      <c r="F1601" s="48" t="n"/>
      <c r="G1601" s="48" t="n"/>
      <c r="H1601" s="48" t="n"/>
      <c r="I1601" s="49" t="n"/>
      <c r="J1601" s="50" t="n"/>
      <c r="K1601" s="48" t="n"/>
      <c r="L1601" s="51">
        <f>IF(A1601="","",DATE(YEAR(A1601),MONTH(A1601),1))</f>
        <v/>
      </c>
      <c r="M1601" s="52">
        <f>IF(OR(A1601="",NOT(ISNUMBER(I1601))),"",IF(G1601=Lists!$B$5,I1601/2,IF(G1601=Lists!$B$6,I1601,0)))</f>
        <v/>
      </c>
      <c r="N1601" s="52">
        <f>IF(OR(A1601="",NOT(ISNUMBER(I1601))),"",IF(G1601=Lists!$B$5,I1601/2,IF(G1601=Lists!$B$7,I1601,0)))</f>
        <v/>
      </c>
      <c r="O1601" s="53">
        <f>IF(COUNTA(A1601:K1601)=0,"",IF(OR(A1601="",B1601="",C1601="",D1601="",E1601="",F1601="",G1601="",NOT(ISNUMBER(I1601))),"Incomplete",IF(COUNTIF(Lists!$H$4:$AA$4,C1601)=0,"Check category",IF(COUNTIF(INDEX(Lists!$H$6:$AA$45,0,MATCH(C1601,Lists!$H$4:$AA$4,0)),D1601)=0,"Check sub-category","OK"))))</f>
        <v/>
      </c>
      <c r="P1601">
        <f>IF(ISNUMBER(I1601),I1601+ROW()/10000000,"")</f>
        <v/>
      </c>
      <c r="Q1601">
        <f>IF(AND(ISNUMBER(P1601),ISNUMBER(A1601)),IF(AND(A1601&gt;=Dashboard!$Q$3,A1601&lt;=Dashboard!$Q$4,OR(J1601&lt;&gt;"Yes",Dashboard!$Q$15="Yes")),P1601,""),"")</f>
        <v/>
      </c>
    </row>
    <row r="1602">
      <c r="A1602" s="47" t="n"/>
      <c r="B1602" s="48" t="n"/>
      <c r="C1602" s="48" t="n"/>
      <c r="D1602" s="48" t="n"/>
      <c r="E1602" s="48" t="n"/>
      <c r="F1602" s="48" t="n"/>
      <c r="G1602" s="48" t="n"/>
      <c r="H1602" s="48" t="n"/>
      <c r="I1602" s="49" t="n"/>
      <c r="J1602" s="50" t="n"/>
      <c r="K1602" s="48" t="n"/>
      <c r="L1602" s="51">
        <f>IF(A1602="","",DATE(YEAR(A1602),MONTH(A1602),1))</f>
        <v/>
      </c>
      <c r="M1602" s="52">
        <f>IF(OR(A1602="",NOT(ISNUMBER(I1602))),"",IF(G1602=Lists!$B$5,I1602/2,IF(G1602=Lists!$B$6,I1602,0)))</f>
        <v/>
      </c>
      <c r="N1602" s="52">
        <f>IF(OR(A1602="",NOT(ISNUMBER(I1602))),"",IF(G1602=Lists!$B$5,I1602/2,IF(G1602=Lists!$B$7,I1602,0)))</f>
        <v/>
      </c>
      <c r="O1602" s="53">
        <f>IF(COUNTA(A1602:K1602)=0,"",IF(OR(A1602="",B1602="",C1602="",D1602="",E1602="",F1602="",G1602="",NOT(ISNUMBER(I1602))),"Incomplete",IF(COUNTIF(Lists!$H$4:$AA$4,C1602)=0,"Check category",IF(COUNTIF(INDEX(Lists!$H$6:$AA$45,0,MATCH(C1602,Lists!$H$4:$AA$4,0)),D1602)=0,"Check sub-category","OK"))))</f>
        <v/>
      </c>
      <c r="P1602">
        <f>IF(ISNUMBER(I1602),I1602+ROW()/10000000,"")</f>
        <v/>
      </c>
      <c r="Q1602">
        <f>IF(AND(ISNUMBER(P1602),ISNUMBER(A1602)),IF(AND(A1602&gt;=Dashboard!$Q$3,A1602&lt;=Dashboard!$Q$4,OR(J1602&lt;&gt;"Yes",Dashboard!$Q$15="Yes")),P1602,""),"")</f>
        <v/>
      </c>
    </row>
    <row r="1603">
      <c r="A1603" s="47" t="n"/>
      <c r="B1603" s="48" t="n"/>
      <c r="C1603" s="48" t="n"/>
      <c r="D1603" s="48" t="n"/>
      <c r="E1603" s="48" t="n"/>
      <c r="F1603" s="48" t="n"/>
      <c r="G1603" s="48" t="n"/>
      <c r="H1603" s="48" t="n"/>
      <c r="I1603" s="49" t="n"/>
      <c r="J1603" s="50" t="n"/>
      <c r="K1603" s="48" t="n"/>
      <c r="L1603" s="51">
        <f>IF(A1603="","",DATE(YEAR(A1603),MONTH(A1603),1))</f>
        <v/>
      </c>
      <c r="M1603" s="52">
        <f>IF(OR(A1603="",NOT(ISNUMBER(I1603))),"",IF(G1603=Lists!$B$5,I1603/2,IF(G1603=Lists!$B$6,I1603,0)))</f>
        <v/>
      </c>
      <c r="N1603" s="52">
        <f>IF(OR(A1603="",NOT(ISNUMBER(I1603))),"",IF(G1603=Lists!$B$5,I1603/2,IF(G1603=Lists!$B$7,I1603,0)))</f>
        <v/>
      </c>
      <c r="O1603" s="53">
        <f>IF(COUNTA(A1603:K1603)=0,"",IF(OR(A1603="",B1603="",C1603="",D1603="",E1603="",F1603="",G1603="",NOT(ISNUMBER(I1603))),"Incomplete",IF(COUNTIF(Lists!$H$4:$AA$4,C1603)=0,"Check category",IF(COUNTIF(INDEX(Lists!$H$6:$AA$45,0,MATCH(C1603,Lists!$H$4:$AA$4,0)),D1603)=0,"Check sub-category","OK"))))</f>
        <v/>
      </c>
      <c r="P1603">
        <f>IF(ISNUMBER(I1603),I1603+ROW()/10000000,"")</f>
        <v/>
      </c>
      <c r="Q1603">
        <f>IF(AND(ISNUMBER(P1603),ISNUMBER(A1603)),IF(AND(A1603&gt;=Dashboard!$Q$3,A1603&lt;=Dashboard!$Q$4,OR(J1603&lt;&gt;"Yes",Dashboard!$Q$15="Yes")),P1603,""),"")</f>
        <v/>
      </c>
    </row>
    <row r="1604">
      <c r="A1604" s="47" t="n"/>
      <c r="B1604" s="48" t="n"/>
      <c r="C1604" s="48" t="n"/>
      <c r="D1604" s="48" t="n"/>
      <c r="E1604" s="48" t="n"/>
      <c r="F1604" s="48" t="n"/>
      <c r="G1604" s="48" t="n"/>
      <c r="H1604" s="48" t="n"/>
      <c r="I1604" s="49" t="n"/>
      <c r="J1604" s="50" t="n"/>
      <c r="K1604" s="48" t="n"/>
      <c r="L1604" s="51">
        <f>IF(A1604="","",DATE(YEAR(A1604),MONTH(A1604),1))</f>
        <v/>
      </c>
      <c r="M1604" s="52">
        <f>IF(OR(A1604="",NOT(ISNUMBER(I1604))),"",IF(G1604=Lists!$B$5,I1604/2,IF(G1604=Lists!$B$6,I1604,0)))</f>
        <v/>
      </c>
      <c r="N1604" s="52">
        <f>IF(OR(A1604="",NOT(ISNUMBER(I1604))),"",IF(G1604=Lists!$B$5,I1604/2,IF(G1604=Lists!$B$7,I1604,0)))</f>
        <v/>
      </c>
      <c r="O1604" s="53">
        <f>IF(COUNTA(A1604:K1604)=0,"",IF(OR(A1604="",B1604="",C1604="",D1604="",E1604="",F1604="",G1604="",NOT(ISNUMBER(I1604))),"Incomplete",IF(COUNTIF(Lists!$H$4:$AA$4,C1604)=0,"Check category",IF(COUNTIF(INDEX(Lists!$H$6:$AA$45,0,MATCH(C1604,Lists!$H$4:$AA$4,0)),D1604)=0,"Check sub-category","OK"))))</f>
        <v/>
      </c>
      <c r="P1604">
        <f>IF(ISNUMBER(I1604),I1604+ROW()/10000000,"")</f>
        <v/>
      </c>
      <c r="Q1604">
        <f>IF(AND(ISNUMBER(P1604),ISNUMBER(A1604)),IF(AND(A1604&gt;=Dashboard!$Q$3,A1604&lt;=Dashboard!$Q$4,OR(J1604&lt;&gt;"Yes",Dashboard!$Q$15="Yes")),P1604,""),"")</f>
        <v/>
      </c>
    </row>
    <row r="1605">
      <c r="A1605" s="47" t="n"/>
      <c r="B1605" s="48" t="n"/>
      <c r="C1605" s="48" t="n"/>
      <c r="D1605" s="48" t="n"/>
      <c r="E1605" s="48" t="n"/>
      <c r="F1605" s="48" t="n"/>
      <c r="G1605" s="48" t="n"/>
      <c r="H1605" s="48" t="n"/>
      <c r="I1605" s="49" t="n"/>
      <c r="J1605" s="50" t="n"/>
      <c r="K1605" s="48" t="n"/>
      <c r="L1605" s="51">
        <f>IF(A1605="","",DATE(YEAR(A1605),MONTH(A1605),1))</f>
        <v/>
      </c>
      <c r="M1605" s="52">
        <f>IF(OR(A1605="",NOT(ISNUMBER(I1605))),"",IF(G1605=Lists!$B$5,I1605/2,IF(G1605=Lists!$B$6,I1605,0)))</f>
        <v/>
      </c>
      <c r="N1605" s="52">
        <f>IF(OR(A1605="",NOT(ISNUMBER(I1605))),"",IF(G1605=Lists!$B$5,I1605/2,IF(G1605=Lists!$B$7,I1605,0)))</f>
        <v/>
      </c>
      <c r="O1605" s="53">
        <f>IF(COUNTA(A1605:K1605)=0,"",IF(OR(A1605="",B1605="",C1605="",D1605="",E1605="",F1605="",G1605="",NOT(ISNUMBER(I1605))),"Incomplete",IF(COUNTIF(Lists!$H$4:$AA$4,C1605)=0,"Check category",IF(COUNTIF(INDEX(Lists!$H$6:$AA$45,0,MATCH(C1605,Lists!$H$4:$AA$4,0)),D1605)=0,"Check sub-category","OK"))))</f>
        <v/>
      </c>
      <c r="P1605">
        <f>IF(ISNUMBER(I1605),I1605+ROW()/10000000,"")</f>
        <v/>
      </c>
      <c r="Q1605">
        <f>IF(AND(ISNUMBER(P1605),ISNUMBER(A1605)),IF(AND(A1605&gt;=Dashboard!$Q$3,A1605&lt;=Dashboard!$Q$4,OR(J1605&lt;&gt;"Yes",Dashboard!$Q$15="Yes")),P1605,""),"")</f>
        <v/>
      </c>
    </row>
    <row r="1606">
      <c r="A1606" s="47" t="n"/>
      <c r="B1606" s="48" t="n"/>
      <c r="C1606" s="48" t="n"/>
      <c r="D1606" s="48" t="n"/>
      <c r="E1606" s="48" t="n"/>
      <c r="F1606" s="48" t="n"/>
      <c r="G1606" s="48" t="n"/>
      <c r="H1606" s="48" t="n"/>
      <c r="I1606" s="49" t="n"/>
      <c r="J1606" s="50" t="n"/>
      <c r="K1606" s="48" t="n"/>
      <c r="L1606" s="51">
        <f>IF(A1606="","",DATE(YEAR(A1606),MONTH(A1606),1))</f>
        <v/>
      </c>
      <c r="M1606" s="52">
        <f>IF(OR(A1606="",NOT(ISNUMBER(I1606))),"",IF(G1606=Lists!$B$5,I1606/2,IF(G1606=Lists!$B$6,I1606,0)))</f>
        <v/>
      </c>
      <c r="N1606" s="52">
        <f>IF(OR(A1606="",NOT(ISNUMBER(I1606))),"",IF(G1606=Lists!$B$5,I1606/2,IF(G1606=Lists!$B$7,I1606,0)))</f>
        <v/>
      </c>
      <c r="O1606" s="53">
        <f>IF(COUNTA(A1606:K1606)=0,"",IF(OR(A1606="",B1606="",C1606="",D1606="",E1606="",F1606="",G1606="",NOT(ISNUMBER(I1606))),"Incomplete",IF(COUNTIF(Lists!$H$4:$AA$4,C1606)=0,"Check category",IF(COUNTIF(INDEX(Lists!$H$6:$AA$45,0,MATCH(C1606,Lists!$H$4:$AA$4,0)),D1606)=0,"Check sub-category","OK"))))</f>
        <v/>
      </c>
      <c r="P1606">
        <f>IF(ISNUMBER(I1606),I1606+ROW()/10000000,"")</f>
        <v/>
      </c>
      <c r="Q1606">
        <f>IF(AND(ISNUMBER(P1606),ISNUMBER(A1606)),IF(AND(A1606&gt;=Dashboard!$Q$3,A1606&lt;=Dashboard!$Q$4,OR(J1606&lt;&gt;"Yes",Dashboard!$Q$15="Yes")),P1606,""),"")</f>
        <v/>
      </c>
    </row>
    <row r="1607">
      <c r="A1607" s="47" t="n"/>
      <c r="B1607" s="48" t="n"/>
      <c r="C1607" s="48" t="n"/>
      <c r="D1607" s="48" t="n"/>
      <c r="E1607" s="48" t="n"/>
      <c r="F1607" s="48" t="n"/>
      <c r="G1607" s="48" t="n"/>
      <c r="H1607" s="48" t="n"/>
      <c r="I1607" s="49" t="n"/>
      <c r="J1607" s="50" t="n"/>
      <c r="K1607" s="48" t="n"/>
      <c r="L1607" s="51">
        <f>IF(A1607="","",DATE(YEAR(A1607),MONTH(A1607),1))</f>
        <v/>
      </c>
      <c r="M1607" s="52">
        <f>IF(OR(A1607="",NOT(ISNUMBER(I1607))),"",IF(G1607=Lists!$B$5,I1607/2,IF(G1607=Lists!$B$6,I1607,0)))</f>
        <v/>
      </c>
      <c r="N1607" s="52">
        <f>IF(OR(A1607="",NOT(ISNUMBER(I1607))),"",IF(G1607=Lists!$B$5,I1607/2,IF(G1607=Lists!$B$7,I1607,0)))</f>
        <v/>
      </c>
      <c r="O1607" s="53">
        <f>IF(COUNTA(A1607:K1607)=0,"",IF(OR(A1607="",B1607="",C1607="",D1607="",E1607="",F1607="",G1607="",NOT(ISNUMBER(I1607))),"Incomplete",IF(COUNTIF(Lists!$H$4:$AA$4,C1607)=0,"Check category",IF(COUNTIF(INDEX(Lists!$H$6:$AA$45,0,MATCH(C1607,Lists!$H$4:$AA$4,0)),D1607)=0,"Check sub-category","OK"))))</f>
        <v/>
      </c>
      <c r="P1607">
        <f>IF(ISNUMBER(I1607),I1607+ROW()/10000000,"")</f>
        <v/>
      </c>
      <c r="Q1607">
        <f>IF(AND(ISNUMBER(P1607),ISNUMBER(A1607)),IF(AND(A1607&gt;=Dashboard!$Q$3,A1607&lt;=Dashboard!$Q$4,OR(J1607&lt;&gt;"Yes",Dashboard!$Q$15="Yes")),P1607,""),"")</f>
        <v/>
      </c>
    </row>
    <row r="1608">
      <c r="A1608" s="47" t="n"/>
      <c r="B1608" s="48" t="n"/>
      <c r="C1608" s="48" t="n"/>
      <c r="D1608" s="48" t="n"/>
      <c r="E1608" s="48" t="n"/>
      <c r="F1608" s="48" t="n"/>
      <c r="G1608" s="48" t="n"/>
      <c r="H1608" s="48" t="n"/>
      <c r="I1608" s="49" t="n"/>
      <c r="J1608" s="50" t="n"/>
      <c r="K1608" s="48" t="n"/>
      <c r="L1608" s="51">
        <f>IF(A1608="","",DATE(YEAR(A1608),MONTH(A1608),1))</f>
        <v/>
      </c>
      <c r="M1608" s="52">
        <f>IF(OR(A1608="",NOT(ISNUMBER(I1608))),"",IF(G1608=Lists!$B$5,I1608/2,IF(G1608=Lists!$B$6,I1608,0)))</f>
        <v/>
      </c>
      <c r="N1608" s="52">
        <f>IF(OR(A1608="",NOT(ISNUMBER(I1608))),"",IF(G1608=Lists!$B$5,I1608/2,IF(G1608=Lists!$B$7,I1608,0)))</f>
        <v/>
      </c>
      <c r="O1608" s="53">
        <f>IF(COUNTA(A1608:K1608)=0,"",IF(OR(A1608="",B1608="",C1608="",D1608="",E1608="",F1608="",G1608="",NOT(ISNUMBER(I1608))),"Incomplete",IF(COUNTIF(Lists!$H$4:$AA$4,C1608)=0,"Check category",IF(COUNTIF(INDEX(Lists!$H$6:$AA$45,0,MATCH(C1608,Lists!$H$4:$AA$4,0)),D1608)=0,"Check sub-category","OK"))))</f>
        <v/>
      </c>
      <c r="P1608">
        <f>IF(ISNUMBER(I1608),I1608+ROW()/10000000,"")</f>
        <v/>
      </c>
      <c r="Q1608">
        <f>IF(AND(ISNUMBER(P1608),ISNUMBER(A1608)),IF(AND(A1608&gt;=Dashboard!$Q$3,A1608&lt;=Dashboard!$Q$4,OR(J1608&lt;&gt;"Yes",Dashboard!$Q$15="Yes")),P1608,""),"")</f>
        <v/>
      </c>
    </row>
    <row r="1609">
      <c r="A1609" s="47" t="n"/>
      <c r="B1609" s="48" t="n"/>
      <c r="C1609" s="48" t="n"/>
      <c r="D1609" s="48" t="n"/>
      <c r="E1609" s="48" t="n"/>
      <c r="F1609" s="48" t="n"/>
      <c r="G1609" s="48" t="n"/>
      <c r="H1609" s="48" t="n"/>
      <c r="I1609" s="49" t="n"/>
      <c r="J1609" s="50" t="n"/>
      <c r="K1609" s="48" t="n"/>
      <c r="L1609" s="51">
        <f>IF(A1609="","",DATE(YEAR(A1609),MONTH(A1609),1))</f>
        <v/>
      </c>
      <c r="M1609" s="52">
        <f>IF(OR(A1609="",NOT(ISNUMBER(I1609))),"",IF(G1609=Lists!$B$5,I1609/2,IF(G1609=Lists!$B$6,I1609,0)))</f>
        <v/>
      </c>
      <c r="N1609" s="52">
        <f>IF(OR(A1609="",NOT(ISNUMBER(I1609))),"",IF(G1609=Lists!$B$5,I1609/2,IF(G1609=Lists!$B$7,I1609,0)))</f>
        <v/>
      </c>
      <c r="O1609" s="53">
        <f>IF(COUNTA(A1609:K1609)=0,"",IF(OR(A1609="",B1609="",C1609="",D1609="",E1609="",F1609="",G1609="",NOT(ISNUMBER(I1609))),"Incomplete",IF(COUNTIF(Lists!$H$4:$AA$4,C1609)=0,"Check category",IF(COUNTIF(INDEX(Lists!$H$6:$AA$45,0,MATCH(C1609,Lists!$H$4:$AA$4,0)),D1609)=0,"Check sub-category","OK"))))</f>
        <v/>
      </c>
      <c r="P1609">
        <f>IF(ISNUMBER(I1609),I1609+ROW()/10000000,"")</f>
        <v/>
      </c>
      <c r="Q1609">
        <f>IF(AND(ISNUMBER(P1609),ISNUMBER(A1609)),IF(AND(A1609&gt;=Dashboard!$Q$3,A1609&lt;=Dashboard!$Q$4,OR(J1609&lt;&gt;"Yes",Dashboard!$Q$15="Yes")),P1609,""),"")</f>
        <v/>
      </c>
    </row>
    <row r="1610">
      <c r="A1610" s="47" t="n"/>
      <c r="B1610" s="48" t="n"/>
      <c r="C1610" s="48" t="n"/>
      <c r="D1610" s="48" t="n"/>
      <c r="E1610" s="48" t="n"/>
      <c r="F1610" s="48" t="n"/>
      <c r="G1610" s="48" t="n"/>
      <c r="H1610" s="48" t="n"/>
      <c r="I1610" s="49" t="n"/>
      <c r="J1610" s="50" t="n"/>
      <c r="K1610" s="48" t="n"/>
      <c r="L1610" s="51">
        <f>IF(A1610="","",DATE(YEAR(A1610),MONTH(A1610),1))</f>
        <v/>
      </c>
      <c r="M1610" s="52">
        <f>IF(OR(A1610="",NOT(ISNUMBER(I1610))),"",IF(G1610=Lists!$B$5,I1610/2,IF(G1610=Lists!$B$6,I1610,0)))</f>
        <v/>
      </c>
      <c r="N1610" s="52">
        <f>IF(OR(A1610="",NOT(ISNUMBER(I1610))),"",IF(G1610=Lists!$B$5,I1610/2,IF(G1610=Lists!$B$7,I1610,0)))</f>
        <v/>
      </c>
      <c r="O1610" s="53">
        <f>IF(COUNTA(A1610:K1610)=0,"",IF(OR(A1610="",B1610="",C1610="",D1610="",E1610="",F1610="",G1610="",NOT(ISNUMBER(I1610))),"Incomplete",IF(COUNTIF(Lists!$H$4:$AA$4,C1610)=0,"Check category",IF(COUNTIF(INDEX(Lists!$H$6:$AA$45,0,MATCH(C1610,Lists!$H$4:$AA$4,0)),D1610)=0,"Check sub-category","OK"))))</f>
        <v/>
      </c>
      <c r="P1610">
        <f>IF(ISNUMBER(I1610),I1610+ROW()/10000000,"")</f>
        <v/>
      </c>
      <c r="Q1610">
        <f>IF(AND(ISNUMBER(P1610),ISNUMBER(A1610)),IF(AND(A1610&gt;=Dashboard!$Q$3,A1610&lt;=Dashboard!$Q$4,OR(J1610&lt;&gt;"Yes",Dashboard!$Q$15="Yes")),P1610,""),"")</f>
        <v/>
      </c>
    </row>
    <row r="1611">
      <c r="A1611" s="47" t="n"/>
      <c r="B1611" s="48" t="n"/>
      <c r="C1611" s="48" t="n"/>
      <c r="D1611" s="48" t="n"/>
      <c r="E1611" s="48" t="n"/>
      <c r="F1611" s="48" t="n"/>
      <c r="G1611" s="48" t="n"/>
      <c r="H1611" s="48" t="n"/>
      <c r="I1611" s="49" t="n"/>
      <c r="J1611" s="50" t="n"/>
      <c r="K1611" s="48" t="n"/>
      <c r="L1611" s="51">
        <f>IF(A1611="","",DATE(YEAR(A1611),MONTH(A1611),1))</f>
        <v/>
      </c>
      <c r="M1611" s="52">
        <f>IF(OR(A1611="",NOT(ISNUMBER(I1611))),"",IF(G1611=Lists!$B$5,I1611/2,IF(G1611=Lists!$B$6,I1611,0)))</f>
        <v/>
      </c>
      <c r="N1611" s="52">
        <f>IF(OR(A1611="",NOT(ISNUMBER(I1611))),"",IF(G1611=Lists!$B$5,I1611/2,IF(G1611=Lists!$B$7,I1611,0)))</f>
        <v/>
      </c>
      <c r="O1611" s="53">
        <f>IF(COUNTA(A1611:K1611)=0,"",IF(OR(A1611="",B1611="",C1611="",D1611="",E1611="",F1611="",G1611="",NOT(ISNUMBER(I1611))),"Incomplete",IF(COUNTIF(Lists!$H$4:$AA$4,C1611)=0,"Check category",IF(COUNTIF(INDEX(Lists!$H$6:$AA$45,0,MATCH(C1611,Lists!$H$4:$AA$4,0)),D1611)=0,"Check sub-category","OK"))))</f>
        <v/>
      </c>
      <c r="P1611">
        <f>IF(ISNUMBER(I1611),I1611+ROW()/10000000,"")</f>
        <v/>
      </c>
      <c r="Q1611">
        <f>IF(AND(ISNUMBER(P1611),ISNUMBER(A1611)),IF(AND(A1611&gt;=Dashboard!$Q$3,A1611&lt;=Dashboard!$Q$4,OR(J1611&lt;&gt;"Yes",Dashboard!$Q$15="Yes")),P1611,""),"")</f>
        <v/>
      </c>
    </row>
    <row r="1612">
      <c r="A1612" s="47" t="n"/>
      <c r="B1612" s="48" t="n"/>
      <c r="C1612" s="48" t="n"/>
      <c r="D1612" s="48" t="n"/>
      <c r="E1612" s="48" t="n"/>
      <c r="F1612" s="48" t="n"/>
      <c r="G1612" s="48" t="n"/>
      <c r="H1612" s="48" t="n"/>
      <c r="I1612" s="49" t="n"/>
      <c r="J1612" s="50" t="n"/>
      <c r="K1612" s="48" t="n"/>
      <c r="L1612" s="51">
        <f>IF(A1612="","",DATE(YEAR(A1612),MONTH(A1612),1))</f>
        <v/>
      </c>
      <c r="M1612" s="52">
        <f>IF(OR(A1612="",NOT(ISNUMBER(I1612))),"",IF(G1612=Lists!$B$5,I1612/2,IF(G1612=Lists!$B$6,I1612,0)))</f>
        <v/>
      </c>
      <c r="N1612" s="52">
        <f>IF(OR(A1612="",NOT(ISNUMBER(I1612))),"",IF(G1612=Lists!$B$5,I1612/2,IF(G1612=Lists!$B$7,I1612,0)))</f>
        <v/>
      </c>
      <c r="O1612" s="53">
        <f>IF(COUNTA(A1612:K1612)=0,"",IF(OR(A1612="",B1612="",C1612="",D1612="",E1612="",F1612="",G1612="",NOT(ISNUMBER(I1612))),"Incomplete",IF(COUNTIF(Lists!$H$4:$AA$4,C1612)=0,"Check category",IF(COUNTIF(INDEX(Lists!$H$6:$AA$45,0,MATCH(C1612,Lists!$H$4:$AA$4,0)),D1612)=0,"Check sub-category","OK"))))</f>
        <v/>
      </c>
      <c r="P1612">
        <f>IF(ISNUMBER(I1612),I1612+ROW()/10000000,"")</f>
        <v/>
      </c>
      <c r="Q1612">
        <f>IF(AND(ISNUMBER(P1612),ISNUMBER(A1612)),IF(AND(A1612&gt;=Dashboard!$Q$3,A1612&lt;=Dashboard!$Q$4,OR(J1612&lt;&gt;"Yes",Dashboard!$Q$15="Yes")),P1612,""),"")</f>
        <v/>
      </c>
    </row>
    <row r="1613">
      <c r="A1613" s="47" t="n"/>
      <c r="B1613" s="48" t="n"/>
      <c r="C1613" s="48" t="n"/>
      <c r="D1613" s="48" t="n"/>
      <c r="E1613" s="48" t="n"/>
      <c r="F1613" s="48" t="n"/>
      <c r="G1613" s="48" t="n"/>
      <c r="H1613" s="48" t="n"/>
      <c r="I1613" s="49" t="n"/>
      <c r="J1613" s="50" t="n"/>
      <c r="K1613" s="48" t="n"/>
      <c r="L1613" s="51">
        <f>IF(A1613="","",DATE(YEAR(A1613),MONTH(A1613),1))</f>
        <v/>
      </c>
      <c r="M1613" s="52">
        <f>IF(OR(A1613="",NOT(ISNUMBER(I1613))),"",IF(G1613=Lists!$B$5,I1613/2,IF(G1613=Lists!$B$6,I1613,0)))</f>
        <v/>
      </c>
      <c r="N1613" s="52">
        <f>IF(OR(A1613="",NOT(ISNUMBER(I1613))),"",IF(G1613=Lists!$B$5,I1613/2,IF(G1613=Lists!$B$7,I1613,0)))</f>
        <v/>
      </c>
      <c r="O1613" s="53">
        <f>IF(COUNTA(A1613:K1613)=0,"",IF(OR(A1613="",B1613="",C1613="",D1613="",E1613="",F1613="",G1613="",NOT(ISNUMBER(I1613))),"Incomplete",IF(COUNTIF(Lists!$H$4:$AA$4,C1613)=0,"Check category",IF(COUNTIF(INDEX(Lists!$H$6:$AA$45,0,MATCH(C1613,Lists!$H$4:$AA$4,0)),D1613)=0,"Check sub-category","OK"))))</f>
        <v/>
      </c>
      <c r="P1613">
        <f>IF(ISNUMBER(I1613),I1613+ROW()/10000000,"")</f>
        <v/>
      </c>
      <c r="Q1613">
        <f>IF(AND(ISNUMBER(P1613),ISNUMBER(A1613)),IF(AND(A1613&gt;=Dashboard!$Q$3,A1613&lt;=Dashboard!$Q$4,OR(J1613&lt;&gt;"Yes",Dashboard!$Q$15="Yes")),P1613,""),"")</f>
        <v/>
      </c>
    </row>
    <row r="1614">
      <c r="A1614" s="47" t="n"/>
      <c r="B1614" s="48" t="n"/>
      <c r="C1614" s="48" t="n"/>
      <c r="D1614" s="48" t="n"/>
      <c r="E1614" s="48" t="n"/>
      <c r="F1614" s="48" t="n"/>
      <c r="G1614" s="48" t="n"/>
      <c r="H1614" s="48" t="n"/>
      <c r="I1614" s="49" t="n"/>
      <c r="J1614" s="50" t="n"/>
      <c r="K1614" s="48" t="n"/>
      <c r="L1614" s="51">
        <f>IF(A1614="","",DATE(YEAR(A1614),MONTH(A1614),1))</f>
        <v/>
      </c>
      <c r="M1614" s="52">
        <f>IF(OR(A1614="",NOT(ISNUMBER(I1614))),"",IF(G1614=Lists!$B$5,I1614/2,IF(G1614=Lists!$B$6,I1614,0)))</f>
        <v/>
      </c>
      <c r="N1614" s="52">
        <f>IF(OR(A1614="",NOT(ISNUMBER(I1614))),"",IF(G1614=Lists!$B$5,I1614/2,IF(G1614=Lists!$B$7,I1614,0)))</f>
        <v/>
      </c>
      <c r="O1614" s="53">
        <f>IF(COUNTA(A1614:K1614)=0,"",IF(OR(A1614="",B1614="",C1614="",D1614="",E1614="",F1614="",G1614="",NOT(ISNUMBER(I1614))),"Incomplete",IF(COUNTIF(Lists!$H$4:$AA$4,C1614)=0,"Check category",IF(COUNTIF(INDEX(Lists!$H$6:$AA$45,0,MATCH(C1614,Lists!$H$4:$AA$4,0)),D1614)=0,"Check sub-category","OK"))))</f>
        <v/>
      </c>
      <c r="P1614">
        <f>IF(ISNUMBER(I1614),I1614+ROW()/10000000,"")</f>
        <v/>
      </c>
      <c r="Q1614">
        <f>IF(AND(ISNUMBER(P1614),ISNUMBER(A1614)),IF(AND(A1614&gt;=Dashboard!$Q$3,A1614&lt;=Dashboard!$Q$4,OR(J1614&lt;&gt;"Yes",Dashboard!$Q$15="Yes")),P1614,""),"")</f>
        <v/>
      </c>
    </row>
    <row r="1615">
      <c r="A1615" s="47" t="n"/>
      <c r="B1615" s="48" t="n"/>
      <c r="C1615" s="48" t="n"/>
      <c r="D1615" s="48" t="n"/>
      <c r="E1615" s="48" t="n"/>
      <c r="F1615" s="48" t="n"/>
      <c r="G1615" s="48" t="n"/>
      <c r="H1615" s="48" t="n"/>
      <c r="I1615" s="49" t="n"/>
      <c r="J1615" s="50" t="n"/>
      <c r="K1615" s="48" t="n"/>
      <c r="L1615" s="51">
        <f>IF(A1615="","",DATE(YEAR(A1615),MONTH(A1615),1))</f>
        <v/>
      </c>
      <c r="M1615" s="52">
        <f>IF(OR(A1615="",NOT(ISNUMBER(I1615))),"",IF(G1615=Lists!$B$5,I1615/2,IF(G1615=Lists!$B$6,I1615,0)))</f>
        <v/>
      </c>
      <c r="N1615" s="52">
        <f>IF(OR(A1615="",NOT(ISNUMBER(I1615))),"",IF(G1615=Lists!$B$5,I1615/2,IF(G1615=Lists!$B$7,I1615,0)))</f>
        <v/>
      </c>
      <c r="O1615" s="53">
        <f>IF(COUNTA(A1615:K1615)=0,"",IF(OR(A1615="",B1615="",C1615="",D1615="",E1615="",F1615="",G1615="",NOT(ISNUMBER(I1615))),"Incomplete",IF(COUNTIF(Lists!$H$4:$AA$4,C1615)=0,"Check category",IF(COUNTIF(INDEX(Lists!$H$6:$AA$45,0,MATCH(C1615,Lists!$H$4:$AA$4,0)),D1615)=0,"Check sub-category","OK"))))</f>
        <v/>
      </c>
      <c r="P1615">
        <f>IF(ISNUMBER(I1615),I1615+ROW()/10000000,"")</f>
        <v/>
      </c>
      <c r="Q1615">
        <f>IF(AND(ISNUMBER(P1615),ISNUMBER(A1615)),IF(AND(A1615&gt;=Dashboard!$Q$3,A1615&lt;=Dashboard!$Q$4,OR(J1615&lt;&gt;"Yes",Dashboard!$Q$15="Yes")),P1615,""),"")</f>
        <v/>
      </c>
    </row>
    <row r="1616">
      <c r="A1616" s="47" t="n"/>
      <c r="B1616" s="48" t="n"/>
      <c r="C1616" s="48" t="n"/>
      <c r="D1616" s="48" t="n"/>
      <c r="E1616" s="48" t="n"/>
      <c r="F1616" s="48" t="n"/>
      <c r="G1616" s="48" t="n"/>
      <c r="H1616" s="48" t="n"/>
      <c r="I1616" s="49" t="n"/>
      <c r="J1616" s="50" t="n"/>
      <c r="K1616" s="48" t="n"/>
      <c r="L1616" s="51">
        <f>IF(A1616="","",DATE(YEAR(A1616),MONTH(A1616),1))</f>
        <v/>
      </c>
      <c r="M1616" s="52">
        <f>IF(OR(A1616="",NOT(ISNUMBER(I1616))),"",IF(G1616=Lists!$B$5,I1616/2,IF(G1616=Lists!$B$6,I1616,0)))</f>
        <v/>
      </c>
      <c r="N1616" s="52">
        <f>IF(OR(A1616="",NOT(ISNUMBER(I1616))),"",IF(G1616=Lists!$B$5,I1616/2,IF(G1616=Lists!$B$7,I1616,0)))</f>
        <v/>
      </c>
      <c r="O1616" s="53">
        <f>IF(COUNTA(A1616:K1616)=0,"",IF(OR(A1616="",B1616="",C1616="",D1616="",E1616="",F1616="",G1616="",NOT(ISNUMBER(I1616))),"Incomplete",IF(COUNTIF(Lists!$H$4:$AA$4,C1616)=0,"Check category",IF(COUNTIF(INDEX(Lists!$H$6:$AA$45,0,MATCH(C1616,Lists!$H$4:$AA$4,0)),D1616)=0,"Check sub-category","OK"))))</f>
        <v/>
      </c>
      <c r="P1616">
        <f>IF(ISNUMBER(I1616),I1616+ROW()/10000000,"")</f>
        <v/>
      </c>
      <c r="Q1616">
        <f>IF(AND(ISNUMBER(P1616),ISNUMBER(A1616)),IF(AND(A1616&gt;=Dashboard!$Q$3,A1616&lt;=Dashboard!$Q$4,OR(J1616&lt;&gt;"Yes",Dashboard!$Q$15="Yes")),P1616,""),"")</f>
        <v/>
      </c>
    </row>
    <row r="1617">
      <c r="A1617" s="47" t="n"/>
      <c r="B1617" s="48" t="n"/>
      <c r="C1617" s="48" t="n"/>
      <c r="D1617" s="48" t="n"/>
      <c r="E1617" s="48" t="n"/>
      <c r="F1617" s="48" t="n"/>
      <c r="G1617" s="48" t="n"/>
      <c r="H1617" s="48" t="n"/>
      <c r="I1617" s="49" t="n"/>
      <c r="J1617" s="50" t="n"/>
      <c r="K1617" s="48" t="n"/>
      <c r="L1617" s="51">
        <f>IF(A1617="","",DATE(YEAR(A1617),MONTH(A1617),1))</f>
        <v/>
      </c>
      <c r="M1617" s="52">
        <f>IF(OR(A1617="",NOT(ISNUMBER(I1617))),"",IF(G1617=Lists!$B$5,I1617/2,IF(G1617=Lists!$B$6,I1617,0)))</f>
        <v/>
      </c>
      <c r="N1617" s="52">
        <f>IF(OR(A1617="",NOT(ISNUMBER(I1617))),"",IF(G1617=Lists!$B$5,I1617/2,IF(G1617=Lists!$B$7,I1617,0)))</f>
        <v/>
      </c>
      <c r="O1617" s="53">
        <f>IF(COUNTA(A1617:K1617)=0,"",IF(OR(A1617="",B1617="",C1617="",D1617="",E1617="",F1617="",G1617="",NOT(ISNUMBER(I1617))),"Incomplete",IF(COUNTIF(Lists!$H$4:$AA$4,C1617)=0,"Check category",IF(COUNTIF(INDEX(Lists!$H$6:$AA$45,0,MATCH(C1617,Lists!$H$4:$AA$4,0)),D1617)=0,"Check sub-category","OK"))))</f>
        <v/>
      </c>
      <c r="P1617">
        <f>IF(ISNUMBER(I1617),I1617+ROW()/10000000,"")</f>
        <v/>
      </c>
      <c r="Q1617">
        <f>IF(AND(ISNUMBER(P1617),ISNUMBER(A1617)),IF(AND(A1617&gt;=Dashboard!$Q$3,A1617&lt;=Dashboard!$Q$4,OR(J1617&lt;&gt;"Yes",Dashboard!$Q$15="Yes")),P1617,""),"")</f>
        <v/>
      </c>
    </row>
    <row r="1618">
      <c r="A1618" s="47" t="n"/>
      <c r="B1618" s="48" t="n"/>
      <c r="C1618" s="48" t="n"/>
      <c r="D1618" s="48" t="n"/>
      <c r="E1618" s="48" t="n"/>
      <c r="F1618" s="48" t="n"/>
      <c r="G1618" s="48" t="n"/>
      <c r="H1618" s="48" t="n"/>
      <c r="I1618" s="49" t="n"/>
      <c r="J1618" s="50" t="n"/>
      <c r="K1618" s="48" t="n"/>
      <c r="L1618" s="51">
        <f>IF(A1618="","",DATE(YEAR(A1618),MONTH(A1618),1))</f>
        <v/>
      </c>
      <c r="M1618" s="52">
        <f>IF(OR(A1618="",NOT(ISNUMBER(I1618))),"",IF(G1618=Lists!$B$5,I1618/2,IF(G1618=Lists!$B$6,I1618,0)))</f>
        <v/>
      </c>
      <c r="N1618" s="52">
        <f>IF(OR(A1618="",NOT(ISNUMBER(I1618))),"",IF(G1618=Lists!$B$5,I1618/2,IF(G1618=Lists!$B$7,I1618,0)))</f>
        <v/>
      </c>
      <c r="O1618" s="53">
        <f>IF(COUNTA(A1618:K1618)=0,"",IF(OR(A1618="",B1618="",C1618="",D1618="",E1618="",F1618="",G1618="",NOT(ISNUMBER(I1618))),"Incomplete",IF(COUNTIF(Lists!$H$4:$AA$4,C1618)=0,"Check category",IF(COUNTIF(INDEX(Lists!$H$6:$AA$45,0,MATCH(C1618,Lists!$H$4:$AA$4,0)),D1618)=0,"Check sub-category","OK"))))</f>
        <v/>
      </c>
      <c r="P1618">
        <f>IF(ISNUMBER(I1618),I1618+ROW()/10000000,"")</f>
        <v/>
      </c>
      <c r="Q1618">
        <f>IF(AND(ISNUMBER(P1618),ISNUMBER(A1618)),IF(AND(A1618&gt;=Dashboard!$Q$3,A1618&lt;=Dashboard!$Q$4,OR(J1618&lt;&gt;"Yes",Dashboard!$Q$15="Yes")),P1618,""),"")</f>
        <v/>
      </c>
    </row>
    <row r="1619">
      <c r="A1619" s="47" t="n"/>
      <c r="B1619" s="48" t="n"/>
      <c r="C1619" s="48" t="n"/>
      <c r="D1619" s="48" t="n"/>
      <c r="E1619" s="48" t="n"/>
      <c r="F1619" s="48" t="n"/>
      <c r="G1619" s="48" t="n"/>
      <c r="H1619" s="48" t="n"/>
      <c r="I1619" s="49" t="n"/>
      <c r="J1619" s="50" t="n"/>
      <c r="K1619" s="48" t="n"/>
      <c r="L1619" s="51">
        <f>IF(A1619="","",DATE(YEAR(A1619),MONTH(A1619),1))</f>
        <v/>
      </c>
      <c r="M1619" s="52">
        <f>IF(OR(A1619="",NOT(ISNUMBER(I1619))),"",IF(G1619=Lists!$B$5,I1619/2,IF(G1619=Lists!$B$6,I1619,0)))</f>
        <v/>
      </c>
      <c r="N1619" s="52">
        <f>IF(OR(A1619="",NOT(ISNUMBER(I1619))),"",IF(G1619=Lists!$B$5,I1619/2,IF(G1619=Lists!$B$7,I1619,0)))</f>
        <v/>
      </c>
      <c r="O1619" s="53">
        <f>IF(COUNTA(A1619:K1619)=0,"",IF(OR(A1619="",B1619="",C1619="",D1619="",E1619="",F1619="",G1619="",NOT(ISNUMBER(I1619))),"Incomplete",IF(COUNTIF(Lists!$H$4:$AA$4,C1619)=0,"Check category",IF(COUNTIF(INDEX(Lists!$H$6:$AA$45,0,MATCH(C1619,Lists!$H$4:$AA$4,0)),D1619)=0,"Check sub-category","OK"))))</f>
        <v/>
      </c>
      <c r="P1619">
        <f>IF(ISNUMBER(I1619),I1619+ROW()/10000000,"")</f>
        <v/>
      </c>
      <c r="Q1619">
        <f>IF(AND(ISNUMBER(P1619),ISNUMBER(A1619)),IF(AND(A1619&gt;=Dashboard!$Q$3,A1619&lt;=Dashboard!$Q$4,OR(J1619&lt;&gt;"Yes",Dashboard!$Q$15="Yes")),P1619,""),"")</f>
        <v/>
      </c>
    </row>
    <row r="1620">
      <c r="A1620" s="47" t="n"/>
      <c r="B1620" s="48" t="n"/>
      <c r="C1620" s="48" t="n"/>
      <c r="D1620" s="48" t="n"/>
      <c r="E1620" s="48" t="n"/>
      <c r="F1620" s="48" t="n"/>
      <c r="G1620" s="48" t="n"/>
      <c r="H1620" s="48" t="n"/>
      <c r="I1620" s="49" t="n"/>
      <c r="J1620" s="50" t="n"/>
      <c r="K1620" s="48" t="n"/>
      <c r="L1620" s="51">
        <f>IF(A1620="","",DATE(YEAR(A1620),MONTH(A1620),1))</f>
        <v/>
      </c>
      <c r="M1620" s="52">
        <f>IF(OR(A1620="",NOT(ISNUMBER(I1620))),"",IF(G1620=Lists!$B$5,I1620/2,IF(G1620=Lists!$B$6,I1620,0)))</f>
        <v/>
      </c>
      <c r="N1620" s="52">
        <f>IF(OR(A1620="",NOT(ISNUMBER(I1620))),"",IF(G1620=Lists!$B$5,I1620/2,IF(G1620=Lists!$B$7,I1620,0)))</f>
        <v/>
      </c>
      <c r="O1620" s="53">
        <f>IF(COUNTA(A1620:K1620)=0,"",IF(OR(A1620="",B1620="",C1620="",D1620="",E1620="",F1620="",G1620="",NOT(ISNUMBER(I1620))),"Incomplete",IF(COUNTIF(Lists!$H$4:$AA$4,C1620)=0,"Check category",IF(COUNTIF(INDEX(Lists!$H$6:$AA$45,0,MATCH(C1620,Lists!$H$4:$AA$4,0)),D1620)=0,"Check sub-category","OK"))))</f>
        <v/>
      </c>
      <c r="P1620">
        <f>IF(ISNUMBER(I1620),I1620+ROW()/10000000,"")</f>
        <v/>
      </c>
      <c r="Q1620">
        <f>IF(AND(ISNUMBER(P1620),ISNUMBER(A1620)),IF(AND(A1620&gt;=Dashboard!$Q$3,A1620&lt;=Dashboard!$Q$4,OR(J1620&lt;&gt;"Yes",Dashboard!$Q$15="Yes")),P1620,""),"")</f>
        <v/>
      </c>
    </row>
    <row r="1621">
      <c r="A1621" s="47" t="n"/>
      <c r="B1621" s="48" t="n"/>
      <c r="C1621" s="48" t="n"/>
      <c r="D1621" s="48" t="n"/>
      <c r="E1621" s="48" t="n"/>
      <c r="F1621" s="48" t="n"/>
      <c r="G1621" s="48" t="n"/>
      <c r="H1621" s="48" t="n"/>
      <c r="I1621" s="49" t="n"/>
      <c r="J1621" s="50" t="n"/>
      <c r="K1621" s="48" t="n"/>
      <c r="L1621" s="51">
        <f>IF(A1621="","",DATE(YEAR(A1621),MONTH(A1621),1))</f>
        <v/>
      </c>
      <c r="M1621" s="52">
        <f>IF(OR(A1621="",NOT(ISNUMBER(I1621))),"",IF(G1621=Lists!$B$5,I1621/2,IF(G1621=Lists!$B$6,I1621,0)))</f>
        <v/>
      </c>
      <c r="N1621" s="52">
        <f>IF(OR(A1621="",NOT(ISNUMBER(I1621))),"",IF(G1621=Lists!$B$5,I1621/2,IF(G1621=Lists!$B$7,I1621,0)))</f>
        <v/>
      </c>
      <c r="O1621" s="53">
        <f>IF(COUNTA(A1621:K1621)=0,"",IF(OR(A1621="",B1621="",C1621="",D1621="",E1621="",F1621="",G1621="",NOT(ISNUMBER(I1621))),"Incomplete",IF(COUNTIF(Lists!$H$4:$AA$4,C1621)=0,"Check category",IF(COUNTIF(INDEX(Lists!$H$6:$AA$45,0,MATCH(C1621,Lists!$H$4:$AA$4,0)),D1621)=0,"Check sub-category","OK"))))</f>
        <v/>
      </c>
      <c r="P1621">
        <f>IF(ISNUMBER(I1621),I1621+ROW()/10000000,"")</f>
        <v/>
      </c>
      <c r="Q1621">
        <f>IF(AND(ISNUMBER(P1621),ISNUMBER(A1621)),IF(AND(A1621&gt;=Dashboard!$Q$3,A1621&lt;=Dashboard!$Q$4,OR(J1621&lt;&gt;"Yes",Dashboard!$Q$15="Yes")),P1621,""),"")</f>
        <v/>
      </c>
    </row>
    <row r="1622">
      <c r="A1622" s="47" t="n"/>
      <c r="B1622" s="48" t="n"/>
      <c r="C1622" s="48" t="n"/>
      <c r="D1622" s="48" t="n"/>
      <c r="E1622" s="48" t="n"/>
      <c r="F1622" s="48" t="n"/>
      <c r="G1622" s="48" t="n"/>
      <c r="H1622" s="48" t="n"/>
      <c r="I1622" s="49" t="n"/>
      <c r="J1622" s="50" t="n"/>
      <c r="K1622" s="48" t="n"/>
      <c r="L1622" s="51">
        <f>IF(A1622="","",DATE(YEAR(A1622),MONTH(A1622),1))</f>
        <v/>
      </c>
      <c r="M1622" s="52">
        <f>IF(OR(A1622="",NOT(ISNUMBER(I1622))),"",IF(G1622=Lists!$B$5,I1622/2,IF(G1622=Lists!$B$6,I1622,0)))</f>
        <v/>
      </c>
      <c r="N1622" s="52">
        <f>IF(OR(A1622="",NOT(ISNUMBER(I1622))),"",IF(G1622=Lists!$B$5,I1622/2,IF(G1622=Lists!$B$7,I1622,0)))</f>
        <v/>
      </c>
      <c r="O1622" s="53">
        <f>IF(COUNTA(A1622:K1622)=0,"",IF(OR(A1622="",B1622="",C1622="",D1622="",E1622="",F1622="",G1622="",NOT(ISNUMBER(I1622))),"Incomplete",IF(COUNTIF(Lists!$H$4:$AA$4,C1622)=0,"Check category",IF(COUNTIF(INDEX(Lists!$H$6:$AA$45,0,MATCH(C1622,Lists!$H$4:$AA$4,0)),D1622)=0,"Check sub-category","OK"))))</f>
        <v/>
      </c>
      <c r="P1622">
        <f>IF(ISNUMBER(I1622),I1622+ROW()/10000000,"")</f>
        <v/>
      </c>
      <c r="Q1622">
        <f>IF(AND(ISNUMBER(P1622),ISNUMBER(A1622)),IF(AND(A1622&gt;=Dashboard!$Q$3,A1622&lt;=Dashboard!$Q$4,OR(J1622&lt;&gt;"Yes",Dashboard!$Q$15="Yes")),P1622,""),"")</f>
        <v/>
      </c>
    </row>
    <row r="1623">
      <c r="A1623" s="47" t="n"/>
      <c r="B1623" s="48" t="n"/>
      <c r="C1623" s="48" t="n"/>
      <c r="D1623" s="48" t="n"/>
      <c r="E1623" s="48" t="n"/>
      <c r="F1623" s="48" t="n"/>
      <c r="G1623" s="48" t="n"/>
      <c r="H1623" s="48" t="n"/>
      <c r="I1623" s="49" t="n"/>
      <c r="J1623" s="50" t="n"/>
      <c r="K1623" s="48" t="n"/>
      <c r="L1623" s="51">
        <f>IF(A1623="","",DATE(YEAR(A1623),MONTH(A1623),1))</f>
        <v/>
      </c>
      <c r="M1623" s="52">
        <f>IF(OR(A1623="",NOT(ISNUMBER(I1623))),"",IF(G1623=Lists!$B$5,I1623/2,IF(G1623=Lists!$B$6,I1623,0)))</f>
        <v/>
      </c>
      <c r="N1623" s="52">
        <f>IF(OR(A1623="",NOT(ISNUMBER(I1623))),"",IF(G1623=Lists!$B$5,I1623/2,IF(G1623=Lists!$B$7,I1623,0)))</f>
        <v/>
      </c>
      <c r="O1623" s="53">
        <f>IF(COUNTA(A1623:K1623)=0,"",IF(OR(A1623="",B1623="",C1623="",D1623="",E1623="",F1623="",G1623="",NOT(ISNUMBER(I1623))),"Incomplete",IF(COUNTIF(Lists!$H$4:$AA$4,C1623)=0,"Check category",IF(COUNTIF(INDEX(Lists!$H$6:$AA$45,0,MATCH(C1623,Lists!$H$4:$AA$4,0)),D1623)=0,"Check sub-category","OK"))))</f>
        <v/>
      </c>
      <c r="P1623">
        <f>IF(ISNUMBER(I1623),I1623+ROW()/10000000,"")</f>
        <v/>
      </c>
      <c r="Q1623">
        <f>IF(AND(ISNUMBER(P1623),ISNUMBER(A1623)),IF(AND(A1623&gt;=Dashboard!$Q$3,A1623&lt;=Dashboard!$Q$4,OR(J1623&lt;&gt;"Yes",Dashboard!$Q$15="Yes")),P1623,""),"")</f>
        <v/>
      </c>
    </row>
    <row r="1624">
      <c r="A1624" s="47" t="n"/>
      <c r="B1624" s="48" t="n"/>
      <c r="C1624" s="48" t="n"/>
      <c r="D1624" s="48" t="n"/>
      <c r="E1624" s="48" t="n"/>
      <c r="F1624" s="48" t="n"/>
      <c r="G1624" s="48" t="n"/>
      <c r="H1624" s="48" t="n"/>
      <c r="I1624" s="49" t="n"/>
      <c r="J1624" s="50" t="n"/>
      <c r="K1624" s="48" t="n"/>
      <c r="L1624" s="51">
        <f>IF(A1624="","",DATE(YEAR(A1624),MONTH(A1624),1))</f>
        <v/>
      </c>
      <c r="M1624" s="52">
        <f>IF(OR(A1624="",NOT(ISNUMBER(I1624))),"",IF(G1624=Lists!$B$5,I1624/2,IF(G1624=Lists!$B$6,I1624,0)))</f>
        <v/>
      </c>
      <c r="N1624" s="52">
        <f>IF(OR(A1624="",NOT(ISNUMBER(I1624))),"",IF(G1624=Lists!$B$5,I1624/2,IF(G1624=Lists!$B$7,I1624,0)))</f>
        <v/>
      </c>
      <c r="O1624" s="53">
        <f>IF(COUNTA(A1624:K1624)=0,"",IF(OR(A1624="",B1624="",C1624="",D1624="",E1624="",F1624="",G1624="",NOT(ISNUMBER(I1624))),"Incomplete",IF(COUNTIF(Lists!$H$4:$AA$4,C1624)=0,"Check category",IF(COUNTIF(INDEX(Lists!$H$6:$AA$45,0,MATCH(C1624,Lists!$H$4:$AA$4,0)),D1624)=0,"Check sub-category","OK"))))</f>
        <v/>
      </c>
      <c r="P1624">
        <f>IF(ISNUMBER(I1624),I1624+ROW()/10000000,"")</f>
        <v/>
      </c>
      <c r="Q1624">
        <f>IF(AND(ISNUMBER(P1624),ISNUMBER(A1624)),IF(AND(A1624&gt;=Dashboard!$Q$3,A1624&lt;=Dashboard!$Q$4,OR(J1624&lt;&gt;"Yes",Dashboard!$Q$15="Yes")),P1624,""),"")</f>
        <v/>
      </c>
    </row>
    <row r="1625">
      <c r="A1625" s="47" t="n"/>
      <c r="B1625" s="48" t="n"/>
      <c r="C1625" s="48" t="n"/>
      <c r="D1625" s="48" t="n"/>
      <c r="E1625" s="48" t="n"/>
      <c r="F1625" s="48" t="n"/>
      <c r="G1625" s="48" t="n"/>
      <c r="H1625" s="48" t="n"/>
      <c r="I1625" s="49" t="n"/>
      <c r="J1625" s="50" t="n"/>
      <c r="K1625" s="48" t="n"/>
      <c r="L1625" s="51">
        <f>IF(A1625="","",DATE(YEAR(A1625),MONTH(A1625),1))</f>
        <v/>
      </c>
      <c r="M1625" s="52">
        <f>IF(OR(A1625="",NOT(ISNUMBER(I1625))),"",IF(G1625=Lists!$B$5,I1625/2,IF(G1625=Lists!$B$6,I1625,0)))</f>
        <v/>
      </c>
      <c r="N1625" s="52">
        <f>IF(OR(A1625="",NOT(ISNUMBER(I1625))),"",IF(G1625=Lists!$B$5,I1625/2,IF(G1625=Lists!$B$7,I1625,0)))</f>
        <v/>
      </c>
      <c r="O1625" s="53">
        <f>IF(COUNTA(A1625:K1625)=0,"",IF(OR(A1625="",B1625="",C1625="",D1625="",E1625="",F1625="",G1625="",NOT(ISNUMBER(I1625))),"Incomplete",IF(COUNTIF(Lists!$H$4:$AA$4,C1625)=0,"Check category",IF(COUNTIF(INDEX(Lists!$H$6:$AA$45,0,MATCH(C1625,Lists!$H$4:$AA$4,0)),D1625)=0,"Check sub-category","OK"))))</f>
        <v/>
      </c>
      <c r="P1625">
        <f>IF(ISNUMBER(I1625),I1625+ROW()/10000000,"")</f>
        <v/>
      </c>
      <c r="Q1625">
        <f>IF(AND(ISNUMBER(P1625),ISNUMBER(A1625)),IF(AND(A1625&gt;=Dashboard!$Q$3,A1625&lt;=Dashboard!$Q$4,OR(J1625&lt;&gt;"Yes",Dashboard!$Q$15="Yes")),P1625,""),"")</f>
        <v/>
      </c>
    </row>
    <row r="1626">
      <c r="A1626" s="47" t="n"/>
      <c r="B1626" s="48" t="n"/>
      <c r="C1626" s="48" t="n"/>
      <c r="D1626" s="48" t="n"/>
      <c r="E1626" s="48" t="n"/>
      <c r="F1626" s="48" t="n"/>
      <c r="G1626" s="48" t="n"/>
      <c r="H1626" s="48" t="n"/>
      <c r="I1626" s="49" t="n"/>
      <c r="J1626" s="50" t="n"/>
      <c r="K1626" s="48" t="n"/>
      <c r="L1626" s="51">
        <f>IF(A1626="","",DATE(YEAR(A1626),MONTH(A1626),1))</f>
        <v/>
      </c>
      <c r="M1626" s="52">
        <f>IF(OR(A1626="",NOT(ISNUMBER(I1626))),"",IF(G1626=Lists!$B$5,I1626/2,IF(G1626=Lists!$B$6,I1626,0)))</f>
        <v/>
      </c>
      <c r="N1626" s="52">
        <f>IF(OR(A1626="",NOT(ISNUMBER(I1626))),"",IF(G1626=Lists!$B$5,I1626/2,IF(G1626=Lists!$B$7,I1626,0)))</f>
        <v/>
      </c>
      <c r="O1626" s="53">
        <f>IF(COUNTA(A1626:K1626)=0,"",IF(OR(A1626="",B1626="",C1626="",D1626="",E1626="",F1626="",G1626="",NOT(ISNUMBER(I1626))),"Incomplete",IF(COUNTIF(Lists!$H$4:$AA$4,C1626)=0,"Check category",IF(COUNTIF(INDEX(Lists!$H$6:$AA$45,0,MATCH(C1626,Lists!$H$4:$AA$4,0)),D1626)=0,"Check sub-category","OK"))))</f>
        <v/>
      </c>
      <c r="P1626">
        <f>IF(ISNUMBER(I1626),I1626+ROW()/10000000,"")</f>
        <v/>
      </c>
      <c r="Q1626">
        <f>IF(AND(ISNUMBER(P1626),ISNUMBER(A1626)),IF(AND(A1626&gt;=Dashboard!$Q$3,A1626&lt;=Dashboard!$Q$4,OR(J1626&lt;&gt;"Yes",Dashboard!$Q$15="Yes")),P1626,""),"")</f>
        <v/>
      </c>
    </row>
    <row r="1627">
      <c r="A1627" s="47" t="n"/>
      <c r="B1627" s="48" t="n"/>
      <c r="C1627" s="48" t="n"/>
      <c r="D1627" s="48" t="n"/>
      <c r="E1627" s="48" t="n"/>
      <c r="F1627" s="48" t="n"/>
      <c r="G1627" s="48" t="n"/>
      <c r="H1627" s="48" t="n"/>
      <c r="I1627" s="49" t="n"/>
      <c r="J1627" s="50" t="n"/>
      <c r="K1627" s="48" t="n"/>
      <c r="L1627" s="51">
        <f>IF(A1627="","",DATE(YEAR(A1627),MONTH(A1627),1))</f>
        <v/>
      </c>
      <c r="M1627" s="52">
        <f>IF(OR(A1627="",NOT(ISNUMBER(I1627))),"",IF(G1627=Lists!$B$5,I1627/2,IF(G1627=Lists!$B$6,I1627,0)))</f>
        <v/>
      </c>
      <c r="N1627" s="52">
        <f>IF(OR(A1627="",NOT(ISNUMBER(I1627))),"",IF(G1627=Lists!$B$5,I1627/2,IF(G1627=Lists!$B$7,I1627,0)))</f>
        <v/>
      </c>
      <c r="O1627" s="53">
        <f>IF(COUNTA(A1627:K1627)=0,"",IF(OR(A1627="",B1627="",C1627="",D1627="",E1627="",F1627="",G1627="",NOT(ISNUMBER(I1627))),"Incomplete",IF(COUNTIF(Lists!$H$4:$AA$4,C1627)=0,"Check category",IF(COUNTIF(INDEX(Lists!$H$6:$AA$45,0,MATCH(C1627,Lists!$H$4:$AA$4,0)),D1627)=0,"Check sub-category","OK"))))</f>
        <v/>
      </c>
      <c r="P1627">
        <f>IF(ISNUMBER(I1627),I1627+ROW()/10000000,"")</f>
        <v/>
      </c>
      <c r="Q1627">
        <f>IF(AND(ISNUMBER(P1627),ISNUMBER(A1627)),IF(AND(A1627&gt;=Dashboard!$Q$3,A1627&lt;=Dashboard!$Q$4,OR(J1627&lt;&gt;"Yes",Dashboard!$Q$15="Yes")),P1627,""),"")</f>
        <v/>
      </c>
    </row>
    <row r="1628">
      <c r="A1628" s="47" t="n"/>
      <c r="B1628" s="48" t="n"/>
      <c r="C1628" s="48" t="n"/>
      <c r="D1628" s="48" t="n"/>
      <c r="E1628" s="48" t="n"/>
      <c r="F1628" s="48" t="n"/>
      <c r="G1628" s="48" t="n"/>
      <c r="H1628" s="48" t="n"/>
      <c r="I1628" s="49" t="n"/>
      <c r="J1628" s="50" t="n"/>
      <c r="K1628" s="48" t="n"/>
      <c r="L1628" s="51">
        <f>IF(A1628="","",DATE(YEAR(A1628),MONTH(A1628),1))</f>
        <v/>
      </c>
      <c r="M1628" s="52">
        <f>IF(OR(A1628="",NOT(ISNUMBER(I1628))),"",IF(G1628=Lists!$B$5,I1628/2,IF(G1628=Lists!$B$6,I1628,0)))</f>
        <v/>
      </c>
      <c r="N1628" s="52">
        <f>IF(OR(A1628="",NOT(ISNUMBER(I1628))),"",IF(G1628=Lists!$B$5,I1628/2,IF(G1628=Lists!$B$7,I1628,0)))</f>
        <v/>
      </c>
      <c r="O1628" s="53">
        <f>IF(COUNTA(A1628:K1628)=0,"",IF(OR(A1628="",B1628="",C1628="",D1628="",E1628="",F1628="",G1628="",NOT(ISNUMBER(I1628))),"Incomplete",IF(COUNTIF(Lists!$H$4:$AA$4,C1628)=0,"Check category",IF(COUNTIF(INDEX(Lists!$H$6:$AA$45,0,MATCH(C1628,Lists!$H$4:$AA$4,0)),D1628)=0,"Check sub-category","OK"))))</f>
        <v/>
      </c>
      <c r="P1628">
        <f>IF(ISNUMBER(I1628),I1628+ROW()/10000000,"")</f>
        <v/>
      </c>
      <c r="Q1628">
        <f>IF(AND(ISNUMBER(P1628),ISNUMBER(A1628)),IF(AND(A1628&gt;=Dashboard!$Q$3,A1628&lt;=Dashboard!$Q$4,OR(J1628&lt;&gt;"Yes",Dashboard!$Q$15="Yes")),P1628,""),"")</f>
        <v/>
      </c>
    </row>
    <row r="1629">
      <c r="A1629" s="47" t="n"/>
      <c r="B1629" s="48" t="n"/>
      <c r="C1629" s="48" t="n"/>
      <c r="D1629" s="48" t="n"/>
      <c r="E1629" s="48" t="n"/>
      <c r="F1629" s="48" t="n"/>
      <c r="G1629" s="48" t="n"/>
      <c r="H1629" s="48" t="n"/>
      <c r="I1629" s="49" t="n"/>
      <c r="J1629" s="50" t="n"/>
      <c r="K1629" s="48" t="n"/>
      <c r="L1629" s="51">
        <f>IF(A1629="","",DATE(YEAR(A1629),MONTH(A1629),1))</f>
        <v/>
      </c>
      <c r="M1629" s="52">
        <f>IF(OR(A1629="",NOT(ISNUMBER(I1629))),"",IF(G1629=Lists!$B$5,I1629/2,IF(G1629=Lists!$B$6,I1629,0)))</f>
        <v/>
      </c>
      <c r="N1629" s="52">
        <f>IF(OR(A1629="",NOT(ISNUMBER(I1629))),"",IF(G1629=Lists!$B$5,I1629/2,IF(G1629=Lists!$B$7,I1629,0)))</f>
        <v/>
      </c>
      <c r="O1629" s="53">
        <f>IF(COUNTA(A1629:K1629)=0,"",IF(OR(A1629="",B1629="",C1629="",D1629="",E1629="",F1629="",G1629="",NOT(ISNUMBER(I1629))),"Incomplete",IF(COUNTIF(Lists!$H$4:$AA$4,C1629)=0,"Check category",IF(COUNTIF(INDEX(Lists!$H$6:$AA$45,0,MATCH(C1629,Lists!$H$4:$AA$4,0)),D1629)=0,"Check sub-category","OK"))))</f>
        <v/>
      </c>
      <c r="P1629">
        <f>IF(ISNUMBER(I1629),I1629+ROW()/10000000,"")</f>
        <v/>
      </c>
      <c r="Q1629">
        <f>IF(AND(ISNUMBER(P1629),ISNUMBER(A1629)),IF(AND(A1629&gt;=Dashboard!$Q$3,A1629&lt;=Dashboard!$Q$4,OR(J1629&lt;&gt;"Yes",Dashboard!$Q$15="Yes")),P1629,""),"")</f>
        <v/>
      </c>
    </row>
    <row r="1630">
      <c r="A1630" s="47" t="n"/>
      <c r="B1630" s="48" t="n"/>
      <c r="C1630" s="48" t="n"/>
      <c r="D1630" s="48" t="n"/>
      <c r="E1630" s="48" t="n"/>
      <c r="F1630" s="48" t="n"/>
      <c r="G1630" s="48" t="n"/>
      <c r="H1630" s="48" t="n"/>
      <c r="I1630" s="49" t="n"/>
      <c r="J1630" s="50" t="n"/>
      <c r="K1630" s="48" t="n"/>
      <c r="L1630" s="51">
        <f>IF(A1630="","",DATE(YEAR(A1630),MONTH(A1630),1))</f>
        <v/>
      </c>
      <c r="M1630" s="52">
        <f>IF(OR(A1630="",NOT(ISNUMBER(I1630))),"",IF(G1630=Lists!$B$5,I1630/2,IF(G1630=Lists!$B$6,I1630,0)))</f>
        <v/>
      </c>
      <c r="N1630" s="52">
        <f>IF(OR(A1630="",NOT(ISNUMBER(I1630))),"",IF(G1630=Lists!$B$5,I1630/2,IF(G1630=Lists!$B$7,I1630,0)))</f>
        <v/>
      </c>
      <c r="O1630" s="53">
        <f>IF(COUNTA(A1630:K1630)=0,"",IF(OR(A1630="",B1630="",C1630="",D1630="",E1630="",F1630="",G1630="",NOT(ISNUMBER(I1630))),"Incomplete",IF(COUNTIF(Lists!$H$4:$AA$4,C1630)=0,"Check category",IF(COUNTIF(INDEX(Lists!$H$6:$AA$45,0,MATCH(C1630,Lists!$H$4:$AA$4,0)),D1630)=0,"Check sub-category","OK"))))</f>
        <v/>
      </c>
      <c r="P1630">
        <f>IF(ISNUMBER(I1630),I1630+ROW()/10000000,"")</f>
        <v/>
      </c>
      <c r="Q1630">
        <f>IF(AND(ISNUMBER(P1630),ISNUMBER(A1630)),IF(AND(A1630&gt;=Dashboard!$Q$3,A1630&lt;=Dashboard!$Q$4,OR(J1630&lt;&gt;"Yes",Dashboard!$Q$15="Yes")),P1630,""),"")</f>
        <v/>
      </c>
    </row>
    <row r="1631">
      <c r="A1631" s="47" t="n"/>
      <c r="B1631" s="48" t="n"/>
      <c r="C1631" s="48" t="n"/>
      <c r="D1631" s="48" t="n"/>
      <c r="E1631" s="48" t="n"/>
      <c r="F1631" s="48" t="n"/>
      <c r="G1631" s="48" t="n"/>
      <c r="H1631" s="48" t="n"/>
      <c r="I1631" s="49" t="n"/>
      <c r="J1631" s="50" t="n"/>
      <c r="K1631" s="48" t="n"/>
      <c r="L1631" s="51">
        <f>IF(A1631="","",DATE(YEAR(A1631),MONTH(A1631),1))</f>
        <v/>
      </c>
      <c r="M1631" s="52">
        <f>IF(OR(A1631="",NOT(ISNUMBER(I1631))),"",IF(G1631=Lists!$B$5,I1631/2,IF(G1631=Lists!$B$6,I1631,0)))</f>
        <v/>
      </c>
      <c r="N1631" s="52">
        <f>IF(OR(A1631="",NOT(ISNUMBER(I1631))),"",IF(G1631=Lists!$B$5,I1631/2,IF(G1631=Lists!$B$7,I1631,0)))</f>
        <v/>
      </c>
      <c r="O1631" s="53">
        <f>IF(COUNTA(A1631:K1631)=0,"",IF(OR(A1631="",B1631="",C1631="",D1631="",E1631="",F1631="",G1631="",NOT(ISNUMBER(I1631))),"Incomplete",IF(COUNTIF(Lists!$H$4:$AA$4,C1631)=0,"Check category",IF(COUNTIF(INDEX(Lists!$H$6:$AA$45,0,MATCH(C1631,Lists!$H$4:$AA$4,0)),D1631)=0,"Check sub-category","OK"))))</f>
        <v/>
      </c>
      <c r="P1631">
        <f>IF(ISNUMBER(I1631),I1631+ROW()/10000000,"")</f>
        <v/>
      </c>
      <c r="Q1631">
        <f>IF(AND(ISNUMBER(P1631),ISNUMBER(A1631)),IF(AND(A1631&gt;=Dashboard!$Q$3,A1631&lt;=Dashboard!$Q$4,OR(J1631&lt;&gt;"Yes",Dashboard!$Q$15="Yes")),P1631,""),"")</f>
        <v/>
      </c>
    </row>
    <row r="1632">
      <c r="A1632" s="47" t="n"/>
      <c r="B1632" s="48" t="n"/>
      <c r="C1632" s="48" t="n"/>
      <c r="D1632" s="48" t="n"/>
      <c r="E1632" s="48" t="n"/>
      <c r="F1632" s="48" t="n"/>
      <c r="G1632" s="48" t="n"/>
      <c r="H1632" s="48" t="n"/>
      <c r="I1632" s="49" t="n"/>
      <c r="J1632" s="50" t="n"/>
      <c r="K1632" s="48" t="n"/>
      <c r="L1632" s="51">
        <f>IF(A1632="","",DATE(YEAR(A1632),MONTH(A1632),1))</f>
        <v/>
      </c>
      <c r="M1632" s="52">
        <f>IF(OR(A1632="",NOT(ISNUMBER(I1632))),"",IF(G1632=Lists!$B$5,I1632/2,IF(G1632=Lists!$B$6,I1632,0)))</f>
        <v/>
      </c>
      <c r="N1632" s="52">
        <f>IF(OR(A1632="",NOT(ISNUMBER(I1632))),"",IF(G1632=Lists!$B$5,I1632/2,IF(G1632=Lists!$B$7,I1632,0)))</f>
        <v/>
      </c>
      <c r="O1632" s="53">
        <f>IF(COUNTA(A1632:K1632)=0,"",IF(OR(A1632="",B1632="",C1632="",D1632="",E1632="",F1632="",G1632="",NOT(ISNUMBER(I1632))),"Incomplete",IF(COUNTIF(Lists!$H$4:$AA$4,C1632)=0,"Check category",IF(COUNTIF(INDEX(Lists!$H$6:$AA$45,0,MATCH(C1632,Lists!$H$4:$AA$4,0)),D1632)=0,"Check sub-category","OK"))))</f>
        <v/>
      </c>
      <c r="P1632">
        <f>IF(ISNUMBER(I1632),I1632+ROW()/10000000,"")</f>
        <v/>
      </c>
      <c r="Q1632">
        <f>IF(AND(ISNUMBER(P1632),ISNUMBER(A1632)),IF(AND(A1632&gt;=Dashboard!$Q$3,A1632&lt;=Dashboard!$Q$4,OR(J1632&lt;&gt;"Yes",Dashboard!$Q$15="Yes")),P1632,""),"")</f>
        <v/>
      </c>
    </row>
    <row r="1633">
      <c r="A1633" s="47" t="n"/>
      <c r="B1633" s="48" t="n"/>
      <c r="C1633" s="48" t="n"/>
      <c r="D1633" s="48" t="n"/>
      <c r="E1633" s="48" t="n"/>
      <c r="F1633" s="48" t="n"/>
      <c r="G1633" s="48" t="n"/>
      <c r="H1633" s="48" t="n"/>
      <c r="I1633" s="49" t="n"/>
      <c r="J1633" s="50" t="n"/>
      <c r="K1633" s="48" t="n"/>
      <c r="L1633" s="51">
        <f>IF(A1633="","",DATE(YEAR(A1633),MONTH(A1633),1))</f>
        <v/>
      </c>
      <c r="M1633" s="52">
        <f>IF(OR(A1633="",NOT(ISNUMBER(I1633))),"",IF(G1633=Lists!$B$5,I1633/2,IF(G1633=Lists!$B$6,I1633,0)))</f>
        <v/>
      </c>
      <c r="N1633" s="52">
        <f>IF(OR(A1633="",NOT(ISNUMBER(I1633))),"",IF(G1633=Lists!$B$5,I1633/2,IF(G1633=Lists!$B$7,I1633,0)))</f>
        <v/>
      </c>
      <c r="O1633" s="53">
        <f>IF(COUNTA(A1633:K1633)=0,"",IF(OR(A1633="",B1633="",C1633="",D1633="",E1633="",F1633="",G1633="",NOT(ISNUMBER(I1633))),"Incomplete",IF(COUNTIF(Lists!$H$4:$AA$4,C1633)=0,"Check category",IF(COUNTIF(INDEX(Lists!$H$6:$AA$45,0,MATCH(C1633,Lists!$H$4:$AA$4,0)),D1633)=0,"Check sub-category","OK"))))</f>
        <v/>
      </c>
      <c r="P1633">
        <f>IF(ISNUMBER(I1633),I1633+ROW()/10000000,"")</f>
        <v/>
      </c>
      <c r="Q1633">
        <f>IF(AND(ISNUMBER(P1633),ISNUMBER(A1633)),IF(AND(A1633&gt;=Dashboard!$Q$3,A1633&lt;=Dashboard!$Q$4,OR(J1633&lt;&gt;"Yes",Dashboard!$Q$15="Yes")),P1633,""),"")</f>
        <v/>
      </c>
    </row>
    <row r="1634">
      <c r="A1634" s="47" t="n"/>
      <c r="B1634" s="48" t="n"/>
      <c r="C1634" s="48" t="n"/>
      <c r="D1634" s="48" t="n"/>
      <c r="E1634" s="48" t="n"/>
      <c r="F1634" s="48" t="n"/>
      <c r="G1634" s="48" t="n"/>
      <c r="H1634" s="48" t="n"/>
      <c r="I1634" s="49" t="n"/>
      <c r="J1634" s="50" t="n"/>
      <c r="K1634" s="48" t="n"/>
      <c r="L1634" s="51">
        <f>IF(A1634="","",DATE(YEAR(A1634),MONTH(A1634),1))</f>
        <v/>
      </c>
      <c r="M1634" s="52">
        <f>IF(OR(A1634="",NOT(ISNUMBER(I1634))),"",IF(G1634=Lists!$B$5,I1634/2,IF(G1634=Lists!$B$6,I1634,0)))</f>
        <v/>
      </c>
      <c r="N1634" s="52">
        <f>IF(OR(A1634="",NOT(ISNUMBER(I1634))),"",IF(G1634=Lists!$B$5,I1634/2,IF(G1634=Lists!$B$7,I1634,0)))</f>
        <v/>
      </c>
      <c r="O1634" s="53">
        <f>IF(COUNTA(A1634:K1634)=0,"",IF(OR(A1634="",B1634="",C1634="",D1634="",E1634="",F1634="",G1634="",NOT(ISNUMBER(I1634))),"Incomplete",IF(COUNTIF(Lists!$H$4:$AA$4,C1634)=0,"Check category",IF(COUNTIF(INDEX(Lists!$H$6:$AA$45,0,MATCH(C1634,Lists!$H$4:$AA$4,0)),D1634)=0,"Check sub-category","OK"))))</f>
        <v/>
      </c>
      <c r="P1634">
        <f>IF(ISNUMBER(I1634),I1634+ROW()/10000000,"")</f>
        <v/>
      </c>
      <c r="Q1634">
        <f>IF(AND(ISNUMBER(P1634),ISNUMBER(A1634)),IF(AND(A1634&gt;=Dashboard!$Q$3,A1634&lt;=Dashboard!$Q$4,OR(J1634&lt;&gt;"Yes",Dashboard!$Q$15="Yes")),P1634,""),"")</f>
        <v/>
      </c>
    </row>
    <row r="1635">
      <c r="A1635" s="47" t="n"/>
      <c r="B1635" s="48" t="n"/>
      <c r="C1635" s="48" t="n"/>
      <c r="D1635" s="48" t="n"/>
      <c r="E1635" s="48" t="n"/>
      <c r="F1635" s="48" t="n"/>
      <c r="G1635" s="48" t="n"/>
      <c r="H1635" s="48" t="n"/>
      <c r="I1635" s="49" t="n"/>
      <c r="J1635" s="50" t="n"/>
      <c r="K1635" s="48" t="n"/>
      <c r="L1635" s="51">
        <f>IF(A1635="","",DATE(YEAR(A1635),MONTH(A1635),1))</f>
        <v/>
      </c>
      <c r="M1635" s="52">
        <f>IF(OR(A1635="",NOT(ISNUMBER(I1635))),"",IF(G1635=Lists!$B$5,I1635/2,IF(G1635=Lists!$B$6,I1635,0)))</f>
        <v/>
      </c>
      <c r="N1635" s="52">
        <f>IF(OR(A1635="",NOT(ISNUMBER(I1635))),"",IF(G1635=Lists!$B$5,I1635/2,IF(G1635=Lists!$B$7,I1635,0)))</f>
        <v/>
      </c>
      <c r="O1635" s="53">
        <f>IF(COUNTA(A1635:K1635)=0,"",IF(OR(A1635="",B1635="",C1635="",D1635="",E1635="",F1635="",G1635="",NOT(ISNUMBER(I1635))),"Incomplete",IF(COUNTIF(Lists!$H$4:$AA$4,C1635)=0,"Check category",IF(COUNTIF(INDEX(Lists!$H$6:$AA$45,0,MATCH(C1635,Lists!$H$4:$AA$4,0)),D1635)=0,"Check sub-category","OK"))))</f>
        <v/>
      </c>
      <c r="P1635">
        <f>IF(ISNUMBER(I1635),I1635+ROW()/10000000,"")</f>
        <v/>
      </c>
      <c r="Q1635">
        <f>IF(AND(ISNUMBER(P1635),ISNUMBER(A1635)),IF(AND(A1635&gt;=Dashboard!$Q$3,A1635&lt;=Dashboard!$Q$4,OR(J1635&lt;&gt;"Yes",Dashboard!$Q$15="Yes")),P1635,""),"")</f>
        <v/>
      </c>
    </row>
    <row r="1636">
      <c r="A1636" s="47" t="n"/>
      <c r="B1636" s="48" t="n"/>
      <c r="C1636" s="48" t="n"/>
      <c r="D1636" s="48" t="n"/>
      <c r="E1636" s="48" t="n"/>
      <c r="F1636" s="48" t="n"/>
      <c r="G1636" s="48" t="n"/>
      <c r="H1636" s="48" t="n"/>
      <c r="I1636" s="49" t="n"/>
      <c r="J1636" s="50" t="n"/>
      <c r="K1636" s="48" t="n"/>
      <c r="L1636" s="51">
        <f>IF(A1636="","",DATE(YEAR(A1636),MONTH(A1636),1))</f>
        <v/>
      </c>
      <c r="M1636" s="52">
        <f>IF(OR(A1636="",NOT(ISNUMBER(I1636))),"",IF(G1636=Lists!$B$5,I1636/2,IF(G1636=Lists!$B$6,I1636,0)))</f>
        <v/>
      </c>
      <c r="N1636" s="52">
        <f>IF(OR(A1636="",NOT(ISNUMBER(I1636))),"",IF(G1636=Lists!$B$5,I1636/2,IF(G1636=Lists!$B$7,I1636,0)))</f>
        <v/>
      </c>
      <c r="O1636" s="53">
        <f>IF(COUNTA(A1636:K1636)=0,"",IF(OR(A1636="",B1636="",C1636="",D1636="",E1636="",F1636="",G1636="",NOT(ISNUMBER(I1636))),"Incomplete",IF(COUNTIF(Lists!$H$4:$AA$4,C1636)=0,"Check category",IF(COUNTIF(INDEX(Lists!$H$6:$AA$45,0,MATCH(C1636,Lists!$H$4:$AA$4,0)),D1636)=0,"Check sub-category","OK"))))</f>
        <v/>
      </c>
      <c r="P1636">
        <f>IF(ISNUMBER(I1636),I1636+ROW()/10000000,"")</f>
        <v/>
      </c>
      <c r="Q1636">
        <f>IF(AND(ISNUMBER(P1636),ISNUMBER(A1636)),IF(AND(A1636&gt;=Dashboard!$Q$3,A1636&lt;=Dashboard!$Q$4,OR(J1636&lt;&gt;"Yes",Dashboard!$Q$15="Yes")),P1636,""),"")</f>
        <v/>
      </c>
    </row>
    <row r="1637">
      <c r="A1637" s="47" t="n"/>
      <c r="B1637" s="48" t="n"/>
      <c r="C1637" s="48" t="n"/>
      <c r="D1637" s="48" t="n"/>
      <c r="E1637" s="48" t="n"/>
      <c r="F1637" s="48" t="n"/>
      <c r="G1637" s="48" t="n"/>
      <c r="H1637" s="48" t="n"/>
      <c r="I1637" s="49" t="n"/>
      <c r="J1637" s="50" t="n"/>
      <c r="K1637" s="48" t="n"/>
      <c r="L1637" s="51">
        <f>IF(A1637="","",DATE(YEAR(A1637),MONTH(A1637),1))</f>
        <v/>
      </c>
      <c r="M1637" s="52">
        <f>IF(OR(A1637="",NOT(ISNUMBER(I1637))),"",IF(G1637=Lists!$B$5,I1637/2,IF(G1637=Lists!$B$6,I1637,0)))</f>
        <v/>
      </c>
      <c r="N1637" s="52">
        <f>IF(OR(A1637="",NOT(ISNUMBER(I1637))),"",IF(G1637=Lists!$B$5,I1637/2,IF(G1637=Lists!$B$7,I1637,0)))</f>
        <v/>
      </c>
      <c r="O1637" s="53">
        <f>IF(COUNTA(A1637:K1637)=0,"",IF(OR(A1637="",B1637="",C1637="",D1637="",E1637="",F1637="",G1637="",NOT(ISNUMBER(I1637))),"Incomplete",IF(COUNTIF(Lists!$H$4:$AA$4,C1637)=0,"Check category",IF(COUNTIF(INDEX(Lists!$H$6:$AA$45,0,MATCH(C1637,Lists!$H$4:$AA$4,0)),D1637)=0,"Check sub-category","OK"))))</f>
        <v/>
      </c>
      <c r="P1637">
        <f>IF(ISNUMBER(I1637),I1637+ROW()/10000000,"")</f>
        <v/>
      </c>
      <c r="Q1637">
        <f>IF(AND(ISNUMBER(P1637),ISNUMBER(A1637)),IF(AND(A1637&gt;=Dashboard!$Q$3,A1637&lt;=Dashboard!$Q$4,OR(J1637&lt;&gt;"Yes",Dashboard!$Q$15="Yes")),P1637,""),"")</f>
        <v/>
      </c>
    </row>
    <row r="1638">
      <c r="A1638" s="47" t="n"/>
      <c r="B1638" s="48" t="n"/>
      <c r="C1638" s="48" t="n"/>
      <c r="D1638" s="48" t="n"/>
      <c r="E1638" s="48" t="n"/>
      <c r="F1638" s="48" t="n"/>
      <c r="G1638" s="48" t="n"/>
      <c r="H1638" s="48" t="n"/>
      <c r="I1638" s="49" t="n"/>
      <c r="J1638" s="50" t="n"/>
      <c r="K1638" s="48" t="n"/>
      <c r="L1638" s="51">
        <f>IF(A1638="","",DATE(YEAR(A1638),MONTH(A1638),1))</f>
        <v/>
      </c>
      <c r="M1638" s="52">
        <f>IF(OR(A1638="",NOT(ISNUMBER(I1638))),"",IF(G1638=Lists!$B$5,I1638/2,IF(G1638=Lists!$B$6,I1638,0)))</f>
        <v/>
      </c>
      <c r="N1638" s="52">
        <f>IF(OR(A1638="",NOT(ISNUMBER(I1638))),"",IF(G1638=Lists!$B$5,I1638/2,IF(G1638=Lists!$B$7,I1638,0)))</f>
        <v/>
      </c>
      <c r="O1638" s="53">
        <f>IF(COUNTA(A1638:K1638)=0,"",IF(OR(A1638="",B1638="",C1638="",D1638="",E1638="",F1638="",G1638="",NOT(ISNUMBER(I1638))),"Incomplete",IF(COUNTIF(Lists!$H$4:$AA$4,C1638)=0,"Check category",IF(COUNTIF(INDEX(Lists!$H$6:$AA$45,0,MATCH(C1638,Lists!$H$4:$AA$4,0)),D1638)=0,"Check sub-category","OK"))))</f>
        <v/>
      </c>
      <c r="P1638">
        <f>IF(ISNUMBER(I1638),I1638+ROW()/10000000,"")</f>
        <v/>
      </c>
      <c r="Q1638">
        <f>IF(AND(ISNUMBER(P1638),ISNUMBER(A1638)),IF(AND(A1638&gt;=Dashboard!$Q$3,A1638&lt;=Dashboard!$Q$4,OR(J1638&lt;&gt;"Yes",Dashboard!$Q$15="Yes")),P1638,""),"")</f>
        <v/>
      </c>
    </row>
    <row r="1639">
      <c r="A1639" s="47" t="n"/>
      <c r="B1639" s="48" t="n"/>
      <c r="C1639" s="48" t="n"/>
      <c r="D1639" s="48" t="n"/>
      <c r="E1639" s="48" t="n"/>
      <c r="F1639" s="48" t="n"/>
      <c r="G1639" s="48" t="n"/>
      <c r="H1639" s="48" t="n"/>
      <c r="I1639" s="49" t="n"/>
      <c r="J1639" s="50" t="n"/>
      <c r="K1639" s="48" t="n"/>
      <c r="L1639" s="51">
        <f>IF(A1639="","",DATE(YEAR(A1639),MONTH(A1639),1))</f>
        <v/>
      </c>
      <c r="M1639" s="52">
        <f>IF(OR(A1639="",NOT(ISNUMBER(I1639))),"",IF(G1639=Lists!$B$5,I1639/2,IF(G1639=Lists!$B$6,I1639,0)))</f>
        <v/>
      </c>
      <c r="N1639" s="52">
        <f>IF(OR(A1639="",NOT(ISNUMBER(I1639))),"",IF(G1639=Lists!$B$5,I1639/2,IF(G1639=Lists!$B$7,I1639,0)))</f>
        <v/>
      </c>
      <c r="O1639" s="53">
        <f>IF(COUNTA(A1639:K1639)=0,"",IF(OR(A1639="",B1639="",C1639="",D1639="",E1639="",F1639="",G1639="",NOT(ISNUMBER(I1639))),"Incomplete",IF(COUNTIF(Lists!$H$4:$AA$4,C1639)=0,"Check category",IF(COUNTIF(INDEX(Lists!$H$6:$AA$45,0,MATCH(C1639,Lists!$H$4:$AA$4,0)),D1639)=0,"Check sub-category","OK"))))</f>
        <v/>
      </c>
      <c r="P1639">
        <f>IF(ISNUMBER(I1639),I1639+ROW()/10000000,"")</f>
        <v/>
      </c>
      <c r="Q1639">
        <f>IF(AND(ISNUMBER(P1639),ISNUMBER(A1639)),IF(AND(A1639&gt;=Dashboard!$Q$3,A1639&lt;=Dashboard!$Q$4,OR(J1639&lt;&gt;"Yes",Dashboard!$Q$15="Yes")),P1639,""),"")</f>
        <v/>
      </c>
    </row>
    <row r="1640">
      <c r="A1640" s="47" t="n"/>
      <c r="B1640" s="48" t="n"/>
      <c r="C1640" s="48" t="n"/>
      <c r="D1640" s="48" t="n"/>
      <c r="E1640" s="48" t="n"/>
      <c r="F1640" s="48" t="n"/>
      <c r="G1640" s="48" t="n"/>
      <c r="H1640" s="48" t="n"/>
      <c r="I1640" s="49" t="n"/>
      <c r="J1640" s="50" t="n"/>
      <c r="K1640" s="48" t="n"/>
      <c r="L1640" s="51">
        <f>IF(A1640="","",DATE(YEAR(A1640),MONTH(A1640),1))</f>
        <v/>
      </c>
      <c r="M1640" s="52">
        <f>IF(OR(A1640="",NOT(ISNUMBER(I1640))),"",IF(G1640=Lists!$B$5,I1640/2,IF(G1640=Lists!$B$6,I1640,0)))</f>
        <v/>
      </c>
      <c r="N1640" s="52">
        <f>IF(OR(A1640="",NOT(ISNUMBER(I1640))),"",IF(G1640=Lists!$B$5,I1640/2,IF(G1640=Lists!$B$7,I1640,0)))</f>
        <v/>
      </c>
      <c r="O1640" s="53">
        <f>IF(COUNTA(A1640:K1640)=0,"",IF(OR(A1640="",B1640="",C1640="",D1640="",E1640="",F1640="",G1640="",NOT(ISNUMBER(I1640))),"Incomplete",IF(COUNTIF(Lists!$H$4:$AA$4,C1640)=0,"Check category",IF(COUNTIF(INDEX(Lists!$H$6:$AA$45,0,MATCH(C1640,Lists!$H$4:$AA$4,0)),D1640)=0,"Check sub-category","OK"))))</f>
        <v/>
      </c>
      <c r="P1640">
        <f>IF(ISNUMBER(I1640),I1640+ROW()/10000000,"")</f>
        <v/>
      </c>
      <c r="Q1640">
        <f>IF(AND(ISNUMBER(P1640),ISNUMBER(A1640)),IF(AND(A1640&gt;=Dashboard!$Q$3,A1640&lt;=Dashboard!$Q$4,OR(J1640&lt;&gt;"Yes",Dashboard!$Q$15="Yes")),P1640,""),"")</f>
        <v/>
      </c>
    </row>
    <row r="1641">
      <c r="A1641" s="47" t="n"/>
      <c r="B1641" s="48" t="n"/>
      <c r="C1641" s="48" t="n"/>
      <c r="D1641" s="48" t="n"/>
      <c r="E1641" s="48" t="n"/>
      <c r="F1641" s="48" t="n"/>
      <c r="G1641" s="48" t="n"/>
      <c r="H1641" s="48" t="n"/>
      <c r="I1641" s="49" t="n"/>
      <c r="J1641" s="50" t="n"/>
      <c r="K1641" s="48" t="n"/>
      <c r="L1641" s="51">
        <f>IF(A1641="","",DATE(YEAR(A1641),MONTH(A1641),1))</f>
        <v/>
      </c>
      <c r="M1641" s="52">
        <f>IF(OR(A1641="",NOT(ISNUMBER(I1641))),"",IF(G1641=Lists!$B$5,I1641/2,IF(G1641=Lists!$B$6,I1641,0)))</f>
        <v/>
      </c>
      <c r="N1641" s="52">
        <f>IF(OR(A1641="",NOT(ISNUMBER(I1641))),"",IF(G1641=Lists!$B$5,I1641/2,IF(G1641=Lists!$B$7,I1641,0)))</f>
        <v/>
      </c>
      <c r="O1641" s="53">
        <f>IF(COUNTA(A1641:K1641)=0,"",IF(OR(A1641="",B1641="",C1641="",D1641="",E1641="",F1641="",G1641="",NOT(ISNUMBER(I1641))),"Incomplete",IF(COUNTIF(Lists!$H$4:$AA$4,C1641)=0,"Check category",IF(COUNTIF(INDEX(Lists!$H$6:$AA$45,0,MATCH(C1641,Lists!$H$4:$AA$4,0)),D1641)=0,"Check sub-category","OK"))))</f>
        <v/>
      </c>
      <c r="P1641">
        <f>IF(ISNUMBER(I1641),I1641+ROW()/10000000,"")</f>
        <v/>
      </c>
      <c r="Q1641">
        <f>IF(AND(ISNUMBER(P1641),ISNUMBER(A1641)),IF(AND(A1641&gt;=Dashboard!$Q$3,A1641&lt;=Dashboard!$Q$4,OR(J1641&lt;&gt;"Yes",Dashboard!$Q$15="Yes")),P1641,""),"")</f>
        <v/>
      </c>
    </row>
    <row r="1642">
      <c r="A1642" s="47" t="n"/>
      <c r="B1642" s="48" t="n"/>
      <c r="C1642" s="48" t="n"/>
      <c r="D1642" s="48" t="n"/>
      <c r="E1642" s="48" t="n"/>
      <c r="F1642" s="48" t="n"/>
      <c r="G1642" s="48" t="n"/>
      <c r="H1642" s="48" t="n"/>
      <c r="I1642" s="49" t="n"/>
      <c r="J1642" s="50" t="n"/>
      <c r="K1642" s="48" t="n"/>
      <c r="L1642" s="51">
        <f>IF(A1642="","",DATE(YEAR(A1642),MONTH(A1642),1))</f>
        <v/>
      </c>
      <c r="M1642" s="52">
        <f>IF(OR(A1642="",NOT(ISNUMBER(I1642))),"",IF(G1642=Lists!$B$5,I1642/2,IF(G1642=Lists!$B$6,I1642,0)))</f>
        <v/>
      </c>
      <c r="N1642" s="52">
        <f>IF(OR(A1642="",NOT(ISNUMBER(I1642))),"",IF(G1642=Lists!$B$5,I1642/2,IF(G1642=Lists!$B$7,I1642,0)))</f>
        <v/>
      </c>
      <c r="O1642" s="53">
        <f>IF(COUNTA(A1642:K1642)=0,"",IF(OR(A1642="",B1642="",C1642="",D1642="",E1642="",F1642="",G1642="",NOT(ISNUMBER(I1642))),"Incomplete",IF(COUNTIF(Lists!$H$4:$AA$4,C1642)=0,"Check category",IF(COUNTIF(INDEX(Lists!$H$6:$AA$45,0,MATCH(C1642,Lists!$H$4:$AA$4,0)),D1642)=0,"Check sub-category","OK"))))</f>
        <v/>
      </c>
      <c r="P1642">
        <f>IF(ISNUMBER(I1642),I1642+ROW()/10000000,"")</f>
        <v/>
      </c>
      <c r="Q1642">
        <f>IF(AND(ISNUMBER(P1642),ISNUMBER(A1642)),IF(AND(A1642&gt;=Dashboard!$Q$3,A1642&lt;=Dashboard!$Q$4,OR(J1642&lt;&gt;"Yes",Dashboard!$Q$15="Yes")),P1642,""),"")</f>
        <v/>
      </c>
    </row>
    <row r="1643">
      <c r="A1643" s="47" t="n"/>
      <c r="B1643" s="48" t="n"/>
      <c r="C1643" s="48" t="n"/>
      <c r="D1643" s="48" t="n"/>
      <c r="E1643" s="48" t="n"/>
      <c r="F1643" s="48" t="n"/>
      <c r="G1643" s="48" t="n"/>
      <c r="H1643" s="48" t="n"/>
      <c r="I1643" s="49" t="n"/>
      <c r="J1643" s="50" t="n"/>
      <c r="K1643" s="48" t="n"/>
      <c r="L1643" s="51">
        <f>IF(A1643="","",DATE(YEAR(A1643),MONTH(A1643),1))</f>
        <v/>
      </c>
      <c r="M1643" s="52">
        <f>IF(OR(A1643="",NOT(ISNUMBER(I1643))),"",IF(G1643=Lists!$B$5,I1643/2,IF(G1643=Lists!$B$6,I1643,0)))</f>
        <v/>
      </c>
      <c r="N1643" s="52">
        <f>IF(OR(A1643="",NOT(ISNUMBER(I1643))),"",IF(G1643=Lists!$B$5,I1643/2,IF(G1643=Lists!$B$7,I1643,0)))</f>
        <v/>
      </c>
      <c r="O1643" s="53">
        <f>IF(COUNTA(A1643:K1643)=0,"",IF(OR(A1643="",B1643="",C1643="",D1643="",E1643="",F1643="",G1643="",NOT(ISNUMBER(I1643))),"Incomplete",IF(COUNTIF(Lists!$H$4:$AA$4,C1643)=0,"Check category",IF(COUNTIF(INDEX(Lists!$H$6:$AA$45,0,MATCH(C1643,Lists!$H$4:$AA$4,0)),D1643)=0,"Check sub-category","OK"))))</f>
        <v/>
      </c>
      <c r="P1643">
        <f>IF(ISNUMBER(I1643),I1643+ROW()/10000000,"")</f>
        <v/>
      </c>
      <c r="Q1643">
        <f>IF(AND(ISNUMBER(P1643),ISNUMBER(A1643)),IF(AND(A1643&gt;=Dashboard!$Q$3,A1643&lt;=Dashboard!$Q$4,OR(J1643&lt;&gt;"Yes",Dashboard!$Q$15="Yes")),P1643,""),"")</f>
        <v/>
      </c>
    </row>
    <row r="1644">
      <c r="A1644" s="47" t="n"/>
      <c r="B1644" s="48" t="n"/>
      <c r="C1644" s="48" t="n"/>
      <c r="D1644" s="48" t="n"/>
      <c r="E1644" s="48" t="n"/>
      <c r="F1644" s="48" t="n"/>
      <c r="G1644" s="48" t="n"/>
      <c r="H1644" s="48" t="n"/>
      <c r="I1644" s="49" t="n"/>
      <c r="J1644" s="50" t="n"/>
      <c r="K1644" s="48" t="n"/>
      <c r="L1644" s="51">
        <f>IF(A1644="","",DATE(YEAR(A1644),MONTH(A1644),1))</f>
        <v/>
      </c>
      <c r="M1644" s="52">
        <f>IF(OR(A1644="",NOT(ISNUMBER(I1644))),"",IF(G1644=Lists!$B$5,I1644/2,IF(G1644=Lists!$B$6,I1644,0)))</f>
        <v/>
      </c>
      <c r="N1644" s="52">
        <f>IF(OR(A1644="",NOT(ISNUMBER(I1644))),"",IF(G1644=Lists!$B$5,I1644/2,IF(G1644=Lists!$B$7,I1644,0)))</f>
        <v/>
      </c>
      <c r="O1644" s="53">
        <f>IF(COUNTA(A1644:K1644)=0,"",IF(OR(A1644="",B1644="",C1644="",D1644="",E1644="",F1644="",G1644="",NOT(ISNUMBER(I1644))),"Incomplete",IF(COUNTIF(Lists!$H$4:$AA$4,C1644)=0,"Check category",IF(COUNTIF(INDEX(Lists!$H$6:$AA$45,0,MATCH(C1644,Lists!$H$4:$AA$4,0)),D1644)=0,"Check sub-category","OK"))))</f>
        <v/>
      </c>
      <c r="P1644">
        <f>IF(ISNUMBER(I1644),I1644+ROW()/10000000,"")</f>
        <v/>
      </c>
      <c r="Q1644">
        <f>IF(AND(ISNUMBER(P1644),ISNUMBER(A1644)),IF(AND(A1644&gt;=Dashboard!$Q$3,A1644&lt;=Dashboard!$Q$4,OR(J1644&lt;&gt;"Yes",Dashboard!$Q$15="Yes")),P1644,""),"")</f>
        <v/>
      </c>
    </row>
    <row r="1645">
      <c r="A1645" s="47" t="n"/>
      <c r="B1645" s="48" t="n"/>
      <c r="C1645" s="48" t="n"/>
      <c r="D1645" s="48" t="n"/>
      <c r="E1645" s="48" t="n"/>
      <c r="F1645" s="48" t="n"/>
      <c r="G1645" s="48" t="n"/>
      <c r="H1645" s="48" t="n"/>
      <c r="I1645" s="49" t="n"/>
      <c r="J1645" s="50" t="n"/>
      <c r="K1645" s="48" t="n"/>
      <c r="L1645" s="51">
        <f>IF(A1645="","",DATE(YEAR(A1645),MONTH(A1645),1))</f>
        <v/>
      </c>
      <c r="M1645" s="52">
        <f>IF(OR(A1645="",NOT(ISNUMBER(I1645))),"",IF(G1645=Lists!$B$5,I1645/2,IF(G1645=Lists!$B$6,I1645,0)))</f>
        <v/>
      </c>
      <c r="N1645" s="52">
        <f>IF(OR(A1645="",NOT(ISNUMBER(I1645))),"",IF(G1645=Lists!$B$5,I1645/2,IF(G1645=Lists!$B$7,I1645,0)))</f>
        <v/>
      </c>
      <c r="O1645" s="53">
        <f>IF(COUNTA(A1645:K1645)=0,"",IF(OR(A1645="",B1645="",C1645="",D1645="",E1645="",F1645="",G1645="",NOT(ISNUMBER(I1645))),"Incomplete",IF(COUNTIF(Lists!$H$4:$AA$4,C1645)=0,"Check category",IF(COUNTIF(INDEX(Lists!$H$6:$AA$45,0,MATCH(C1645,Lists!$H$4:$AA$4,0)),D1645)=0,"Check sub-category","OK"))))</f>
        <v/>
      </c>
      <c r="P1645">
        <f>IF(ISNUMBER(I1645),I1645+ROW()/10000000,"")</f>
        <v/>
      </c>
      <c r="Q1645">
        <f>IF(AND(ISNUMBER(P1645),ISNUMBER(A1645)),IF(AND(A1645&gt;=Dashboard!$Q$3,A1645&lt;=Dashboard!$Q$4,OR(J1645&lt;&gt;"Yes",Dashboard!$Q$15="Yes")),P1645,""),"")</f>
        <v/>
      </c>
    </row>
    <row r="1646">
      <c r="A1646" s="47" t="n"/>
      <c r="B1646" s="48" t="n"/>
      <c r="C1646" s="48" t="n"/>
      <c r="D1646" s="48" t="n"/>
      <c r="E1646" s="48" t="n"/>
      <c r="F1646" s="48" t="n"/>
      <c r="G1646" s="48" t="n"/>
      <c r="H1646" s="48" t="n"/>
      <c r="I1646" s="49" t="n"/>
      <c r="J1646" s="50" t="n"/>
      <c r="K1646" s="48" t="n"/>
      <c r="L1646" s="51">
        <f>IF(A1646="","",DATE(YEAR(A1646),MONTH(A1646),1))</f>
        <v/>
      </c>
      <c r="M1646" s="52">
        <f>IF(OR(A1646="",NOT(ISNUMBER(I1646))),"",IF(G1646=Lists!$B$5,I1646/2,IF(G1646=Lists!$B$6,I1646,0)))</f>
        <v/>
      </c>
      <c r="N1646" s="52">
        <f>IF(OR(A1646="",NOT(ISNUMBER(I1646))),"",IF(G1646=Lists!$B$5,I1646/2,IF(G1646=Lists!$B$7,I1646,0)))</f>
        <v/>
      </c>
      <c r="O1646" s="53">
        <f>IF(COUNTA(A1646:K1646)=0,"",IF(OR(A1646="",B1646="",C1646="",D1646="",E1646="",F1646="",G1646="",NOT(ISNUMBER(I1646))),"Incomplete",IF(COUNTIF(Lists!$H$4:$AA$4,C1646)=0,"Check category",IF(COUNTIF(INDEX(Lists!$H$6:$AA$45,0,MATCH(C1646,Lists!$H$4:$AA$4,0)),D1646)=0,"Check sub-category","OK"))))</f>
        <v/>
      </c>
      <c r="P1646">
        <f>IF(ISNUMBER(I1646),I1646+ROW()/10000000,"")</f>
        <v/>
      </c>
      <c r="Q1646">
        <f>IF(AND(ISNUMBER(P1646),ISNUMBER(A1646)),IF(AND(A1646&gt;=Dashboard!$Q$3,A1646&lt;=Dashboard!$Q$4,OR(J1646&lt;&gt;"Yes",Dashboard!$Q$15="Yes")),P1646,""),"")</f>
        <v/>
      </c>
    </row>
    <row r="1647">
      <c r="A1647" s="47" t="n"/>
      <c r="B1647" s="48" t="n"/>
      <c r="C1647" s="48" t="n"/>
      <c r="D1647" s="48" t="n"/>
      <c r="E1647" s="48" t="n"/>
      <c r="F1647" s="48" t="n"/>
      <c r="G1647" s="48" t="n"/>
      <c r="H1647" s="48" t="n"/>
      <c r="I1647" s="49" t="n"/>
      <c r="J1647" s="50" t="n"/>
      <c r="K1647" s="48" t="n"/>
      <c r="L1647" s="51">
        <f>IF(A1647="","",DATE(YEAR(A1647),MONTH(A1647),1))</f>
        <v/>
      </c>
      <c r="M1647" s="52">
        <f>IF(OR(A1647="",NOT(ISNUMBER(I1647))),"",IF(G1647=Lists!$B$5,I1647/2,IF(G1647=Lists!$B$6,I1647,0)))</f>
        <v/>
      </c>
      <c r="N1647" s="52">
        <f>IF(OR(A1647="",NOT(ISNUMBER(I1647))),"",IF(G1647=Lists!$B$5,I1647/2,IF(G1647=Lists!$B$7,I1647,0)))</f>
        <v/>
      </c>
      <c r="O1647" s="53">
        <f>IF(COUNTA(A1647:K1647)=0,"",IF(OR(A1647="",B1647="",C1647="",D1647="",E1647="",F1647="",G1647="",NOT(ISNUMBER(I1647))),"Incomplete",IF(COUNTIF(Lists!$H$4:$AA$4,C1647)=0,"Check category",IF(COUNTIF(INDEX(Lists!$H$6:$AA$45,0,MATCH(C1647,Lists!$H$4:$AA$4,0)),D1647)=0,"Check sub-category","OK"))))</f>
        <v/>
      </c>
      <c r="P1647">
        <f>IF(ISNUMBER(I1647),I1647+ROW()/10000000,"")</f>
        <v/>
      </c>
      <c r="Q1647">
        <f>IF(AND(ISNUMBER(P1647),ISNUMBER(A1647)),IF(AND(A1647&gt;=Dashboard!$Q$3,A1647&lt;=Dashboard!$Q$4,OR(J1647&lt;&gt;"Yes",Dashboard!$Q$15="Yes")),P1647,""),"")</f>
        <v/>
      </c>
    </row>
    <row r="1648">
      <c r="A1648" s="47" t="n"/>
      <c r="B1648" s="48" t="n"/>
      <c r="C1648" s="48" t="n"/>
      <c r="D1648" s="48" t="n"/>
      <c r="E1648" s="48" t="n"/>
      <c r="F1648" s="48" t="n"/>
      <c r="G1648" s="48" t="n"/>
      <c r="H1648" s="48" t="n"/>
      <c r="I1648" s="49" t="n"/>
      <c r="J1648" s="50" t="n"/>
      <c r="K1648" s="48" t="n"/>
      <c r="L1648" s="51">
        <f>IF(A1648="","",DATE(YEAR(A1648),MONTH(A1648),1))</f>
        <v/>
      </c>
      <c r="M1648" s="52">
        <f>IF(OR(A1648="",NOT(ISNUMBER(I1648))),"",IF(G1648=Lists!$B$5,I1648/2,IF(G1648=Lists!$B$6,I1648,0)))</f>
        <v/>
      </c>
      <c r="N1648" s="52">
        <f>IF(OR(A1648="",NOT(ISNUMBER(I1648))),"",IF(G1648=Lists!$B$5,I1648/2,IF(G1648=Lists!$B$7,I1648,0)))</f>
        <v/>
      </c>
      <c r="O1648" s="53">
        <f>IF(COUNTA(A1648:K1648)=0,"",IF(OR(A1648="",B1648="",C1648="",D1648="",E1648="",F1648="",G1648="",NOT(ISNUMBER(I1648))),"Incomplete",IF(COUNTIF(Lists!$H$4:$AA$4,C1648)=0,"Check category",IF(COUNTIF(INDEX(Lists!$H$6:$AA$45,0,MATCH(C1648,Lists!$H$4:$AA$4,0)),D1648)=0,"Check sub-category","OK"))))</f>
        <v/>
      </c>
      <c r="P1648">
        <f>IF(ISNUMBER(I1648),I1648+ROW()/10000000,"")</f>
        <v/>
      </c>
      <c r="Q1648">
        <f>IF(AND(ISNUMBER(P1648),ISNUMBER(A1648)),IF(AND(A1648&gt;=Dashboard!$Q$3,A1648&lt;=Dashboard!$Q$4,OR(J1648&lt;&gt;"Yes",Dashboard!$Q$15="Yes")),P1648,""),"")</f>
        <v/>
      </c>
    </row>
    <row r="1649">
      <c r="A1649" s="47" t="n"/>
      <c r="B1649" s="48" t="n"/>
      <c r="C1649" s="48" t="n"/>
      <c r="D1649" s="48" t="n"/>
      <c r="E1649" s="48" t="n"/>
      <c r="F1649" s="48" t="n"/>
      <c r="G1649" s="48" t="n"/>
      <c r="H1649" s="48" t="n"/>
      <c r="I1649" s="49" t="n"/>
      <c r="J1649" s="50" t="n"/>
      <c r="K1649" s="48" t="n"/>
      <c r="L1649" s="51">
        <f>IF(A1649="","",DATE(YEAR(A1649),MONTH(A1649),1))</f>
        <v/>
      </c>
      <c r="M1649" s="52">
        <f>IF(OR(A1649="",NOT(ISNUMBER(I1649))),"",IF(G1649=Lists!$B$5,I1649/2,IF(G1649=Lists!$B$6,I1649,0)))</f>
        <v/>
      </c>
      <c r="N1649" s="52">
        <f>IF(OR(A1649="",NOT(ISNUMBER(I1649))),"",IF(G1649=Lists!$B$5,I1649/2,IF(G1649=Lists!$B$7,I1649,0)))</f>
        <v/>
      </c>
      <c r="O1649" s="53">
        <f>IF(COUNTA(A1649:K1649)=0,"",IF(OR(A1649="",B1649="",C1649="",D1649="",E1649="",F1649="",G1649="",NOT(ISNUMBER(I1649))),"Incomplete",IF(COUNTIF(Lists!$H$4:$AA$4,C1649)=0,"Check category",IF(COUNTIF(INDEX(Lists!$H$6:$AA$45,0,MATCH(C1649,Lists!$H$4:$AA$4,0)),D1649)=0,"Check sub-category","OK"))))</f>
        <v/>
      </c>
      <c r="P1649">
        <f>IF(ISNUMBER(I1649),I1649+ROW()/10000000,"")</f>
        <v/>
      </c>
      <c r="Q1649">
        <f>IF(AND(ISNUMBER(P1649),ISNUMBER(A1649)),IF(AND(A1649&gt;=Dashboard!$Q$3,A1649&lt;=Dashboard!$Q$4,OR(J1649&lt;&gt;"Yes",Dashboard!$Q$15="Yes")),P1649,""),"")</f>
        <v/>
      </c>
    </row>
    <row r="1650">
      <c r="A1650" s="47" t="n"/>
      <c r="B1650" s="48" t="n"/>
      <c r="C1650" s="48" t="n"/>
      <c r="D1650" s="48" t="n"/>
      <c r="E1650" s="48" t="n"/>
      <c r="F1650" s="48" t="n"/>
      <c r="G1650" s="48" t="n"/>
      <c r="H1650" s="48" t="n"/>
      <c r="I1650" s="49" t="n"/>
      <c r="J1650" s="50" t="n"/>
      <c r="K1650" s="48" t="n"/>
      <c r="L1650" s="51">
        <f>IF(A1650="","",DATE(YEAR(A1650),MONTH(A1650),1))</f>
        <v/>
      </c>
      <c r="M1650" s="52">
        <f>IF(OR(A1650="",NOT(ISNUMBER(I1650))),"",IF(G1650=Lists!$B$5,I1650/2,IF(G1650=Lists!$B$6,I1650,0)))</f>
        <v/>
      </c>
      <c r="N1650" s="52">
        <f>IF(OR(A1650="",NOT(ISNUMBER(I1650))),"",IF(G1650=Lists!$B$5,I1650/2,IF(G1650=Lists!$B$7,I1650,0)))</f>
        <v/>
      </c>
      <c r="O1650" s="53">
        <f>IF(COUNTA(A1650:K1650)=0,"",IF(OR(A1650="",B1650="",C1650="",D1650="",E1650="",F1650="",G1650="",NOT(ISNUMBER(I1650))),"Incomplete",IF(COUNTIF(Lists!$H$4:$AA$4,C1650)=0,"Check category",IF(COUNTIF(INDEX(Lists!$H$6:$AA$45,0,MATCH(C1650,Lists!$H$4:$AA$4,0)),D1650)=0,"Check sub-category","OK"))))</f>
        <v/>
      </c>
      <c r="P1650">
        <f>IF(ISNUMBER(I1650),I1650+ROW()/10000000,"")</f>
        <v/>
      </c>
      <c r="Q1650">
        <f>IF(AND(ISNUMBER(P1650),ISNUMBER(A1650)),IF(AND(A1650&gt;=Dashboard!$Q$3,A1650&lt;=Dashboard!$Q$4,OR(J1650&lt;&gt;"Yes",Dashboard!$Q$15="Yes")),P1650,""),"")</f>
        <v/>
      </c>
    </row>
    <row r="1651">
      <c r="A1651" s="47" t="n"/>
      <c r="B1651" s="48" t="n"/>
      <c r="C1651" s="48" t="n"/>
      <c r="D1651" s="48" t="n"/>
      <c r="E1651" s="48" t="n"/>
      <c r="F1651" s="48" t="n"/>
      <c r="G1651" s="48" t="n"/>
      <c r="H1651" s="48" t="n"/>
      <c r="I1651" s="49" t="n"/>
      <c r="J1651" s="50" t="n"/>
      <c r="K1651" s="48" t="n"/>
      <c r="L1651" s="51">
        <f>IF(A1651="","",DATE(YEAR(A1651),MONTH(A1651),1))</f>
        <v/>
      </c>
      <c r="M1651" s="52">
        <f>IF(OR(A1651="",NOT(ISNUMBER(I1651))),"",IF(G1651=Lists!$B$5,I1651/2,IF(G1651=Lists!$B$6,I1651,0)))</f>
        <v/>
      </c>
      <c r="N1651" s="52">
        <f>IF(OR(A1651="",NOT(ISNUMBER(I1651))),"",IF(G1651=Lists!$B$5,I1651/2,IF(G1651=Lists!$B$7,I1651,0)))</f>
        <v/>
      </c>
      <c r="O1651" s="53">
        <f>IF(COUNTA(A1651:K1651)=0,"",IF(OR(A1651="",B1651="",C1651="",D1651="",E1651="",F1651="",G1651="",NOT(ISNUMBER(I1651))),"Incomplete",IF(COUNTIF(Lists!$H$4:$AA$4,C1651)=0,"Check category",IF(COUNTIF(INDEX(Lists!$H$6:$AA$45,0,MATCH(C1651,Lists!$H$4:$AA$4,0)),D1651)=0,"Check sub-category","OK"))))</f>
        <v/>
      </c>
      <c r="P1651">
        <f>IF(ISNUMBER(I1651),I1651+ROW()/10000000,"")</f>
        <v/>
      </c>
      <c r="Q1651">
        <f>IF(AND(ISNUMBER(P1651),ISNUMBER(A1651)),IF(AND(A1651&gt;=Dashboard!$Q$3,A1651&lt;=Dashboard!$Q$4,OR(J1651&lt;&gt;"Yes",Dashboard!$Q$15="Yes")),P1651,""),"")</f>
        <v/>
      </c>
    </row>
    <row r="1652">
      <c r="A1652" s="47" t="n"/>
      <c r="B1652" s="48" t="n"/>
      <c r="C1652" s="48" t="n"/>
      <c r="D1652" s="48" t="n"/>
      <c r="E1652" s="48" t="n"/>
      <c r="F1652" s="48" t="n"/>
      <c r="G1652" s="48" t="n"/>
      <c r="H1652" s="48" t="n"/>
      <c r="I1652" s="49" t="n"/>
      <c r="J1652" s="50" t="n"/>
      <c r="K1652" s="48" t="n"/>
      <c r="L1652" s="51">
        <f>IF(A1652="","",DATE(YEAR(A1652),MONTH(A1652),1))</f>
        <v/>
      </c>
      <c r="M1652" s="52">
        <f>IF(OR(A1652="",NOT(ISNUMBER(I1652))),"",IF(G1652=Lists!$B$5,I1652/2,IF(G1652=Lists!$B$6,I1652,0)))</f>
        <v/>
      </c>
      <c r="N1652" s="52">
        <f>IF(OR(A1652="",NOT(ISNUMBER(I1652))),"",IF(G1652=Lists!$B$5,I1652/2,IF(G1652=Lists!$B$7,I1652,0)))</f>
        <v/>
      </c>
      <c r="O1652" s="53">
        <f>IF(COUNTA(A1652:K1652)=0,"",IF(OR(A1652="",B1652="",C1652="",D1652="",E1652="",F1652="",G1652="",NOT(ISNUMBER(I1652))),"Incomplete",IF(COUNTIF(Lists!$H$4:$AA$4,C1652)=0,"Check category",IF(COUNTIF(INDEX(Lists!$H$6:$AA$45,0,MATCH(C1652,Lists!$H$4:$AA$4,0)),D1652)=0,"Check sub-category","OK"))))</f>
        <v/>
      </c>
      <c r="P1652">
        <f>IF(ISNUMBER(I1652),I1652+ROW()/10000000,"")</f>
        <v/>
      </c>
      <c r="Q1652">
        <f>IF(AND(ISNUMBER(P1652),ISNUMBER(A1652)),IF(AND(A1652&gt;=Dashboard!$Q$3,A1652&lt;=Dashboard!$Q$4,OR(J1652&lt;&gt;"Yes",Dashboard!$Q$15="Yes")),P1652,""),"")</f>
        <v/>
      </c>
    </row>
    <row r="1653">
      <c r="A1653" s="47" t="n"/>
      <c r="B1653" s="48" t="n"/>
      <c r="C1653" s="48" t="n"/>
      <c r="D1653" s="48" t="n"/>
      <c r="E1653" s="48" t="n"/>
      <c r="F1653" s="48" t="n"/>
      <c r="G1653" s="48" t="n"/>
      <c r="H1653" s="48" t="n"/>
      <c r="I1653" s="49" t="n"/>
      <c r="J1653" s="50" t="n"/>
      <c r="K1653" s="48" t="n"/>
      <c r="L1653" s="51">
        <f>IF(A1653="","",DATE(YEAR(A1653),MONTH(A1653),1))</f>
        <v/>
      </c>
      <c r="M1653" s="52">
        <f>IF(OR(A1653="",NOT(ISNUMBER(I1653))),"",IF(G1653=Lists!$B$5,I1653/2,IF(G1653=Lists!$B$6,I1653,0)))</f>
        <v/>
      </c>
      <c r="N1653" s="52">
        <f>IF(OR(A1653="",NOT(ISNUMBER(I1653))),"",IF(G1653=Lists!$B$5,I1653/2,IF(G1653=Lists!$B$7,I1653,0)))</f>
        <v/>
      </c>
      <c r="O1653" s="53">
        <f>IF(COUNTA(A1653:K1653)=0,"",IF(OR(A1653="",B1653="",C1653="",D1653="",E1653="",F1653="",G1653="",NOT(ISNUMBER(I1653))),"Incomplete",IF(COUNTIF(Lists!$H$4:$AA$4,C1653)=0,"Check category",IF(COUNTIF(INDEX(Lists!$H$6:$AA$45,0,MATCH(C1653,Lists!$H$4:$AA$4,0)),D1653)=0,"Check sub-category","OK"))))</f>
        <v/>
      </c>
      <c r="P1653">
        <f>IF(ISNUMBER(I1653),I1653+ROW()/10000000,"")</f>
        <v/>
      </c>
      <c r="Q1653">
        <f>IF(AND(ISNUMBER(P1653),ISNUMBER(A1653)),IF(AND(A1653&gt;=Dashboard!$Q$3,A1653&lt;=Dashboard!$Q$4,OR(J1653&lt;&gt;"Yes",Dashboard!$Q$15="Yes")),P1653,""),"")</f>
        <v/>
      </c>
    </row>
    <row r="1654">
      <c r="A1654" s="47" t="n"/>
      <c r="B1654" s="48" t="n"/>
      <c r="C1654" s="48" t="n"/>
      <c r="D1654" s="48" t="n"/>
      <c r="E1654" s="48" t="n"/>
      <c r="F1654" s="48" t="n"/>
      <c r="G1654" s="48" t="n"/>
      <c r="H1654" s="48" t="n"/>
      <c r="I1654" s="49" t="n"/>
      <c r="J1654" s="50" t="n"/>
      <c r="K1654" s="48" t="n"/>
      <c r="L1654" s="51">
        <f>IF(A1654="","",DATE(YEAR(A1654),MONTH(A1654),1))</f>
        <v/>
      </c>
      <c r="M1654" s="52">
        <f>IF(OR(A1654="",NOT(ISNUMBER(I1654))),"",IF(G1654=Lists!$B$5,I1654/2,IF(G1654=Lists!$B$6,I1654,0)))</f>
        <v/>
      </c>
      <c r="N1654" s="52">
        <f>IF(OR(A1654="",NOT(ISNUMBER(I1654))),"",IF(G1654=Lists!$B$5,I1654/2,IF(G1654=Lists!$B$7,I1654,0)))</f>
        <v/>
      </c>
      <c r="O1654" s="53">
        <f>IF(COUNTA(A1654:K1654)=0,"",IF(OR(A1654="",B1654="",C1654="",D1654="",E1654="",F1654="",G1654="",NOT(ISNUMBER(I1654))),"Incomplete",IF(COUNTIF(Lists!$H$4:$AA$4,C1654)=0,"Check category",IF(COUNTIF(INDEX(Lists!$H$6:$AA$45,0,MATCH(C1654,Lists!$H$4:$AA$4,0)),D1654)=0,"Check sub-category","OK"))))</f>
        <v/>
      </c>
      <c r="P1654">
        <f>IF(ISNUMBER(I1654),I1654+ROW()/10000000,"")</f>
        <v/>
      </c>
      <c r="Q1654">
        <f>IF(AND(ISNUMBER(P1654),ISNUMBER(A1654)),IF(AND(A1654&gt;=Dashboard!$Q$3,A1654&lt;=Dashboard!$Q$4,OR(J1654&lt;&gt;"Yes",Dashboard!$Q$15="Yes")),P1654,""),"")</f>
        <v/>
      </c>
    </row>
    <row r="1655">
      <c r="A1655" s="47" t="n"/>
      <c r="B1655" s="48" t="n"/>
      <c r="C1655" s="48" t="n"/>
      <c r="D1655" s="48" t="n"/>
      <c r="E1655" s="48" t="n"/>
      <c r="F1655" s="48" t="n"/>
      <c r="G1655" s="48" t="n"/>
      <c r="H1655" s="48" t="n"/>
      <c r="I1655" s="49" t="n"/>
      <c r="J1655" s="50" t="n"/>
      <c r="K1655" s="48" t="n"/>
      <c r="L1655" s="51">
        <f>IF(A1655="","",DATE(YEAR(A1655),MONTH(A1655),1))</f>
        <v/>
      </c>
      <c r="M1655" s="52">
        <f>IF(OR(A1655="",NOT(ISNUMBER(I1655))),"",IF(G1655=Lists!$B$5,I1655/2,IF(G1655=Lists!$B$6,I1655,0)))</f>
        <v/>
      </c>
      <c r="N1655" s="52">
        <f>IF(OR(A1655="",NOT(ISNUMBER(I1655))),"",IF(G1655=Lists!$B$5,I1655/2,IF(G1655=Lists!$B$7,I1655,0)))</f>
        <v/>
      </c>
      <c r="O1655" s="53">
        <f>IF(COUNTA(A1655:K1655)=0,"",IF(OR(A1655="",B1655="",C1655="",D1655="",E1655="",F1655="",G1655="",NOT(ISNUMBER(I1655))),"Incomplete",IF(COUNTIF(Lists!$H$4:$AA$4,C1655)=0,"Check category",IF(COUNTIF(INDEX(Lists!$H$6:$AA$45,0,MATCH(C1655,Lists!$H$4:$AA$4,0)),D1655)=0,"Check sub-category","OK"))))</f>
        <v/>
      </c>
      <c r="P1655">
        <f>IF(ISNUMBER(I1655),I1655+ROW()/10000000,"")</f>
        <v/>
      </c>
      <c r="Q1655">
        <f>IF(AND(ISNUMBER(P1655),ISNUMBER(A1655)),IF(AND(A1655&gt;=Dashboard!$Q$3,A1655&lt;=Dashboard!$Q$4,OR(J1655&lt;&gt;"Yes",Dashboard!$Q$15="Yes")),P1655,""),"")</f>
        <v/>
      </c>
    </row>
    <row r="1656">
      <c r="A1656" s="47" t="n"/>
      <c r="B1656" s="48" t="n"/>
      <c r="C1656" s="48" t="n"/>
      <c r="D1656" s="48" t="n"/>
      <c r="E1656" s="48" t="n"/>
      <c r="F1656" s="48" t="n"/>
      <c r="G1656" s="48" t="n"/>
      <c r="H1656" s="48" t="n"/>
      <c r="I1656" s="49" t="n"/>
      <c r="J1656" s="50" t="n"/>
      <c r="K1656" s="48" t="n"/>
      <c r="L1656" s="51">
        <f>IF(A1656="","",DATE(YEAR(A1656),MONTH(A1656),1))</f>
        <v/>
      </c>
      <c r="M1656" s="52">
        <f>IF(OR(A1656="",NOT(ISNUMBER(I1656))),"",IF(G1656=Lists!$B$5,I1656/2,IF(G1656=Lists!$B$6,I1656,0)))</f>
        <v/>
      </c>
      <c r="N1656" s="52">
        <f>IF(OR(A1656="",NOT(ISNUMBER(I1656))),"",IF(G1656=Lists!$B$5,I1656/2,IF(G1656=Lists!$B$7,I1656,0)))</f>
        <v/>
      </c>
      <c r="O1656" s="53">
        <f>IF(COUNTA(A1656:K1656)=0,"",IF(OR(A1656="",B1656="",C1656="",D1656="",E1656="",F1656="",G1656="",NOT(ISNUMBER(I1656))),"Incomplete",IF(COUNTIF(Lists!$H$4:$AA$4,C1656)=0,"Check category",IF(COUNTIF(INDEX(Lists!$H$6:$AA$45,0,MATCH(C1656,Lists!$H$4:$AA$4,0)),D1656)=0,"Check sub-category","OK"))))</f>
        <v/>
      </c>
      <c r="P1656">
        <f>IF(ISNUMBER(I1656),I1656+ROW()/10000000,"")</f>
        <v/>
      </c>
      <c r="Q1656">
        <f>IF(AND(ISNUMBER(P1656),ISNUMBER(A1656)),IF(AND(A1656&gt;=Dashboard!$Q$3,A1656&lt;=Dashboard!$Q$4,OR(J1656&lt;&gt;"Yes",Dashboard!$Q$15="Yes")),P1656,""),"")</f>
        <v/>
      </c>
    </row>
    <row r="1657">
      <c r="A1657" s="47" t="n"/>
      <c r="B1657" s="48" t="n"/>
      <c r="C1657" s="48" t="n"/>
      <c r="D1657" s="48" t="n"/>
      <c r="E1657" s="48" t="n"/>
      <c r="F1657" s="48" t="n"/>
      <c r="G1657" s="48" t="n"/>
      <c r="H1657" s="48" t="n"/>
      <c r="I1657" s="49" t="n"/>
      <c r="J1657" s="50" t="n"/>
      <c r="K1657" s="48" t="n"/>
      <c r="L1657" s="51">
        <f>IF(A1657="","",DATE(YEAR(A1657),MONTH(A1657),1))</f>
        <v/>
      </c>
      <c r="M1657" s="52">
        <f>IF(OR(A1657="",NOT(ISNUMBER(I1657))),"",IF(G1657=Lists!$B$5,I1657/2,IF(G1657=Lists!$B$6,I1657,0)))</f>
        <v/>
      </c>
      <c r="N1657" s="52">
        <f>IF(OR(A1657="",NOT(ISNUMBER(I1657))),"",IF(G1657=Lists!$B$5,I1657/2,IF(G1657=Lists!$B$7,I1657,0)))</f>
        <v/>
      </c>
      <c r="O1657" s="53">
        <f>IF(COUNTA(A1657:K1657)=0,"",IF(OR(A1657="",B1657="",C1657="",D1657="",E1657="",F1657="",G1657="",NOT(ISNUMBER(I1657))),"Incomplete",IF(COUNTIF(Lists!$H$4:$AA$4,C1657)=0,"Check category",IF(COUNTIF(INDEX(Lists!$H$6:$AA$45,0,MATCH(C1657,Lists!$H$4:$AA$4,0)),D1657)=0,"Check sub-category","OK"))))</f>
        <v/>
      </c>
      <c r="P1657">
        <f>IF(ISNUMBER(I1657),I1657+ROW()/10000000,"")</f>
        <v/>
      </c>
      <c r="Q1657">
        <f>IF(AND(ISNUMBER(P1657),ISNUMBER(A1657)),IF(AND(A1657&gt;=Dashboard!$Q$3,A1657&lt;=Dashboard!$Q$4,OR(J1657&lt;&gt;"Yes",Dashboard!$Q$15="Yes")),P1657,""),"")</f>
        <v/>
      </c>
    </row>
    <row r="1658">
      <c r="A1658" s="47" t="n"/>
      <c r="B1658" s="48" t="n"/>
      <c r="C1658" s="48" t="n"/>
      <c r="D1658" s="48" t="n"/>
      <c r="E1658" s="48" t="n"/>
      <c r="F1658" s="48" t="n"/>
      <c r="G1658" s="48" t="n"/>
      <c r="H1658" s="48" t="n"/>
      <c r="I1658" s="49" t="n"/>
      <c r="J1658" s="50" t="n"/>
      <c r="K1658" s="48" t="n"/>
      <c r="L1658" s="51">
        <f>IF(A1658="","",DATE(YEAR(A1658),MONTH(A1658),1))</f>
        <v/>
      </c>
      <c r="M1658" s="52">
        <f>IF(OR(A1658="",NOT(ISNUMBER(I1658))),"",IF(G1658=Lists!$B$5,I1658/2,IF(G1658=Lists!$B$6,I1658,0)))</f>
        <v/>
      </c>
      <c r="N1658" s="52">
        <f>IF(OR(A1658="",NOT(ISNUMBER(I1658))),"",IF(G1658=Lists!$B$5,I1658/2,IF(G1658=Lists!$B$7,I1658,0)))</f>
        <v/>
      </c>
      <c r="O1658" s="53">
        <f>IF(COUNTA(A1658:K1658)=0,"",IF(OR(A1658="",B1658="",C1658="",D1658="",E1658="",F1658="",G1658="",NOT(ISNUMBER(I1658))),"Incomplete",IF(COUNTIF(Lists!$H$4:$AA$4,C1658)=0,"Check category",IF(COUNTIF(INDEX(Lists!$H$6:$AA$45,0,MATCH(C1658,Lists!$H$4:$AA$4,0)),D1658)=0,"Check sub-category","OK"))))</f>
        <v/>
      </c>
      <c r="P1658">
        <f>IF(ISNUMBER(I1658),I1658+ROW()/10000000,"")</f>
        <v/>
      </c>
      <c r="Q1658">
        <f>IF(AND(ISNUMBER(P1658),ISNUMBER(A1658)),IF(AND(A1658&gt;=Dashboard!$Q$3,A1658&lt;=Dashboard!$Q$4,OR(J1658&lt;&gt;"Yes",Dashboard!$Q$15="Yes")),P1658,""),"")</f>
        <v/>
      </c>
    </row>
    <row r="1659">
      <c r="A1659" s="47" t="n"/>
      <c r="B1659" s="48" t="n"/>
      <c r="C1659" s="48" t="n"/>
      <c r="D1659" s="48" t="n"/>
      <c r="E1659" s="48" t="n"/>
      <c r="F1659" s="48" t="n"/>
      <c r="G1659" s="48" t="n"/>
      <c r="H1659" s="48" t="n"/>
      <c r="I1659" s="49" t="n"/>
      <c r="J1659" s="50" t="n"/>
      <c r="K1659" s="48" t="n"/>
      <c r="L1659" s="51">
        <f>IF(A1659="","",DATE(YEAR(A1659),MONTH(A1659),1))</f>
        <v/>
      </c>
      <c r="M1659" s="52">
        <f>IF(OR(A1659="",NOT(ISNUMBER(I1659))),"",IF(G1659=Lists!$B$5,I1659/2,IF(G1659=Lists!$B$6,I1659,0)))</f>
        <v/>
      </c>
      <c r="N1659" s="52">
        <f>IF(OR(A1659="",NOT(ISNUMBER(I1659))),"",IF(G1659=Lists!$B$5,I1659/2,IF(G1659=Lists!$B$7,I1659,0)))</f>
        <v/>
      </c>
      <c r="O1659" s="53">
        <f>IF(COUNTA(A1659:K1659)=0,"",IF(OR(A1659="",B1659="",C1659="",D1659="",E1659="",F1659="",G1659="",NOT(ISNUMBER(I1659))),"Incomplete",IF(COUNTIF(Lists!$H$4:$AA$4,C1659)=0,"Check category",IF(COUNTIF(INDEX(Lists!$H$6:$AA$45,0,MATCH(C1659,Lists!$H$4:$AA$4,0)),D1659)=0,"Check sub-category","OK"))))</f>
        <v/>
      </c>
      <c r="P1659">
        <f>IF(ISNUMBER(I1659),I1659+ROW()/10000000,"")</f>
        <v/>
      </c>
      <c r="Q1659">
        <f>IF(AND(ISNUMBER(P1659),ISNUMBER(A1659)),IF(AND(A1659&gt;=Dashboard!$Q$3,A1659&lt;=Dashboard!$Q$4,OR(J1659&lt;&gt;"Yes",Dashboard!$Q$15="Yes")),P1659,""),"")</f>
        <v/>
      </c>
    </row>
    <row r="1660">
      <c r="A1660" s="47" t="n"/>
      <c r="B1660" s="48" t="n"/>
      <c r="C1660" s="48" t="n"/>
      <c r="D1660" s="48" t="n"/>
      <c r="E1660" s="48" t="n"/>
      <c r="F1660" s="48" t="n"/>
      <c r="G1660" s="48" t="n"/>
      <c r="H1660" s="48" t="n"/>
      <c r="I1660" s="49" t="n"/>
      <c r="J1660" s="50" t="n"/>
      <c r="K1660" s="48" t="n"/>
      <c r="L1660" s="51">
        <f>IF(A1660="","",DATE(YEAR(A1660),MONTH(A1660),1))</f>
        <v/>
      </c>
      <c r="M1660" s="52">
        <f>IF(OR(A1660="",NOT(ISNUMBER(I1660))),"",IF(G1660=Lists!$B$5,I1660/2,IF(G1660=Lists!$B$6,I1660,0)))</f>
        <v/>
      </c>
      <c r="N1660" s="52">
        <f>IF(OR(A1660="",NOT(ISNUMBER(I1660))),"",IF(G1660=Lists!$B$5,I1660/2,IF(G1660=Lists!$B$7,I1660,0)))</f>
        <v/>
      </c>
      <c r="O1660" s="53">
        <f>IF(COUNTA(A1660:K1660)=0,"",IF(OR(A1660="",B1660="",C1660="",D1660="",E1660="",F1660="",G1660="",NOT(ISNUMBER(I1660))),"Incomplete",IF(COUNTIF(Lists!$H$4:$AA$4,C1660)=0,"Check category",IF(COUNTIF(INDEX(Lists!$H$6:$AA$45,0,MATCH(C1660,Lists!$H$4:$AA$4,0)),D1660)=0,"Check sub-category","OK"))))</f>
        <v/>
      </c>
      <c r="P1660">
        <f>IF(ISNUMBER(I1660),I1660+ROW()/10000000,"")</f>
        <v/>
      </c>
      <c r="Q1660">
        <f>IF(AND(ISNUMBER(P1660),ISNUMBER(A1660)),IF(AND(A1660&gt;=Dashboard!$Q$3,A1660&lt;=Dashboard!$Q$4,OR(J1660&lt;&gt;"Yes",Dashboard!$Q$15="Yes")),P1660,""),"")</f>
        <v/>
      </c>
    </row>
    <row r="1661">
      <c r="A1661" s="47" t="n"/>
      <c r="B1661" s="48" t="n"/>
      <c r="C1661" s="48" t="n"/>
      <c r="D1661" s="48" t="n"/>
      <c r="E1661" s="48" t="n"/>
      <c r="F1661" s="48" t="n"/>
      <c r="G1661" s="48" t="n"/>
      <c r="H1661" s="48" t="n"/>
      <c r="I1661" s="49" t="n"/>
      <c r="J1661" s="50" t="n"/>
      <c r="K1661" s="48" t="n"/>
      <c r="L1661" s="51">
        <f>IF(A1661="","",DATE(YEAR(A1661),MONTH(A1661),1))</f>
        <v/>
      </c>
      <c r="M1661" s="52">
        <f>IF(OR(A1661="",NOT(ISNUMBER(I1661))),"",IF(G1661=Lists!$B$5,I1661/2,IF(G1661=Lists!$B$6,I1661,0)))</f>
        <v/>
      </c>
      <c r="N1661" s="52">
        <f>IF(OR(A1661="",NOT(ISNUMBER(I1661))),"",IF(G1661=Lists!$B$5,I1661/2,IF(G1661=Lists!$B$7,I1661,0)))</f>
        <v/>
      </c>
      <c r="O1661" s="53">
        <f>IF(COUNTA(A1661:K1661)=0,"",IF(OR(A1661="",B1661="",C1661="",D1661="",E1661="",F1661="",G1661="",NOT(ISNUMBER(I1661))),"Incomplete",IF(COUNTIF(Lists!$H$4:$AA$4,C1661)=0,"Check category",IF(COUNTIF(INDEX(Lists!$H$6:$AA$45,0,MATCH(C1661,Lists!$H$4:$AA$4,0)),D1661)=0,"Check sub-category","OK"))))</f>
        <v/>
      </c>
      <c r="P1661">
        <f>IF(ISNUMBER(I1661),I1661+ROW()/10000000,"")</f>
        <v/>
      </c>
      <c r="Q1661">
        <f>IF(AND(ISNUMBER(P1661),ISNUMBER(A1661)),IF(AND(A1661&gt;=Dashboard!$Q$3,A1661&lt;=Dashboard!$Q$4,OR(J1661&lt;&gt;"Yes",Dashboard!$Q$15="Yes")),P1661,""),"")</f>
        <v/>
      </c>
    </row>
    <row r="1662">
      <c r="A1662" s="47" t="n"/>
      <c r="B1662" s="48" t="n"/>
      <c r="C1662" s="48" t="n"/>
      <c r="D1662" s="48" t="n"/>
      <c r="E1662" s="48" t="n"/>
      <c r="F1662" s="48" t="n"/>
      <c r="G1662" s="48" t="n"/>
      <c r="H1662" s="48" t="n"/>
      <c r="I1662" s="49" t="n"/>
      <c r="J1662" s="50" t="n"/>
      <c r="K1662" s="48" t="n"/>
      <c r="L1662" s="51">
        <f>IF(A1662="","",DATE(YEAR(A1662),MONTH(A1662),1))</f>
        <v/>
      </c>
      <c r="M1662" s="52">
        <f>IF(OR(A1662="",NOT(ISNUMBER(I1662))),"",IF(G1662=Lists!$B$5,I1662/2,IF(G1662=Lists!$B$6,I1662,0)))</f>
        <v/>
      </c>
      <c r="N1662" s="52">
        <f>IF(OR(A1662="",NOT(ISNUMBER(I1662))),"",IF(G1662=Lists!$B$5,I1662/2,IF(G1662=Lists!$B$7,I1662,0)))</f>
        <v/>
      </c>
      <c r="O1662" s="53">
        <f>IF(COUNTA(A1662:K1662)=0,"",IF(OR(A1662="",B1662="",C1662="",D1662="",E1662="",F1662="",G1662="",NOT(ISNUMBER(I1662))),"Incomplete",IF(COUNTIF(Lists!$H$4:$AA$4,C1662)=0,"Check category",IF(COUNTIF(INDEX(Lists!$H$6:$AA$45,0,MATCH(C1662,Lists!$H$4:$AA$4,0)),D1662)=0,"Check sub-category","OK"))))</f>
        <v/>
      </c>
      <c r="P1662">
        <f>IF(ISNUMBER(I1662),I1662+ROW()/10000000,"")</f>
        <v/>
      </c>
      <c r="Q1662">
        <f>IF(AND(ISNUMBER(P1662),ISNUMBER(A1662)),IF(AND(A1662&gt;=Dashboard!$Q$3,A1662&lt;=Dashboard!$Q$4,OR(J1662&lt;&gt;"Yes",Dashboard!$Q$15="Yes")),P1662,""),"")</f>
        <v/>
      </c>
    </row>
    <row r="1663">
      <c r="A1663" s="47" t="n"/>
      <c r="B1663" s="48" t="n"/>
      <c r="C1663" s="48" t="n"/>
      <c r="D1663" s="48" t="n"/>
      <c r="E1663" s="48" t="n"/>
      <c r="F1663" s="48" t="n"/>
      <c r="G1663" s="48" t="n"/>
      <c r="H1663" s="48" t="n"/>
      <c r="I1663" s="49" t="n"/>
      <c r="J1663" s="50" t="n"/>
      <c r="K1663" s="48" t="n"/>
      <c r="L1663" s="51">
        <f>IF(A1663="","",DATE(YEAR(A1663),MONTH(A1663),1))</f>
        <v/>
      </c>
      <c r="M1663" s="52">
        <f>IF(OR(A1663="",NOT(ISNUMBER(I1663))),"",IF(G1663=Lists!$B$5,I1663/2,IF(G1663=Lists!$B$6,I1663,0)))</f>
        <v/>
      </c>
      <c r="N1663" s="52">
        <f>IF(OR(A1663="",NOT(ISNUMBER(I1663))),"",IF(G1663=Lists!$B$5,I1663/2,IF(G1663=Lists!$B$7,I1663,0)))</f>
        <v/>
      </c>
      <c r="O1663" s="53">
        <f>IF(COUNTA(A1663:K1663)=0,"",IF(OR(A1663="",B1663="",C1663="",D1663="",E1663="",F1663="",G1663="",NOT(ISNUMBER(I1663))),"Incomplete",IF(COUNTIF(Lists!$H$4:$AA$4,C1663)=0,"Check category",IF(COUNTIF(INDEX(Lists!$H$6:$AA$45,0,MATCH(C1663,Lists!$H$4:$AA$4,0)),D1663)=0,"Check sub-category","OK"))))</f>
        <v/>
      </c>
      <c r="P1663">
        <f>IF(ISNUMBER(I1663),I1663+ROW()/10000000,"")</f>
        <v/>
      </c>
      <c r="Q1663">
        <f>IF(AND(ISNUMBER(P1663),ISNUMBER(A1663)),IF(AND(A1663&gt;=Dashboard!$Q$3,A1663&lt;=Dashboard!$Q$4,OR(J1663&lt;&gt;"Yes",Dashboard!$Q$15="Yes")),P1663,""),"")</f>
        <v/>
      </c>
    </row>
    <row r="1664">
      <c r="A1664" s="47" t="n"/>
      <c r="B1664" s="48" t="n"/>
      <c r="C1664" s="48" t="n"/>
      <c r="D1664" s="48" t="n"/>
      <c r="E1664" s="48" t="n"/>
      <c r="F1664" s="48" t="n"/>
      <c r="G1664" s="48" t="n"/>
      <c r="H1664" s="48" t="n"/>
      <c r="I1664" s="49" t="n"/>
      <c r="J1664" s="50" t="n"/>
      <c r="K1664" s="48" t="n"/>
      <c r="L1664" s="51">
        <f>IF(A1664="","",DATE(YEAR(A1664),MONTH(A1664),1))</f>
        <v/>
      </c>
      <c r="M1664" s="52">
        <f>IF(OR(A1664="",NOT(ISNUMBER(I1664))),"",IF(G1664=Lists!$B$5,I1664/2,IF(G1664=Lists!$B$6,I1664,0)))</f>
        <v/>
      </c>
      <c r="N1664" s="52">
        <f>IF(OR(A1664="",NOT(ISNUMBER(I1664))),"",IF(G1664=Lists!$B$5,I1664/2,IF(G1664=Lists!$B$7,I1664,0)))</f>
        <v/>
      </c>
      <c r="O1664" s="53">
        <f>IF(COUNTA(A1664:K1664)=0,"",IF(OR(A1664="",B1664="",C1664="",D1664="",E1664="",F1664="",G1664="",NOT(ISNUMBER(I1664))),"Incomplete",IF(COUNTIF(Lists!$H$4:$AA$4,C1664)=0,"Check category",IF(COUNTIF(INDEX(Lists!$H$6:$AA$45,0,MATCH(C1664,Lists!$H$4:$AA$4,0)),D1664)=0,"Check sub-category","OK"))))</f>
        <v/>
      </c>
      <c r="P1664">
        <f>IF(ISNUMBER(I1664),I1664+ROW()/10000000,"")</f>
        <v/>
      </c>
      <c r="Q1664">
        <f>IF(AND(ISNUMBER(P1664),ISNUMBER(A1664)),IF(AND(A1664&gt;=Dashboard!$Q$3,A1664&lt;=Dashboard!$Q$4,OR(J1664&lt;&gt;"Yes",Dashboard!$Q$15="Yes")),P1664,""),"")</f>
        <v/>
      </c>
    </row>
    <row r="1665">
      <c r="A1665" s="47" t="n"/>
      <c r="B1665" s="48" t="n"/>
      <c r="C1665" s="48" t="n"/>
      <c r="D1665" s="48" t="n"/>
      <c r="E1665" s="48" t="n"/>
      <c r="F1665" s="48" t="n"/>
      <c r="G1665" s="48" t="n"/>
      <c r="H1665" s="48" t="n"/>
      <c r="I1665" s="49" t="n"/>
      <c r="J1665" s="50" t="n"/>
      <c r="K1665" s="48" t="n"/>
      <c r="L1665" s="51">
        <f>IF(A1665="","",DATE(YEAR(A1665),MONTH(A1665),1))</f>
        <v/>
      </c>
      <c r="M1665" s="52">
        <f>IF(OR(A1665="",NOT(ISNUMBER(I1665))),"",IF(G1665=Lists!$B$5,I1665/2,IF(G1665=Lists!$B$6,I1665,0)))</f>
        <v/>
      </c>
      <c r="N1665" s="52">
        <f>IF(OR(A1665="",NOT(ISNUMBER(I1665))),"",IF(G1665=Lists!$B$5,I1665/2,IF(G1665=Lists!$B$7,I1665,0)))</f>
        <v/>
      </c>
      <c r="O1665" s="53">
        <f>IF(COUNTA(A1665:K1665)=0,"",IF(OR(A1665="",B1665="",C1665="",D1665="",E1665="",F1665="",G1665="",NOT(ISNUMBER(I1665))),"Incomplete",IF(COUNTIF(Lists!$H$4:$AA$4,C1665)=0,"Check category",IF(COUNTIF(INDEX(Lists!$H$6:$AA$45,0,MATCH(C1665,Lists!$H$4:$AA$4,0)),D1665)=0,"Check sub-category","OK"))))</f>
        <v/>
      </c>
      <c r="P1665">
        <f>IF(ISNUMBER(I1665),I1665+ROW()/10000000,"")</f>
        <v/>
      </c>
      <c r="Q1665">
        <f>IF(AND(ISNUMBER(P1665),ISNUMBER(A1665)),IF(AND(A1665&gt;=Dashboard!$Q$3,A1665&lt;=Dashboard!$Q$4,OR(J1665&lt;&gt;"Yes",Dashboard!$Q$15="Yes")),P1665,""),"")</f>
        <v/>
      </c>
    </row>
    <row r="1666">
      <c r="A1666" s="47" t="n"/>
      <c r="B1666" s="48" t="n"/>
      <c r="C1666" s="48" t="n"/>
      <c r="D1666" s="48" t="n"/>
      <c r="E1666" s="48" t="n"/>
      <c r="F1666" s="48" t="n"/>
      <c r="G1666" s="48" t="n"/>
      <c r="H1666" s="48" t="n"/>
      <c r="I1666" s="49" t="n"/>
      <c r="J1666" s="50" t="n"/>
      <c r="K1666" s="48" t="n"/>
      <c r="L1666" s="51">
        <f>IF(A1666="","",DATE(YEAR(A1666),MONTH(A1666),1))</f>
        <v/>
      </c>
      <c r="M1666" s="52">
        <f>IF(OR(A1666="",NOT(ISNUMBER(I1666))),"",IF(G1666=Lists!$B$5,I1666/2,IF(G1666=Lists!$B$6,I1666,0)))</f>
        <v/>
      </c>
      <c r="N1666" s="52">
        <f>IF(OR(A1666="",NOT(ISNUMBER(I1666))),"",IF(G1666=Lists!$B$5,I1666/2,IF(G1666=Lists!$B$7,I1666,0)))</f>
        <v/>
      </c>
      <c r="O1666" s="53">
        <f>IF(COUNTA(A1666:K1666)=0,"",IF(OR(A1666="",B1666="",C1666="",D1666="",E1666="",F1666="",G1666="",NOT(ISNUMBER(I1666))),"Incomplete",IF(COUNTIF(Lists!$H$4:$AA$4,C1666)=0,"Check category",IF(COUNTIF(INDEX(Lists!$H$6:$AA$45,0,MATCH(C1666,Lists!$H$4:$AA$4,0)),D1666)=0,"Check sub-category","OK"))))</f>
        <v/>
      </c>
      <c r="P1666">
        <f>IF(ISNUMBER(I1666),I1666+ROW()/10000000,"")</f>
        <v/>
      </c>
      <c r="Q1666">
        <f>IF(AND(ISNUMBER(P1666),ISNUMBER(A1666)),IF(AND(A1666&gt;=Dashboard!$Q$3,A1666&lt;=Dashboard!$Q$4,OR(J1666&lt;&gt;"Yes",Dashboard!$Q$15="Yes")),P1666,""),"")</f>
        <v/>
      </c>
    </row>
    <row r="1667">
      <c r="A1667" s="47" t="n"/>
      <c r="B1667" s="48" t="n"/>
      <c r="C1667" s="48" t="n"/>
      <c r="D1667" s="48" t="n"/>
      <c r="E1667" s="48" t="n"/>
      <c r="F1667" s="48" t="n"/>
      <c r="G1667" s="48" t="n"/>
      <c r="H1667" s="48" t="n"/>
      <c r="I1667" s="49" t="n"/>
      <c r="J1667" s="50" t="n"/>
      <c r="K1667" s="48" t="n"/>
      <c r="L1667" s="51">
        <f>IF(A1667="","",DATE(YEAR(A1667),MONTH(A1667),1))</f>
        <v/>
      </c>
      <c r="M1667" s="52">
        <f>IF(OR(A1667="",NOT(ISNUMBER(I1667))),"",IF(G1667=Lists!$B$5,I1667/2,IF(G1667=Lists!$B$6,I1667,0)))</f>
        <v/>
      </c>
      <c r="N1667" s="52">
        <f>IF(OR(A1667="",NOT(ISNUMBER(I1667))),"",IF(G1667=Lists!$B$5,I1667/2,IF(G1667=Lists!$B$7,I1667,0)))</f>
        <v/>
      </c>
      <c r="O1667" s="53">
        <f>IF(COUNTA(A1667:K1667)=0,"",IF(OR(A1667="",B1667="",C1667="",D1667="",E1667="",F1667="",G1667="",NOT(ISNUMBER(I1667))),"Incomplete",IF(COUNTIF(Lists!$H$4:$AA$4,C1667)=0,"Check category",IF(COUNTIF(INDEX(Lists!$H$6:$AA$45,0,MATCH(C1667,Lists!$H$4:$AA$4,0)),D1667)=0,"Check sub-category","OK"))))</f>
        <v/>
      </c>
      <c r="P1667">
        <f>IF(ISNUMBER(I1667),I1667+ROW()/10000000,"")</f>
        <v/>
      </c>
      <c r="Q1667">
        <f>IF(AND(ISNUMBER(P1667),ISNUMBER(A1667)),IF(AND(A1667&gt;=Dashboard!$Q$3,A1667&lt;=Dashboard!$Q$4,OR(J1667&lt;&gt;"Yes",Dashboard!$Q$15="Yes")),P1667,""),"")</f>
        <v/>
      </c>
    </row>
    <row r="1668">
      <c r="A1668" s="47" t="n"/>
      <c r="B1668" s="48" t="n"/>
      <c r="C1668" s="48" t="n"/>
      <c r="D1668" s="48" t="n"/>
      <c r="E1668" s="48" t="n"/>
      <c r="F1668" s="48" t="n"/>
      <c r="G1668" s="48" t="n"/>
      <c r="H1668" s="48" t="n"/>
      <c r="I1668" s="49" t="n"/>
      <c r="J1668" s="50" t="n"/>
      <c r="K1668" s="48" t="n"/>
      <c r="L1668" s="51">
        <f>IF(A1668="","",DATE(YEAR(A1668),MONTH(A1668),1))</f>
        <v/>
      </c>
      <c r="M1668" s="52">
        <f>IF(OR(A1668="",NOT(ISNUMBER(I1668))),"",IF(G1668=Lists!$B$5,I1668/2,IF(G1668=Lists!$B$6,I1668,0)))</f>
        <v/>
      </c>
      <c r="N1668" s="52">
        <f>IF(OR(A1668="",NOT(ISNUMBER(I1668))),"",IF(G1668=Lists!$B$5,I1668/2,IF(G1668=Lists!$B$7,I1668,0)))</f>
        <v/>
      </c>
      <c r="O1668" s="53">
        <f>IF(COUNTA(A1668:K1668)=0,"",IF(OR(A1668="",B1668="",C1668="",D1668="",E1668="",F1668="",G1668="",NOT(ISNUMBER(I1668))),"Incomplete",IF(COUNTIF(Lists!$H$4:$AA$4,C1668)=0,"Check category",IF(COUNTIF(INDEX(Lists!$H$6:$AA$45,0,MATCH(C1668,Lists!$H$4:$AA$4,0)),D1668)=0,"Check sub-category","OK"))))</f>
        <v/>
      </c>
      <c r="P1668">
        <f>IF(ISNUMBER(I1668),I1668+ROW()/10000000,"")</f>
        <v/>
      </c>
      <c r="Q1668">
        <f>IF(AND(ISNUMBER(P1668),ISNUMBER(A1668)),IF(AND(A1668&gt;=Dashboard!$Q$3,A1668&lt;=Dashboard!$Q$4,OR(J1668&lt;&gt;"Yes",Dashboard!$Q$15="Yes")),P1668,""),"")</f>
        <v/>
      </c>
    </row>
    <row r="1669">
      <c r="A1669" s="47" t="n"/>
      <c r="B1669" s="48" t="n"/>
      <c r="C1669" s="48" t="n"/>
      <c r="D1669" s="48" t="n"/>
      <c r="E1669" s="48" t="n"/>
      <c r="F1669" s="48" t="n"/>
      <c r="G1669" s="48" t="n"/>
      <c r="H1669" s="48" t="n"/>
      <c r="I1669" s="49" t="n"/>
      <c r="J1669" s="50" t="n"/>
      <c r="K1669" s="48" t="n"/>
      <c r="L1669" s="51">
        <f>IF(A1669="","",DATE(YEAR(A1669),MONTH(A1669),1))</f>
        <v/>
      </c>
      <c r="M1669" s="52">
        <f>IF(OR(A1669="",NOT(ISNUMBER(I1669))),"",IF(G1669=Lists!$B$5,I1669/2,IF(G1669=Lists!$B$6,I1669,0)))</f>
        <v/>
      </c>
      <c r="N1669" s="52">
        <f>IF(OR(A1669="",NOT(ISNUMBER(I1669))),"",IF(G1669=Lists!$B$5,I1669/2,IF(G1669=Lists!$B$7,I1669,0)))</f>
        <v/>
      </c>
      <c r="O1669" s="53">
        <f>IF(COUNTA(A1669:K1669)=0,"",IF(OR(A1669="",B1669="",C1669="",D1669="",E1669="",F1669="",G1669="",NOT(ISNUMBER(I1669))),"Incomplete",IF(COUNTIF(Lists!$H$4:$AA$4,C1669)=0,"Check category",IF(COUNTIF(INDEX(Lists!$H$6:$AA$45,0,MATCH(C1669,Lists!$H$4:$AA$4,0)),D1669)=0,"Check sub-category","OK"))))</f>
        <v/>
      </c>
      <c r="P1669">
        <f>IF(ISNUMBER(I1669),I1669+ROW()/10000000,"")</f>
        <v/>
      </c>
      <c r="Q1669">
        <f>IF(AND(ISNUMBER(P1669),ISNUMBER(A1669)),IF(AND(A1669&gt;=Dashboard!$Q$3,A1669&lt;=Dashboard!$Q$4,OR(J1669&lt;&gt;"Yes",Dashboard!$Q$15="Yes")),P1669,""),"")</f>
        <v/>
      </c>
    </row>
    <row r="1670">
      <c r="A1670" s="47" t="n"/>
      <c r="B1670" s="48" t="n"/>
      <c r="C1670" s="48" t="n"/>
      <c r="D1670" s="48" t="n"/>
      <c r="E1670" s="48" t="n"/>
      <c r="F1670" s="48" t="n"/>
      <c r="G1670" s="48" t="n"/>
      <c r="H1670" s="48" t="n"/>
      <c r="I1670" s="49" t="n"/>
      <c r="J1670" s="50" t="n"/>
      <c r="K1670" s="48" t="n"/>
      <c r="L1670" s="51">
        <f>IF(A1670="","",DATE(YEAR(A1670),MONTH(A1670),1))</f>
        <v/>
      </c>
      <c r="M1670" s="52">
        <f>IF(OR(A1670="",NOT(ISNUMBER(I1670))),"",IF(G1670=Lists!$B$5,I1670/2,IF(G1670=Lists!$B$6,I1670,0)))</f>
        <v/>
      </c>
      <c r="N1670" s="52">
        <f>IF(OR(A1670="",NOT(ISNUMBER(I1670))),"",IF(G1670=Lists!$B$5,I1670/2,IF(G1670=Lists!$B$7,I1670,0)))</f>
        <v/>
      </c>
      <c r="O1670" s="53">
        <f>IF(COUNTA(A1670:K1670)=0,"",IF(OR(A1670="",B1670="",C1670="",D1670="",E1670="",F1670="",G1670="",NOT(ISNUMBER(I1670))),"Incomplete",IF(COUNTIF(Lists!$H$4:$AA$4,C1670)=0,"Check category",IF(COUNTIF(INDEX(Lists!$H$6:$AA$45,0,MATCH(C1670,Lists!$H$4:$AA$4,0)),D1670)=0,"Check sub-category","OK"))))</f>
        <v/>
      </c>
      <c r="P1670">
        <f>IF(ISNUMBER(I1670),I1670+ROW()/10000000,"")</f>
        <v/>
      </c>
      <c r="Q1670">
        <f>IF(AND(ISNUMBER(P1670),ISNUMBER(A1670)),IF(AND(A1670&gt;=Dashboard!$Q$3,A1670&lt;=Dashboard!$Q$4,OR(J1670&lt;&gt;"Yes",Dashboard!$Q$15="Yes")),P1670,""),"")</f>
        <v/>
      </c>
    </row>
    <row r="1671">
      <c r="A1671" s="47" t="n"/>
      <c r="B1671" s="48" t="n"/>
      <c r="C1671" s="48" t="n"/>
      <c r="D1671" s="48" t="n"/>
      <c r="E1671" s="48" t="n"/>
      <c r="F1671" s="48" t="n"/>
      <c r="G1671" s="48" t="n"/>
      <c r="H1671" s="48" t="n"/>
      <c r="I1671" s="49" t="n"/>
      <c r="J1671" s="50" t="n"/>
      <c r="K1671" s="48" t="n"/>
      <c r="L1671" s="51">
        <f>IF(A1671="","",DATE(YEAR(A1671),MONTH(A1671),1))</f>
        <v/>
      </c>
      <c r="M1671" s="52">
        <f>IF(OR(A1671="",NOT(ISNUMBER(I1671))),"",IF(G1671=Lists!$B$5,I1671/2,IF(G1671=Lists!$B$6,I1671,0)))</f>
        <v/>
      </c>
      <c r="N1671" s="52">
        <f>IF(OR(A1671="",NOT(ISNUMBER(I1671))),"",IF(G1671=Lists!$B$5,I1671/2,IF(G1671=Lists!$B$7,I1671,0)))</f>
        <v/>
      </c>
      <c r="O1671" s="53">
        <f>IF(COUNTA(A1671:K1671)=0,"",IF(OR(A1671="",B1671="",C1671="",D1671="",E1671="",F1671="",G1671="",NOT(ISNUMBER(I1671))),"Incomplete",IF(COUNTIF(Lists!$H$4:$AA$4,C1671)=0,"Check category",IF(COUNTIF(INDEX(Lists!$H$6:$AA$45,0,MATCH(C1671,Lists!$H$4:$AA$4,0)),D1671)=0,"Check sub-category","OK"))))</f>
        <v/>
      </c>
      <c r="P1671">
        <f>IF(ISNUMBER(I1671),I1671+ROW()/10000000,"")</f>
        <v/>
      </c>
      <c r="Q1671">
        <f>IF(AND(ISNUMBER(P1671),ISNUMBER(A1671)),IF(AND(A1671&gt;=Dashboard!$Q$3,A1671&lt;=Dashboard!$Q$4,OR(J1671&lt;&gt;"Yes",Dashboard!$Q$15="Yes")),P1671,""),"")</f>
        <v/>
      </c>
    </row>
    <row r="1672">
      <c r="A1672" s="47" t="n"/>
      <c r="B1672" s="48" t="n"/>
      <c r="C1672" s="48" t="n"/>
      <c r="D1672" s="48" t="n"/>
      <c r="E1672" s="48" t="n"/>
      <c r="F1672" s="48" t="n"/>
      <c r="G1672" s="48" t="n"/>
      <c r="H1672" s="48" t="n"/>
      <c r="I1672" s="49" t="n"/>
      <c r="J1672" s="50" t="n"/>
      <c r="K1672" s="48" t="n"/>
      <c r="L1672" s="51">
        <f>IF(A1672="","",DATE(YEAR(A1672),MONTH(A1672),1))</f>
        <v/>
      </c>
      <c r="M1672" s="52">
        <f>IF(OR(A1672="",NOT(ISNUMBER(I1672))),"",IF(G1672=Lists!$B$5,I1672/2,IF(G1672=Lists!$B$6,I1672,0)))</f>
        <v/>
      </c>
      <c r="N1672" s="52">
        <f>IF(OR(A1672="",NOT(ISNUMBER(I1672))),"",IF(G1672=Lists!$B$5,I1672/2,IF(G1672=Lists!$B$7,I1672,0)))</f>
        <v/>
      </c>
      <c r="O1672" s="53">
        <f>IF(COUNTA(A1672:K1672)=0,"",IF(OR(A1672="",B1672="",C1672="",D1672="",E1672="",F1672="",G1672="",NOT(ISNUMBER(I1672))),"Incomplete",IF(COUNTIF(Lists!$H$4:$AA$4,C1672)=0,"Check category",IF(COUNTIF(INDEX(Lists!$H$6:$AA$45,0,MATCH(C1672,Lists!$H$4:$AA$4,0)),D1672)=0,"Check sub-category","OK"))))</f>
        <v/>
      </c>
      <c r="P1672">
        <f>IF(ISNUMBER(I1672),I1672+ROW()/10000000,"")</f>
        <v/>
      </c>
      <c r="Q1672">
        <f>IF(AND(ISNUMBER(P1672),ISNUMBER(A1672)),IF(AND(A1672&gt;=Dashboard!$Q$3,A1672&lt;=Dashboard!$Q$4,OR(J1672&lt;&gt;"Yes",Dashboard!$Q$15="Yes")),P1672,""),"")</f>
        <v/>
      </c>
    </row>
    <row r="1673">
      <c r="A1673" s="47" t="n"/>
      <c r="B1673" s="48" t="n"/>
      <c r="C1673" s="48" t="n"/>
      <c r="D1673" s="48" t="n"/>
      <c r="E1673" s="48" t="n"/>
      <c r="F1673" s="48" t="n"/>
      <c r="G1673" s="48" t="n"/>
      <c r="H1673" s="48" t="n"/>
      <c r="I1673" s="49" t="n"/>
      <c r="J1673" s="50" t="n"/>
      <c r="K1673" s="48" t="n"/>
      <c r="L1673" s="51">
        <f>IF(A1673="","",DATE(YEAR(A1673),MONTH(A1673),1))</f>
        <v/>
      </c>
      <c r="M1673" s="52">
        <f>IF(OR(A1673="",NOT(ISNUMBER(I1673))),"",IF(G1673=Lists!$B$5,I1673/2,IF(G1673=Lists!$B$6,I1673,0)))</f>
        <v/>
      </c>
      <c r="N1673" s="52">
        <f>IF(OR(A1673="",NOT(ISNUMBER(I1673))),"",IF(G1673=Lists!$B$5,I1673/2,IF(G1673=Lists!$B$7,I1673,0)))</f>
        <v/>
      </c>
      <c r="O1673" s="53">
        <f>IF(COUNTA(A1673:K1673)=0,"",IF(OR(A1673="",B1673="",C1673="",D1673="",E1673="",F1673="",G1673="",NOT(ISNUMBER(I1673))),"Incomplete",IF(COUNTIF(Lists!$H$4:$AA$4,C1673)=0,"Check category",IF(COUNTIF(INDEX(Lists!$H$6:$AA$45,0,MATCH(C1673,Lists!$H$4:$AA$4,0)),D1673)=0,"Check sub-category","OK"))))</f>
        <v/>
      </c>
      <c r="P1673">
        <f>IF(ISNUMBER(I1673),I1673+ROW()/10000000,"")</f>
        <v/>
      </c>
      <c r="Q1673">
        <f>IF(AND(ISNUMBER(P1673),ISNUMBER(A1673)),IF(AND(A1673&gt;=Dashboard!$Q$3,A1673&lt;=Dashboard!$Q$4,OR(J1673&lt;&gt;"Yes",Dashboard!$Q$15="Yes")),P1673,""),"")</f>
        <v/>
      </c>
    </row>
    <row r="1674">
      <c r="A1674" s="47" t="n"/>
      <c r="B1674" s="48" t="n"/>
      <c r="C1674" s="48" t="n"/>
      <c r="D1674" s="48" t="n"/>
      <c r="E1674" s="48" t="n"/>
      <c r="F1674" s="48" t="n"/>
      <c r="G1674" s="48" t="n"/>
      <c r="H1674" s="48" t="n"/>
      <c r="I1674" s="49" t="n"/>
      <c r="J1674" s="50" t="n"/>
      <c r="K1674" s="48" t="n"/>
      <c r="L1674" s="51">
        <f>IF(A1674="","",DATE(YEAR(A1674),MONTH(A1674),1))</f>
        <v/>
      </c>
      <c r="M1674" s="52">
        <f>IF(OR(A1674="",NOT(ISNUMBER(I1674))),"",IF(G1674=Lists!$B$5,I1674/2,IF(G1674=Lists!$B$6,I1674,0)))</f>
        <v/>
      </c>
      <c r="N1674" s="52">
        <f>IF(OR(A1674="",NOT(ISNUMBER(I1674))),"",IF(G1674=Lists!$B$5,I1674/2,IF(G1674=Lists!$B$7,I1674,0)))</f>
        <v/>
      </c>
      <c r="O1674" s="53">
        <f>IF(COUNTA(A1674:K1674)=0,"",IF(OR(A1674="",B1674="",C1674="",D1674="",E1674="",F1674="",G1674="",NOT(ISNUMBER(I1674))),"Incomplete",IF(COUNTIF(Lists!$H$4:$AA$4,C1674)=0,"Check category",IF(COUNTIF(INDEX(Lists!$H$6:$AA$45,0,MATCH(C1674,Lists!$H$4:$AA$4,0)),D1674)=0,"Check sub-category","OK"))))</f>
        <v/>
      </c>
      <c r="P1674">
        <f>IF(ISNUMBER(I1674),I1674+ROW()/10000000,"")</f>
        <v/>
      </c>
      <c r="Q1674">
        <f>IF(AND(ISNUMBER(P1674),ISNUMBER(A1674)),IF(AND(A1674&gt;=Dashboard!$Q$3,A1674&lt;=Dashboard!$Q$4,OR(J1674&lt;&gt;"Yes",Dashboard!$Q$15="Yes")),P1674,""),"")</f>
        <v/>
      </c>
    </row>
    <row r="1675">
      <c r="A1675" s="47" t="n"/>
      <c r="B1675" s="48" t="n"/>
      <c r="C1675" s="48" t="n"/>
      <c r="D1675" s="48" t="n"/>
      <c r="E1675" s="48" t="n"/>
      <c r="F1675" s="48" t="n"/>
      <c r="G1675" s="48" t="n"/>
      <c r="H1675" s="48" t="n"/>
      <c r="I1675" s="49" t="n"/>
      <c r="J1675" s="50" t="n"/>
      <c r="K1675" s="48" t="n"/>
      <c r="L1675" s="51">
        <f>IF(A1675="","",DATE(YEAR(A1675),MONTH(A1675),1))</f>
        <v/>
      </c>
      <c r="M1675" s="52">
        <f>IF(OR(A1675="",NOT(ISNUMBER(I1675))),"",IF(G1675=Lists!$B$5,I1675/2,IF(G1675=Lists!$B$6,I1675,0)))</f>
        <v/>
      </c>
      <c r="N1675" s="52">
        <f>IF(OR(A1675="",NOT(ISNUMBER(I1675))),"",IF(G1675=Lists!$B$5,I1675/2,IF(G1675=Lists!$B$7,I1675,0)))</f>
        <v/>
      </c>
      <c r="O1675" s="53">
        <f>IF(COUNTA(A1675:K1675)=0,"",IF(OR(A1675="",B1675="",C1675="",D1675="",E1675="",F1675="",G1675="",NOT(ISNUMBER(I1675))),"Incomplete",IF(COUNTIF(Lists!$H$4:$AA$4,C1675)=0,"Check category",IF(COUNTIF(INDEX(Lists!$H$6:$AA$45,0,MATCH(C1675,Lists!$H$4:$AA$4,0)),D1675)=0,"Check sub-category","OK"))))</f>
        <v/>
      </c>
      <c r="P1675">
        <f>IF(ISNUMBER(I1675),I1675+ROW()/10000000,"")</f>
        <v/>
      </c>
      <c r="Q1675">
        <f>IF(AND(ISNUMBER(P1675),ISNUMBER(A1675)),IF(AND(A1675&gt;=Dashboard!$Q$3,A1675&lt;=Dashboard!$Q$4,OR(J1675&lt;&gt;"Yes",Dashboard!$Q$15="Yes")),P1675,""),"")</f>
        <v/>
      </c>
    </row>
    <row r="1676">
      <c r="A1676" s="47" t="n"/>
      <c r="B1676" s="48" t="n"/>
      <c r="C1676" s="48" t="n"/>
      <c r="D1676" s="48" t="n"/>
      <c r="E1676" s="48" t="n"/>
      <c r="F1676" s="48" t="n"/>
      <c r="G1676" s="48" t="n"/>
      <c r="H1676" s="48" t="n"/>
      <c r="I1676" s="49" t="n"/>
      <c r="J1676" s="50" t="n"/>
      <c r="K1676" s="48" t="n"/>
      <c r="L1676" s="51">
        <f>IF(A1676="","",DATE(YEAR(A1676),MONTH(A1676),1))</f>
        <v/>
      </c>
      <c r="M1676" s="52">
        <f>IF(OR(A1676="",NOT(ISNUMBER(I1676))),"",IF(G1676=Lists!$B$5,I1676/2,IF(G1676=Lists!$B$6,I1676,0)))</f>
        <v/>
      </c>
      <c r="N1676" s="52">
        <f>IF(OR(A1676="",NOT(ISNUMBER(I1676))),"",IF(G1676=Lists!$B$5,I1676/2,IF(G1676=Lists!$B$7,I1676,0)))</f>
        <v/>
      </c>
      <c r="O1676" s="53">
        <f>IF(COUNTA(A1676:K1676)=0,"",IF(OR(A1676="",B1676="",C1676="",D1676="",E1676="",F1676="",G1676="",NOT(ISNUMBER(I1676))),"Incomplete",IF(COUNTIF(Lists!$H$4:$AA$4,C1676)=0,"Check category",IF(COUNTIF(INDEX(Lists!$H$6:$AA$45,0,MATCH(C1676,Lists!$H$4:$AA$4,0)),D1676)=0,"Check sub-category","OK"))))</f>
        <v/>
      </c>
      <c r="P1676">
        <f>IF(ISNUMBER(I1676),I1676+ROW()/10000000,"")</f>
        <v/>
      </c>
      <c r="Q1676">
        <f>IF(AND(ISNUMBER(P1676),ISNUMBER(A1676)),IF(AND(A1676&gt;=Dashboard!$Q$3,A1676&lt;=Dashboard!$Q$4,OR(J1676&lt;&gt;"Yes",Dashboard!$Q$15="Yes")),P1676,""),"")</f>
        <v/>
      </c>
    </row>
    <row r="1677">
      <c r="A1677" s="47" t="n"/>
      <c r="B1677" s="48" t="n"/>
      <c r="C1677" s="48" t="n"/>
      <c r="D1677" s="48" t="n"/>
      <c r="E1677" s="48" t="n"/>
      <c r="F1677" s="48" t="n"/>
      <c r="G1677" s="48" t="n"/>
      <c r="H1677" s="48" t="n"/>
      <c r="I1677" s="49" t="n"/>
      <c r="J1677" s="50" t="n"/>
      <c r="K1677" s="48" t="n"/>
      <c r="L1677" s="51">
        <f>IF(A1677="","",DATE(YEAR(A1677),MONTH(A1677),1))</f>
        <v/>
      </c>
      <c r="M1677" s="52">
        <f>IF(OR(A1677="",NOT(ISNUMBER(I1677))),"",IF(G1677=Lists!$B$5,I1677/2,IF(G1677=Lists!$B$6,I1677,0)))</f>
        <v/>
      </c>
      <c r="N1677" s="52">
        <f>IF(OR(A1677="",NOT(ISNUMBER(I1677))),"",IF(G1677=Lists!$B$5,I1677/2,IF(G1677=Lists!$B$7,I1677,0)))</f>
        <v/>
      </c>
      <c r="O1677" s="53">
        <f>IF(COUNTA(A1677:K1677)=0,"",IF(OR(A1677="",B1677="",C1677="",D1677="",E1677="",F1677="",G1677="",NOT(ISNUMBER(I1677))),"Incomplete",IF(COUNTIF(Lists!$H$4:$AA$4,C1677)=0,"Check category",IF(COUNTIF(INDEX(Lists!$H$6:$AA$45,0,MATCH(C1677,Lists!$H$4:$AA$4,0)),D1677)=0,"Check sub-category","OK"))))</f>
        <v/>
      </c>
      <c r="P1677">
        <f>IF(ISNUMBER(I1677),I1677+ROW()/10000000,"")</f>
        <v/>
      </c>
      <c r="Q1677">
        <f>IF(AND(ISNUMBER(P1677),ISNUMBER(A1677)),IF(AND(A1677&gt;=Dashboard!$Q$3,A1677&lt;=Dashboard!$Q$4,OR(J1677&lt;&gt;"Yes",Dashboard!$Q$15="Yes")),P1677,""),"")</f>
        <v/>
      </c>
    </row>
    <row r="1678">
      <c r="A1678" s="47" t="n"/>
      <c r="B1678" s="48" t="n"/>
      <c r="C1678" s="48" t="n"/>
      <c r="D1678" s="48" t="n"/>
      <c r="E1678" s="48" t="n"/>
      <c r="F1678" s="48" t="n"/>
      <c r="G1678" s="48" t="n"/>
      <c r="H1678" s="48" t="n"/>
      <c r="I1678" s="49" t="n"/>
      <c r="J1678" s="50" t="n"/>
      <c r="K1678" s="48" t="n"/>
      <c r="L1678" s="51">
        <f>IF(A1678="","",DATE(YEAR(A1678),MONTH(A1678),1))</f>
        <v/>
      </c>
      <c r="M1678" s="52">
        <f>IF(OR(A1678="",NOT(ISNUMBER(I1678))),"",IF(G1678=Lists!$B$5,I1678/2,IF(G1678=Lists!$B$6,I1678,0)))</f>
        <v/>
      </c>
      <c r="N1678" s="52">
        <f>IF(OR(A1678="",NOT(ISNUMBER(I1678))),"",IF(G1678=Lists!$B$5,I1678/2,IF(G1678=Lists!$B$7,I1678,0)))</f>
        <v/>
      </c>
      <c r="O1678" s="53">
        <f>IF(COUNTA(A1678:K1678)=0,"",IF(OR(A1678="",B1678="",C1678="",D1678="",E1678="",F1678="",G1678="",NOT(ISNUMBER(I1678))),"Incomplete",IF(COUNTIF(Lists!$H$4:$AA$4,C1678)=0,"Check category",IF(COUNTIF(INDEX(Lists!$H$6:$AA$45,0,MATCH(C1678,Lists!$H$4:$AA$4,0)),D1678)=0,"Check sub-category","OK"))))</f>
        <v/>
      </c>
      <c r="P1678">
        <f>IF(ISNUMBER(I1678),I1678+ROW()/10000000,"")</f>
        <v/>
      </c>
      <c r="Q1678">
        <f>IF(AND(ISNUMBER(P1678),ISNUMBER(A1678)),IF(AND(A1678&gt;=Dashboard!$Q$3,A1678&lt;=Dashboard!$Q$4,OR(J1678&lt;&gt;"Yes",Dashboard!$Q$15="Yes")),P1678,""),"")</f>
        <v/>
      </c>
    </row>
    <row r="1679">
      <c r="A1679" s="47" t="n"/>
      <c r="B1679" s="48" t="n"/>
      <c r="C1679" s="48" t="n"/>
      <c r="D1679" s="48" t="n"/>
      <c r="E1679" s="48" t="n"/>
      <c r="F1679" s="48" t="n"/>
      <c r="G1679" s="48" t="n"/>
      <c r="H1679" s="48" t="n"/>
      <c r="I1679" s="49" t="n"/>
      <c r="J1679" s="50" t="n"/>
      <c r="K1679" s="48" t="n"/>
      <c r="L1679" s="51">
        <f>IF(A1679="","",DATE(YEAR(A1679),MONTH(A1679),1))</f>
        <v/>
      </c>
      <c r="M1679" s="52">
        <f>IF(OR(A1679="",NOT(ISNUMBER(I1679))),"",IF(G1679=Lists!$B$5,I1679/2,IF(G1679=Lists!$B$6,I1679,0)))</f>
        <v/>
      </c>
      <c r="N1679" s="52">
        <f>IF(OR(A1679="",NOT(ISNUMBER(I1679))),"",IF(G1679=Lists!$B$5,I1679/2,IF(G1679=Lists!$B$7,I1679,0)))</f>
        <v/>
      </c>
      <c r="O1679" s="53">
        <f>IF(COUNTA(A1679:K1679)=0,"",IF(OR(A1679="",B1679="",C1679="",D1679="",E1679="",F1679="",G1679="",NOT(ISNUMBER(I1679))),"Incomplete",IF(COUNTIF(Lists!$H$4:$AA$4,C1679)=0,"Check category",IF(COUNTIF(INDEX(Lists!$H$6:$AA$45,0,MATCH(C1679,Lists!$H$4:$AA$4,0)),D1679)=0,"Check sub-category","OK"))))</f>
        <v/>
      </c>
      <c r="P1679">
        <f>IF(ISNUMBER(I1679),I1679+ROW()/10000000,"")</f>
        <v/>
      </c>
      <c r="Q1679">
        <f>IF(AND(ISNUMBER(P1679),ISNUMBER(A1679)),IF(AND(A1679&gt;=Dashboard!$Q$3,A1679&lt;=Dashboard!$Q$4,OR(J1679&lt;&gt;"Yes",Dashboard!$Q$15="Yes")),P1679,""),"")</f>
        <v/>
      </c>
    </row>
    <row r="1680">
      <c r="A1680" s="47" t="n"/>
      <c r="B1680" s="48" t="n"/>
      <c r="C1680" s="48" t="n"/>
      <c r="D1680" s="48" t="n"/>
      <c r="E1680" s="48" t="n"/>
      <c r="F1680" s="48" t="n"/>
      <c r="G1680" s="48" t="n"/>
      <c r="H1680" s="48" t="n"/>
      <c r="I1680" s="49" t="n"/>
      <c r="J1680" s="50" t="n"/>
      <c r="K1680" s="48" t="n"/>
      <c r="L1680" s="51">
        <f>IF(A1680="","",DATE(YEAR(A1680),MONTH(A1680),1))</f>
        <v/>
      </c>
      <c r="M1680" s="52">
        <f>IF(OR(A1680="",NOT(ISNUMBER(I1680))),"",IF(G1680=Lists!$B$5,I1680/2,IF(G1680=Lists!$B$6,I1680,0)))</f>
        <v/>
      </c>
      <c r="N1680" s="52">
        <f>IF(OR(A1680="",NOT(ISNUMBER(I1680))),"",IF(G1680=Lists!$B$5,I1680/2,IF(G1680=Lists!$B$7,I1680,0)))</f>
        <v/>
      </c>
      <c r="O1680" s="53">
        <f>IF(COUNTA(A1680:K1680)=0,"",IF(OR(A1680="",B1680="",C1680="",D1680="",E1680="",F1680="",G1680="",NOT(ISNUMBER(I1680))),"Incomplete",IF(COUNTIF(Lists!$H$4:$AA$4,C1680)=0,"Check category",IF(COUNTIF(INDEX(Lists!$H$6:$AA$45,0,MATCH(C1680,Lists!$H$4:$AA$4,0)),D1680)=0,"Check sub-category","OK"))))</f>
        <v/>
      </c>
      <c r="P1680">
        <f>IF(ISNUMBER(I1680),I1680+ROW()/10000000,"")</f>
        <v/>
      </c>
      <c r="Q1680">
        <f>IF(AND(ISNUMBER(P1680),ISNUMBER(A1680)),IF(AND(A1680&gt;=Dashboard!$Q$3,A1680&lt;=Dashboard!$Q$4,OR(J1680&lt;&gt;"Yes",Dashboard!$Q$15="Yes")),P1680,""),"")</f>
        <v/>
      </c>
    </row>
    <row r="1681">
      <c r="A1681" s="47" t="n"/>
      <c r="B1681" s="48" t="n"/>
      <c r="C1681" s="48" t="n"/>
      <c r="D1681" s="48" t="n"/>
      <c r="E1681" s="48" t="n"/>
      <c r="F1681" s="48" t="n"/>
      <c r="G1681" s="48" t="n"/>
      <c r="H1681" s="48" t="n"/>
      <c r="I1681" s="49" t="n"/>
      <c r="J1681" s="50" t="n"/>
      <c r="K1681" s="48" t="n"/>
      <c r="L1681" s="51">
        <f>IF(A1681="","",DATE(YEAR(A1681),MONTH(A1681),1))</f>
        <v/>
      </c>
      <c r="M1681" s="52">
        <f>IF(OR(A1681="",NOT(ISNUMBER(I1681))),"",IF(G1681=Lists!$B$5,I1681/2,IF(G1681=Lists!$B$6,I1681,0)))</f>
        <v/>
      </c>
      <c r="N1681" s="52">
        <f>IF(OR(A1681="",NOT(ISNUMBER(I1681))),"",IF(G1681=Lists!$B$5,I1681/2,IF(G1681=Lists!$B$7,I1681,0)))</f>
        <v/>
      </c>
      <c r="O1681" s="53">
        <f>IF(COUNTA(A1681:K1681)=0,"",IF(OR(A1681="",B1681="",C1681="",D1681="",E1681="",F1681="",G1681="",NOT(ISNUMBER(I1681))),"Incomplete",IF(COUNTIF(Lists!$H$4:$AA$4,C1681)=0,"Check category",IF(COUNTIF(INDEX(Lists!$H$6:$AA$45,0,MATCH(C1681,Lists!$H$4:$AA$4,0)),D1681)=0,"Check sub-category","OK"))))</f>
        <v/>
      </c>
      <c r="P1681">
        <f>IF(ISNUMBER(I1681),I1681+ROW()/10000000,"")</f>
        <v/>
      </c>
      <c r="Q1681">
        <f>IF(AND(ISNUMBER(P1681),ISNUMBER(A1681)),IF(AND(A1681&gt;=Dashboard!$Q$3,A1681&lt;=Dashboard!$Q$4,OR(J1681&lt;&gt;"Yes",Dashboard!$Q$15="Yes")),P1681,""),"")</f>
        <v/>
      </c>
    </row>
    <row r="1682">
      <c r="A1682" s="47" t="n"/>
      <c r="B1682" s="48" t="n"/>
      <c r="C1682" s="48" t="n"/>
      <c r="D1682" s="48" t="n"/>
      <c r="E1682" s="48" t="n"/>
      <c r="F1682" s="48" t="n"/>
      <c r="G1682" s="48" t="n"/>
      <c r="H1682" s="48" t="n"/>
      <c r="I1682" s="49" t="n"/>
      <c r="J1682" s="50" t="n"/>
      <c r="K1682" s="48" t="n"/>
      <c r="L1682" s="51">
        <f>IF(A1682="","",DATE(YEAR(A1682),MONTH(A1682),1))</f>
        <v/>
      </c>
      <c r="M1682" s="52">
        <f>IF(OR(A1682="",NOT(ISNUMBER(I1682))),"",IF(G1682=Lists!$B$5,I1682/2,IF(G1682=Lists!$B$6,I1682,0)))</f>
        <v/>
      </c>
      <c r="N1682" s="52">
        <f>IF(OR(A1682="",NOT(ISNUMBER(I1682))),"",IF(G1682=Lists!$B$5,I1682/2,IF(G1682=Lists!$B$7,I1682,0)))</f>
        <v/>
      </c>
      <c r="O1682" s="53">
        <f>IF(COUNTA(A1682:K1682)=0,"",IF(OR(A1682="",B1682="",C1682="",D1682="",E1682="",F1682="",G1682="",NOT(ISNUMBER(I1682))),"Incomplete",IF(COUNTIF(Lists!$H$4:$AA$4,C1682)=0,"Check category",IF(COUNTIF(INDEX(Lists!$H$6:$AA$45,0,MATCH(C1682,Lists!$H$4:$AA$4,0)),D1682)=0,"Check sub-category","OK"))))</f>
        <v/>
      </c>
      <c r="P1682">
        <f>IF(ISNUMBER(I1682),I1682+ROW()/10000000,"")</f>
        <v/>
      </c>
      <c r="Q1682">
        <f>IF(AND(ISNUMBER(P1682),ISNUMBER(A1682)),IF(AND(A1682&gt;=Dashboard!$Q$3,A1682&lt;=Dashboard!$Q$4,OR(J1682&lt;&gt;"Yes",Dashboard!$Q$15="Yes")),P1682,""),"")</f>
        <v/>
      </c>
    </row>
    <row r="1683">
      <c r="A1683" s="47" t="n"/>
      <c r="B1683" s="48" t="n"/>
      <c r="C1683" s="48" t="n"/>
      <c r="D1683" s="48" t="n"/>
      <c r="E1683" s="48" t="n"/>
      <c r="F1683" s="48" t="n"/>
      <c r="G1683" s="48" t="n"/>
      <c r="H1683" s="48" t="n"/>
      <c r="I1683" s="49" t="n"/>
      <c r="J1683" s="50" t="n"/>
      <c r="K1683" s="48" t="n"/>
      <c r="L1683" s="51">
        <f>IF(A1683="","",DATE(YEAR(A1683),MONTH(A1683),1))</f>
        <v/>
      </c>
      <c r="M1683" s="52">
        <f>IF(OR(A1683="",NOT(ISNUMBER(I1683))),"",IF(G1683=Lists!$B$5,I1683/2,IF(G1683=Lists!$B$6,I1683,0)))</f>
        <v/>
      </c>
      <c r="N1683" s="52">
        <f>IF(OR(A1683="",NOT(ISNUMBER(I1683))),"",IF(G1683=Lists!$B$5,I1683/2,IF(G1683=Lists!$B$7,I1683,0)))</f>
        <v/>
      </c>
      <c r="O1683" s="53">
        <f>IF(COUNTA(A1683:K1683)=0,"",IF(OR(A1683="",B1683="",C1683="",D1683="",E1683="",F1683="",G1683="",NOT(ISNUMBER(I1683))),"Incomplete",IF(COUNTIF(Lists!$H$4:$AA$4,C1683)=0,"Check category",IF(COUNTIF(INDEX(Lists!$H$6:$AA$45,0,MATCH(C1683,Lists!$H$4:$AA$4,0)),D1683)=0,"Check sub-category","OK"))))</f>
        <v/>
      </c>
      <c r="P1683">
        <f>IF(ISNUMBER(I1683),I1683+ROW()/10000000,"")</f>
        <v/>
      </c>
      <c r="Q1683">
        <f>IF(AND(ISNUMBER(P1683),ISNUMBER(A1683)),IF(AND(A1683&gt;=Dashboard!$Q$3,A1683&lt;=Dashboard!$Q$4,OR(J1683&lt;&gt;"Yes",Dashboard!$Q$15="Yes")),P1683,""),"")</f>
        <v/>
      </c>
    </row>
    <row r="1684">
      <c r="A1684" s="47" t="n"/>
      <c r="B1684" s="48" t="n"/>
      <c r="C1684" s="48" t="n"/>
      <c r="D1684" s="48" t="n"/>
      <c r="E1684" s="48" t="n"/>
      <c r="F1684" s="48" t="n"/>
      <c r="G1684" s="48" t="n"/>
      <c r="H1684" s="48" t="n"/>
      <c r="I1684" s="49" t="n"/>
      <c r="J1684" s="50" t="n"/>
      <c r="K1684" s="48" t="n"/>
      <c r="L1684" s="51">
        <f>IF(A1684="","",DATE(YEAR(A1684),MONTH(A1684),1))</f>
        <v/>
      </c>
      <c r="M1684" s="52">
        <f>IF(OR(A1684="",NOT(ISNUMBER(I1684))),"",IF(G1684=Lists!$B$5,I1684/2,IF(G1684=Lists!$B$6,I1684,0)))</f>
        <v/>
      </c>
      <c r="N1684" s="52">
        <f>IF(OR(A1684="",NOT(ISNUMBER(I1684))),"",IF(G1684=Lists!$B$5,I1684/2,IF(G1684=Lists!$B$7,I1684,0)))</f>
        <v/>
      </c>
      <c r="O1684" s="53">
        <f>IF(COUNTA(A1684:K1684)=0,"",IF(OR(A1684="",B1684="",C1684="",D1684="",E1684="",F1684="",G1684="",NOT(ISNUMBER(I1684))),"Incomplete",IF(COUNTIF(Lists!$H$4:$AA$4,C1684)=0,"Check category",IF(COUNTIF(INDEX(Lists!$H$6:$AA$45,0,MATCH(C1684,Lists!$H$4:$AA$4,0)),D1684)=0,"Check sub-category","OK"))))</f>
        <v/>
      </c>
      <c r="P1684">
        <f>IF(ISNUMBER(I1684),I1684+ROW()/10000000,"")</f>
        <v/>
      </c>
      <c r="Q1684">
        <f>IF(AND(ISNUMBER(P1684),ISNUMBER(A1684)),IF(AND(A1684&gt;=Dashboard!$Q$3,A1684&lt;=Dashboard!$Q$4,OR(J1684&lt;&gt;"Yes",Dashboard!$Q$15="Yes")),P1684,""),"")</f>
        <v/>
      </c>
    </row>
    <row r="1685">
      <c r="A1685" s="47" t="n"/>
      <c r="B1685" s="48" t="n"/>
      <c r="C1685" s="48" t="n"/>
      <c r="D1685" s="48" t="n"/>
      <c r="E1685" s="48" t="n"/>
      <c r="F1685" s="48" t="n"/>
      <c r="G1685" s="48" t="n"/>
      <c r="H1685" s="48" t="n"/>
      <c r="I1685" s="49" t="n"/>
      <c r="J1685" s="50" t="n"/>
      <c r="K1685" s="48" t="n"/>
      <c r="L1685" s="51">
        <f>IF(A1685="","",DATE(YEAR(A1685),MONTH(A1685),1))</f>
        <v/>
      </c>
      <c r="M1685" s="52">
        <f>IF(OR(A1685="",NOT(ISNUMBER(I1685))),"",IF(G1685=Lists!$B$5,I1685/2,IF(G1685=Lists!$B$6,I1685,0)))</f>
        <v/>
      </c>
      <c r="N1685" s="52">
        <f>IF(OR(A1685="",NOT(ISNUMBER(I1685))),"",IF(G1685=Lists!$B$5,I1685/2,IF(G1685=Lists!$B$7,I1685,0)))</f>
        <v/>
      </c>
      <c r="O1685" s="53">
        <f>IF(COUNTA(A1685:K1685)=0,"",IF(OR(A1685="",B1685="",C1685="",D1685="",E1685="",F1685="",G1685="",NOT(ISNUMBER(I1685))),"Incomplete",IF(COUNTIF(Lists!$H$4:$AA$4,C1685)=0,"Check category",IF(COUNTIF(INDEX(Lists!$H$6:$AA$45,0,MATCH(C1685,Lists!$H$4:$AA$4,0)),D1685)=0,"Check sub-category","OK"))))</f>
        <v/>
      </c>
      <c r="P1685">
        <f>IF(ISNUMBER(I1685),I1685+ROW()/10000000,"")</f>
        <v/>
      </c>
      <c r="Q1685">
        <f>IF(AND(ISNUMBER(P1685),ISNUMBER(A1685)),IF(AND(A1685&gt;=Dashboard!$Q$3,A1685&lt;=Dashboard!$Q$4,OR(J1685&lt;&gt;"Yes",Dashboard!$Q$15="Yes")),P1685,""),"")</f>
        <v/>
      </c>
    </row>
    <row r="1686">
      <c r="A1686" s="47" t="n"/>
      <c r="B1686" s="48" t="n"/>
      <c r="C1686" s="48" t="n"/>
      <c r="D1686" s="48" t="n"/>
      <c r="E1686" s="48" t="n"/>
      <c r="F1686" s="48" t="n"/>
      <c r="G1686" s="48" t="n"/>
      <c r="H1686" s="48" t="n"/>
      <c r="I1686" s="49" t="n"/>
      <c r="J1686" s="50" t="n"/>
      <c r="K1686" s="48" t="n"/>
      <c r="L1686" s="51">
        <f>IF(A1686="","",DATE(YEAR(A1686),MONTH(A1686),1))</f>
        <v/>
      </c>
      <c r="M1686" s="52">
        <f>IF(OR(A1686="",NOT(ISNUMBER(I1686))),"",IF(G1686=Lists!$B$5,I1686/2,IF(G1686=Lists!$B$6,I1686,0)))</f>
        <v/>
      </c>
      <c r="N1686" s="52">
        <f>IF(OR(A1686="",NOT(ISNUMBER(I1686))),"",IF(G1686=Lists!$B$5,I1686/2,IF(G1686=Lists!$B$7,I1686,0)))</f>
        <v/>
      </c>
      <c r="O1686" s="53">
        <f>IF(COUNTA(A1686:K1686)=0,"",IF(OR(A1686="",B1686="",C1686="",D1686="",E1686="",F1686="",G1686="",NOT(ISNUMBER(I1686))),"Incomplete",IF(COUNTIF(Lists!$H$4:$AA$4,C1686)=0,"Check category",IF(COUNTIF(INDEX(Lists!$H$6:$AA$45,0,MATCH(C1686,Lists!$H$4:$AA$4,0)),D1686)=0,"Check sub-category","OK"))))</f>
        <v/>
      </c>
      <c r="P1686">
        <f>IF(ISNUMBER(I1686),I1686+ROW()/10000000,"")</f>
        <v/>
      </c>
      <c r="Q1686">
        <f>IF(AND(ISNUMBER(P1686),ISNUMBER(A1686)),IF(AND(A1686&gt;=Dashboard!$Q$3,A1686&lt;=Dashboard!$Q$4,OR(J1686&lt;&gt;"Yes",Dashboard!$Q$15="Yes")),P1686,""),"")</f>
        <v/>
      </c>
    </row>
    <row r="1687">
      <c r="A1687" s="47" t="n"/>
      <c r="B1687" s="48" t="n"/>
      <c r="C1687" s="48" t="n"/>
      <c r="D1687" s="48" t="n"/>
      <c r="E1687" s="48" t="n"/>
      <c r="F1687" s="48" t="n"/>
      <c r="G1687" s="48" t="n"/>
      <c r="H1687" s="48" t="n"/>
      <c r="I1687" s="49" t="n"/>
      <c r="J1687" s="50" t="n"/>
      <c r="K1687" s="48" t="n"/>
      <c r="L1687" s="51">
        <f>IF(A1687="","",DATE(YEAR(A1687),MONTH(A1687),1))</f>
        <v/>
      </c>
      <c r="M1687" s="52">
        <f>IF(OR(A1687="",NOT(ISNUMBER(I1687))),"",IF(G1687=Lists!$B$5,I1687/2,IF(G1687=Lists!$B$6,I1687,0)))</f>
        <v/>
      </c>
      <c r="N1687" s="52">
        <f>IF(OR(A1687="",NOT(ISNUMBER(I1687))),"",IF(G1687=Lists!$B$5,I1687/2,IF(G1687=Lists!$B$7,I1687,0)))</f>
        <v/>
      </c>
      <c r="O1687" s="53">
        <f>IF(COUNTA(A1687:K1687)=0,"",IF(OR(A1687="",B1687="",C1687="",D1687="",E1687="",F1687="",G1687="",NOT(ISNUMBER(I1687))),"Incomplete",IF(COUNTIF(Lists!$H$4:$AA$4,C1687)=0,"Check category",IF(COUNTIF(INDEX(Lists!$H$6:$AA$45,0,MATCH(C1687,Lists!$H$4:$AA$4,0)),D1687)=0,"Check sub-category","OK"))))</f>
        <v/>
      </c>
      <c r="P1687">
        <f>IF(ISNUMBER(I1687),I1687+ROW()/10000000,"")</f>
        <v/>
      </c>
      <c r="Q1687">
        <f>IF(AND(ISNUMBER(P1687),ISNUMBER(A1687)),IF(AND(A1687&gt;=Dashboard!$Q$3,A1687&lt;=Dashboard!$Q$4,OR(J1687&lt;&gt;"Yes",Dashboard!$Q$15="Yes")),P1687,""),"")</f>
        <v/>
      </c>
    </row>
    <row r="1688">
      <c r="A1688" s="47" t="n"/>
      <c r="B1688" s="48" t="n"/>
      <c r="C1688" s="48" t="n"/>
      <c r="D1688" s="48" t="n"/>
      <c r="E1688" s="48" t="n"/>
      <c r="F1688" s="48" t="n"/>
      <c r="G1688" s="48" t="n"/>
      <c r="H1688" s="48" t="n"/>
      <c r="I1688" s="49" t="n"/>
      <c r="J1688" s="50" t="n"/>
      <c r="K1688" s="48" t="n"/>
      <c r="L1688" s="51">
        <f>IF(A1688="","",DATE(YEAR(A1688),MONTH(A1688),1))</f>
        <v/>
      </c>
      <c r="M1688" s="52">
        <f>IF(OR(A1688="",NOT(ISNUMBER(I1688))),"",IF(G1688=Lists!$B$5,I1688/2,IF(G1688=Lists!$B$6,I1688,0)))</f>
        <v/>
      </c>
      <c r="N1688" s="52">
        <f>IF(OR(A1688="",NOT(ISNUMBER(I1688))),"",IF(G1688=Lists!$B$5,I1688/2,IF(G1688=Lists!$B$7,I1688,0)))</f>
        <v/>
      </c>
      <c r="O1688" s="53">
        <f>IF(COUNTA(A1688:K1688)=0,"",IF(OR(A1688="",B1688="",C1688="",D1688="",E1688="",F1688="",G1688="",NOT(ISNUMBER(I1688))),"Incomplete",IF(COUNTIF(Lists!$H$4:$AA$4,C1688)=0,"Check category",IF(COUNTIF(INDEX(Lists!$H$6:$AA$45,0,MATCH(C1688,Lists!$H$4:$AA$4,0)),D1688)=0,"Check sub-category","OK"))))</f>
        <v/>
      </c>
      <c r="P1688">
        <f>IF(ISNUMBER(I1688),I1688+ROW()/10000000,"")</f>
        <v/>
      </c>
      <c r="Q1688">
        <f>IF(AND(ISNUMBER(P1688),ISNUMBER(A1688)),IF(AND(A1688&gt;=Dashboard!$Q$3,A1688&lt;=Dashboard!$Q$4,OR(J1688&lt;&gt;"Yes",Dashboard!$Q$15="Yes")),P1688,""),"")</f>
        <v/>
      </c>
    </row>
    <row r="1689">
      <c r="A1689" s="47" t="n"/>
      <c r="B1689" s="48" t="n"/>
      <c r="C1689" s="48" t="n"/>
      <c r="D1689" s="48" t="n"/>
      <c r="E1689" s="48" t="n"/>
      <c r="F1689" s="48" t="n"/>
      <c r="G1689" s="48" t="n"/>
      <c r="H1689" s="48" t="n"/>
      <c r="I1689" s="49" t="n"/>
      <c r="J1689" s="50" t="n"/>
      <c r="K1689" s="48" t="n"/>
      <c r="L1689" s="51">
        <f>IF(A1689="","",DATE(YEAR(A1689),MONTH(A1689),1))</f>
        <v/>
      </c>
      <c r="M1689" s="52">
        <f>IF(OR(A1689="",NOT(ISNUMBER(I1689))),"",IF(G1689=Lists!$B$5,I1689/2,IF(G1689=Lists!$B$6,I1689,0)))</f>
        <v/>
      </c>
      <c r="N1689" s="52">
        <f>IF(OR(A1689="",NOT(ISNUMBER(I1689))),"",IF(G1689=Lists!$B$5,I1689/2,IF(G1689=Lists!$B$7,I1689,0)))</f>
        <v/>
      </c>
      <c r="O1689" s="53">
        <f>IF(COUNTA(A1689:K1689)=0,"",IF(OR(A1689="",B1689="",C1689="",D1689="",E1689="",F1689="",G1689="",NOT(ISNUMBER(I1689))),"Incomplete",IF(COUNTIF(Lists!$H$4:$AA$4,C1689)=0,"Check category",IF(COUNTIF(INDEX(Lists!$H$6:$AA$45,0,MATCH(C1689,Lists!$H$4:$AA$4,0)),D1689)=0,"Check sub-category","OK"))))</f>
        <v/>
      </c>
      <c r="P1689">
        <f>IF(ISNUMBER(I1689),I1689+ROW()/10000000,"")</f>
        <v/>
      </c>
      <c r="Q1689">
        <f>IF(AND(ISNUMBER(P1689),ISNUMBER(A1689)),IF(AND(A1689&gt;=Dashboard!$Q$3,A1689&lt;=Dashboard!$Q$4,OR(J1689&lt;&gt;"Yes",Dashboard!$Q$15="Yes")),P1689,""),"")</f>
        <v/>
      </c>
    </row>
    <row r="1690">
      <c r="A1690" s="47" t="n"/>
      <c r="B1690" s="48" t="n"/>
      <c r="C1690" s="48" t="n"/>
      <c r="D1690" s="48" t="n"/>
      <c r="E1690" s="48" t="n"/>
      <c r="F1690" s="48" t="n"/>
      <c r="G1690" s="48" t="n"/>
      <c r="H1690" s="48" t="n"/>
      <c r="I1690" s="49" t="n"/>
      <c r="J1690" s="50" t="n"/>
      <c r="K1690" s="48" t="n"/>
      <c r="L1690" s="51">
        <f>IF(A1690="","",DATE(YEAR(A1690),MONTH(A1690),1))</f>
        <v/>
      </c>
      <c r="M1690" s="52">
        <f>IF(OR(A1690="",NOT(ISNUMBER(I1690))),"",IF(G1690=Lists!$B$5,I1690/2,IF(G1690=Lists!$B$6,I1690,0)))</f>
        <v/>
      </c>
      <c r="N1690" s="52">
        <f>IF(OR(A1690="",NOT(ISNUMBER(I1690))),"",IF(G1690=Lists!$B$5,I1690/2,IF(G1690=Lists!$B$7,I1690,0)))</f>
        <v/>
      </c>
      <c r="O1690" s="53">
        <f>IF(COUNTA(A1690:K1690)=0,"",IF(OR(A1690="",B1690="",C1690="",D1690="",E1690="",F1690="",G1690="",NOT(ISNUMBER(I1690))),"Incomplete",IF(COUNTIF(Lists!$H$4:$AA$4,C1690)=0,"Check category",IF(COUNTIF(INDEX(Lists!$H$6:$AA$45,0,MATCH(C1690,Lists!$H$4:$AA$4,0)),D1690)=0,"Check sub-category","OK"))))</f>
        <v/>
      </c>
      <c r="P1690">
        <f>IF(ISNUMBER(I1690),I1690+ROW()/10000000,"")</f>
        <v/>
      </c>
      <c r="Q1690">
        <f>IF(AND(ISNUMBER(P1690),ISNUMBER(A1690)),IF(AND(A1690&gt;=Dashboard!$Q$3,A1690&lt;=Dashboard!$Q$4,OR(J1690&lt;&gt;"Yes",Dashboard!$Q$15="Yes")),P1690,""),"")</f>
        <v/>
      </c>
    </row>
    <row r="1691">
      <c r="A1691" s="47" t="n"/>
      <c r="B1691" s="48" t="n"/>
      <c r="C1691" s="48" t="n"/>
      <c r="D1691" s="48" t="n"/>
      <c r="E1691" s="48" t="n"/>
      <c r="F1691" s="48" t="n"/>
      <c r="G1691" s="48" t="n"/>
      <c r="H1691" s="48" t="n"/>
      <c r="I1691" s="49" t="n"/>
      <c r="J1691" s="50" t="n"/>
      <c r="K1691" s="48" t="n"/>
      <c r="L1691" s="51">
        <f>IF(A1691="","",DATE(YEAR(A1691),MONTH(A1691),1))</f>
        <v/>
      </c>
      <c r="M1691" s="52">
        <f>IF(OR(A1691="",NOT(ISNUMBER(I1691))),"",IF(G1691=Lists!$B$5,I1691/2,IF(G1691=Lists!$B$6,I1691,0)))</f>
        <v/>
      </c>
      <c r="N1691" s="52">
        <f>IF(OR(A1691="",NOT(ISNUMBER(I1691))),"",IF(G1691=Lists!$B$5,I1691/2,IF(G1691=Lists!$B$7,I1691,0)))</f>
        <v/>
      </c>
      <c r="O1691" s="53">
        <f>IF(COUNTA(A1691:K1691)=0,"",IF(OR(A1691="",B1691="",C1691="",D1691="",E1691="",F1691="",G1691="",NOT(ISNUMBER(I1691))),"Incomplete",IF(COUNTIF(Lists!$H$4:$AA$4,C1691)=0,"Check category",IF(COUNTIF(INDEX(Lists!$H$6:$AA$45,0,MATCH(C1691,Lists!$H$4:$AA$4,0)),D1691)=0,"Check sub-category","OK"))))</f>
        <v/>
      </c>
      <c r="P1691">
        <f>IF(ISNUMBER(I1691),I1691+ROW()/10000000,"")</f>
        <v/>
      </c>
      <c r="Q1691">
        <f>IF(AND(ISNUMBER(P1691),ISNUMBER(A1691)),IF(AND(A1691&gt;=Dashboard!$Q$3,A1691&lt;=Dashboard!$Q$4,OR(J1691&lt;&gt;"Yes",Dashboard!$Q$15="Yes")),P1691,""),"")</f>
        <v/>
      </c>
    </row>
    <row r="1692">
      <c r="A1692" s="47" t="n"/>
      <c r="B1692" s="48" t="n"/>
      <c r="C1692" s="48" t="n"/>
      <c r="D1692" s="48" t="n"/>
      <c r="E1692" s="48" t="n"/>
      <c r="F1692" s="48" t="n"/>
      <c r="G1692" s="48" t="n"/>
      <c r="H1692" s="48" t="n"/>
      <c r="I1692" s="49" t="n"/>
      <c r="J1692" s="50" t="n"/>
      <c r="K1692" s="48" t="n"/>
      <c r="L1692" s="51">
        <f>IF(A1692="","",DATE(YEAR(A1692),MONTH(A1692),1))</f>
        <v/>
      </c>
      <c r="M1692" s="52">
        <f>IF(OR(A1692="",NOT(ISNUMBER(I1692))),"",IF(G1692=Lists!$B$5,I1692/2,IF(G1692=Lists!$B$6,I1692,0)))</f>
        <v/>
      </c>
      <c r="N1692" s="52">
        <f>IF(OR(A1692="",NOT(ISNUMBER(I1692))),"",IF(G1692=Lists!$B$5,I1692/2,IF(G1692=Lists!$B$7,I1692,0)))</f>
        <v/>
      </c>
      <c r="O1692" s="53">
        <f>IF(COUNTA(A1692:K1692)=0,"",IF(OR(A1692="",B1692="",C1692="",D1692="",E1692="",F1692="",G1692="",NOT(ISNUMBER(I1692))),"Incomplete",IF(COUNTIF(Lists!$H$4:$AA$4,C1692)=0,"Check category",IF(COUNTIF(INDEX(Lists!$H$6:$AA$45,0,MATCH(C1692,Lists!$H$4:$AA$4,0)),D1692)=0,"Check sub-category","OK"))))</f>
        <v/>
      </c>
      <c r="P1692">
        <f>IF(ISNUMBER(I1692),I1692+ROW()/10000000,"")</f>
        <v/>
      </c>
      <c r="Q1692">
        <f>IF(AND(ISNUMBER(P1692),ISNUMBER(A1692)),IF(AND(A1692&gt;=Dashboard!$Q$3,A1692&lt;=Dashboard!$Q$4,OR(J1692&lt;&gt;"Yes",Dashboard!$Q$15="Yes")),P1692,""),"")</f>
        <v/>
      </c>
    </row>
    <row r="1693">
      <c r="A1693" s="47" t="n"/>
      <c r="B1693" s="48" t="n"/>
      <c r="C1693" s="48" t="n"/>
      <c r="D1693" s="48" t="n"/>
      <c r="E1693" s="48" t="n"/>
      <c r="F1693" s="48" t="n"/>
      <c r="G1693" s="48" t="n"/>
      <c r="H1693" s="48" t="n"/>
      <c r="I1693" s="49" t="n"/>
      <c r="J1693" s="50" t="n"/>
      <c r="K1693" s="48" t="n"/>
      <c r="L1693" s="51">
        <f>IF(A1693="","",DATE(YEAR(A1693),MONTH(A1693),1))</f>
        <v/>
      </c>
      <c r="M1693" s="52">
        <f>IF(OR(A1693="",NOT(ISNUMBER(I1693))),"",IF(G1693=Lists!$B$5,I1693/2,IF(G1693=Lists!$B$6,I1693,0)))</f>
        <v/>
      </c>
      <c r="N1693" s="52">
        <f>IF(OR(A1693="",NOT(ISNUMBER(I1693))),"",IF(G1693=Lists!$B$5,I1693/2,IF(G1693=Lists!$B$7,I1693,0)))</f>
        <v/>
      </c>
      <c r="O1693" s="53">
        <f>IF(COUNTA(A1693:K1693)=0,"",IF(OR(A1693="",B1693="",C1693="",D1693="",E1693="",F1693="",G1693="",NOT(ISNUMBER(I1693))),"Incomplete",IF(COUNTIF(Lists!$H$4:$AA$4,C1693)=0,"Check category",IF(COUNTIF(INDEX(Lists!$H$6:$AA$45,0,MATCH(C1693,Lists!$H$4:$AA$4,0)),D1693)=0,"Check sub-category","OK"))))</f>
        <v/>
      </c>
      <c r="P1693">
        <f>IF(ISNUMBER(I1693),I1693+ROW()/10000000,"")</f>
        <v/>
      </c>
      <c r="Q1693">
        <f>IF(AND(ISNUMBER(P1693),ISNUMBER(A1693)),IF(AND(A1693&gt;=Dashboard!$Q$3,A1693&lt;=Dashboard!$Q$4,OR(J1693&lt;&gt;"Yes",Dashboard!$Q$15="Yes")),P1693,""),"")</f>
        <v/>
      </c>
    </row>
    <row r="1694">
      <c r="A1694" s="47" t="n"/>
      <c r="B1694" s="48" t="n"/>
      <c r="C1694" s="48" t="n"/>
      <c r="D1694" s="48" t="n"/>
      <c r="E1694" s="48" t="n"/>
      <c r="F1694" s="48" t="n"/>
      <c r="G1694" s="48" t="n"/>
      <c r="H1694" s="48" t="n"/>
      <c r="I1694" s="49" t="n"/>
      <c r="J1694" s="50" t="n"/>
      <c r="K1694" s="48" t="n"/>
      <c r="L1694" s="51">
        <f>IF(A1694="","",DATE(YEAR(A1694),MONTH(A1694),1))</f>
        <v/>
      </c>
      <c r="M1694" s="52">
        <f>IF(OR(A1694="",NOT(ISNUMBER(I1694))),"",IF(G1694=Lists!$B$5,I1694/2,IF(G1694=Lists!$B$6,I1694,0)))</f>
        <v/>
      </c>
      <c r="N1694" s="52">
        <f>IF(OR(A1694="",NOT(ISNUMBER(I1694))),"",IF(G1694=Lists!$B$5,I1694/2,IF(G1694=Lists!$B$7,I1694,0)))</f>
        <v/>
      </c>
      <c r="O1694" s="53">
        <f>IF(COUNTA(A1694:K1694)=0,"",IF(OR(A1694="",B1694="",C1694="",D1694="",E1694="",F1694="",G1694="",NOT(ISNUMBER(I1694))),"Incomplete",IF(COUNTIF(Lists!$H$4:$AA$4,C1694)=0,"Check category",IF(COUNTIF(INDEX(Lists!$H$6:$AA$45,0,MATCH(C1694,Lists!$H$4:$AA$4,0)),D1694)=0,"Check sub-category","OK"))))</f>
        <v/>
      </c>
      <c r="P1694">
        <f>IF(ISNUMBER(I1694),I1694+ROW()/10000000,"")</f>
        <v/>
      </c>
      <c r="Q1694">
        <f>IF(AND(ISNUMBER(P1694),ISNUMBER(A1694)),IF(AND(A1694&gt;=Dashboard!$Q$3,A1694&lt;=Dashboard!$Q$4,OR(J1694&lt;&gt;"Yes",Dashboard!$Q$15="Yes")),P1694,""),"")</f>
        <v/>
      </c>
    </row>
    <row r="1695">
      <c r="A1695" s="47" t="n"/>
      <c r="B1695" s="48" t="n"/>
      <c r="C1695" s="48" t="n"/>
      <c r="D1695" s="48" t="n"/>
      <c r="E1695" s="48" t="n"/>
      <c r="F1695" s="48" t="n"/>
      <c r="G1695" s="48" t="n"/>
      <c r="H1695" s="48" t="n"/>
      <c r="I1695" s="49" t="n"/>
      <c r="J1695" s="50" t="n"/>
      <c r="K1695" s="48" t="n"/>
      <c r="L1695" s="51">
        <f>IF(A1695="","",DATE(YEAR(A1695),MONTH(A1695),1))</f>
        <v/>
      </c>
      <c r="M1695" s="52">
        <f>IF(OR(A1695="",NOT(ISNUMBER(I1695))),"",IF(G1695=Lists!$B$5,I1695/2,IF(G1695=Lists!$B$6,I1695,0)))</f>
        <v/>
      </c>
      <c r="N1695" s="52">
        <f>IF(OR(A1695="",NOT(ISNUMBER(I1695))),"",IF(G1695=Lists!$B$5,I1695/2,IF(G1695=Lists!$B$7,I1695,0)))</f>
        <v/>
      </c>
      <c r="O1695" s="53">
        <f>IF(COUNTA(A1695:K1695)=0,"",IF(OR(A1695="",B1695="",C1695="",D1695="",E1695="",F1695="",G1695="",NOT(ISNUMBER(I1695))),"Incomplete",IF(COUNTIF(Lists!$H$4:$AA$4,C1695)=0,"Check category",IF(COUNTIF(INDEX(Lists!$H$6:$AA$45,0,MATCH(C1695,Lists!$H$4:$AA$4,0)),D1695)=0,"Check sub-category","OK"))))</f>
        <v/>
      </c>
      <c r="P1695">
        <f>IF(ISNUMBER(I1695),I1695+ROW()/10000000,"")</f>
        <v/>
      </c>
      <c r="Q1695">
        <f>IF(AND(ISNUMBER(P1695),ISNUMBER(A1695)),IF(AND(A1695&gt;=Dashboard!$Q$3,A1695&lt;=Dashboard!$Q$4,OR(J1695&lt;&gt;"Yes",Dashboard!$Q$15="Yes")),P1695,""),"")</f>
        <v/>
      </c>
    </row>
    <row r="1696">
      <c r="A1696" s="47" t="n"/>
      <c r="B1696" s="48" t="n"/>
      <c r="C1696" s="48" t="n"/>
      <c r="D1696" s="48" t="n"/>
      <c r="E1696" s="48" t="n"/>
      <c r="F1696" s="48" t="n"/>
      <c r="G1696" s="48" t="n"/>
      <c r="H1696" s="48" t="n"/>
      <c r="I1696" s="49" t="n"/>
      <c r="J1696" s="50" t="n"/>
      <c r="K1696" s="48" t="n"/>
      <c r="L1696" s="51">
        <f>IF(A1696="","",DATE(YEAR(A1696),MONTH(A1696),1))</f>
        <v/>
      </c>
      <c r="M1696" s="52">
        <f>IF(OR(A1696="",NOT(ISNUMBER(I1696))),"",IF(G1696=Lists!$B$5,I1696/2,IF(G1696=Lists!$B$6,I1696,0)))</f>
        <v/>
      </c>
      <c r="N1696" s="52">
        <f>IF(OR(A1696="",NOT(ISNUMBER(I1696))),"",IF(G1696=Lists!$B$5,I1696/2,IF(G1696=Lists!$B$7,I1696,0)))</f>
        <v/>
      </c>
      <c r="O1696" s="53">
        <f>IF(COUNTA(A1696:K1696)=0,"",IF(OR(A1696="",B1696="",C1696="",D1696="",E1696="",F1696="",G1696="",NOT(ISNUMBER(I1696))),"Incomplete",IF(COUNTIF(Lists!$H$4:$AA$4,C1696)=0,"Check category",IF(COUNTIF(INDEX(Lists!$H$6:$AA$45,0,MATCH(C1696,Lists!$H$4:$AA$4,0)),D1696)=0,"Check sub-category","OK"))))</f>
        <v/>
      </c>
      <c r="P1696">
        <f>IF(ISNUMBER(I1696),I1696+ROW()/10000000,"")</f>
        <v/>
      </c>
      <c r="Q1696">
        <f>IF(AND(ISNUMBER(P1696),ISNUMBER(A1696)),IF(AND(A1696&gt;=Dashboard!$Q$3,A1696&lt;=Dashboard!$Q$4,OR(J1696&lt;&gt;"Yes",Dashboard!$Q$15="Yes")),P1696,""),"")</f>
        <v/>
      </c>
    </row>
    <row r="1697">
      <c r="A1697" s="47" t="n"/>
      <c r="B1697" s="48" t="n"/>
      <c r="C1697" s="48" t="n"/>
      <c r="D1697" s="48" t="n"/>
      <c r="E1697" s="48" t="n"/>
      <c r="F1697" s="48" t="n"/>
      <c r="G1697" s="48" t="n"/>
      <c r="H1697" s="48" t="n"/>
      <c r="I1697" s="49" t="n"/>
      <c r="J1697" s="50" t="n"/>
      <c r="K1697" s="48" t="n"/>
      <c r="L1697" s="51">
        <f>IF(A1697="","",DATE(YEAR(A1697),MONTH(A1697),1))</f>
        <v/>
      </c>
      <c r="M1697" s="52">
        <f>IF(OR(A1697="",NOT(ISNUMBER(I1697))),"",IF(G1697=Lists!$B$5,I1697/2,IF(G1697=Lists!$B$6,I1697,0)))</f>
        <v/>
      </c>
      <c r="N1697" s="52">
        <f>IF(OR(A1697="",NOT(ISNUMBER(I1697))),"",IF(G1697=Lists!$B$5,I1697/2,IF(G1697=Lists!$B$7,I1697,0)))</f>
        <v/>
      </c>
      <c r="O1697" s="53">
        <f>IF(COUNTA(A1697:K1697)=0,"",IF(OR(A1697="",B1697="",C1697="",D1697="",E1697="",F1697="",G1697="",NOT(ISNUMBER(I1697))),"Incomplete",IF(COUNTIF(Lists!$H$4:$AA$4,C1697)=0,"Check category",IF(COUNTIF(INDEX(Lists!$H$6:$AA$45,0,MATCH(C1697,Lists!$H$4:$AA$4,0)),D1697)=0,"Check sub-category","OK"))))</f>
        <v/>
      </c>
      <c r="P1697">
        <f>IF(ISNUMBER(I1697),I1697+ROW()/10000000,"")</f>
        <v/>
      </c>
      <c r="Q1697">
        <f>IF(AND(ISNUMBER(P1697),ISNUMBER(A1697)),IF(AND(A1697&gt;=Dashboard!$Q$3,A1697&lt;=Dashboard!$Q$4,OR(J1697&lt;&gt;"Yes",Dashboard!$Q$15="Yes")),P1697,""),"")</f>
        <v/>
      </c>
    </row>
    <row r="1698">
      <c r="A1698" s="47" t="n"/>
      <c r="B1698" s="48" t="n"/>
      <c r="C1698" s="48" t="n"/>
      <c r="D1698" s="48" t="n"/>
      <c r="E1698" s="48" t="n"/>
      <c r="F1698" s="48" t="n"/>
      <c r="G1698" s="48" t="n"/>
      <c r="H1698" s="48" t="n"/>
      <c r="I1698" s="49" t="n"/>
      <c r="J1698" s="50" t="n"/>
      <c r="K1698" s="48" t="n"/>
      <c r="L1698" s="51">
        <f>IF(A1698="","",DATE(YEAR(A1698),MONTH(A1698),1))</f>
        <v/>
      </c>
      <c r="M1698" s="52">
        <f>IF(OR(A1698="",NOT(ISNUMBER(I1698))),"",IF(G1698=Lists!$B$5,I1698/2,IF(G1698=Lists!$B$6,I1698,0)))</f>
        <v/>
      </c>
      <c r="N1698" s="52">
        <f>IF(OR(A1698="",NOT(ISNUMBER(I1698))),"",IF(G1698=Lists!$B$5,I1698/2,IF(G1698=Lists!$B$7,I1698,0)))</f>
        <v/>
      </c>
      <c r="O1698" s="53">
        <f>IF(COUNTA(A1698:K1698)=0,"",IF(OR(A1698="",B1698="",C1698="",D1698="",E1698="",F1698="",G1698="",NOT(ISNUMBER(I1698))),"Incomplete",IF(COUNTIF(Lists!$H$4:$AA$4,C1698)=0,"Check category",IF(COUNTIF(INDEX(Lists!$H$6:$AA$45,0,MATCH(C1698,Lists!$H$4:$AA$4,0)),D1698)=0,"Check sub-category","OK"))))</f>
        <v/>
      </c>
      <c r="P1698">
        <f>IF(ISNUMBER(I1698),I1698+ROW()/10000000,"")</f>
        <v/>
      </c>
      <c r="Q1698">
        <f>IF(AND(ISNUMBER(P1698),ISNUMBER(A1698)),IF(AND(A1698&gt;=Dashboard!$Q$3,A1698&lt;=Dashboard!$Q$4,OR(J1698&lt;&gt;"Yes",Dashboard!$Q$15="Yes")),P1698,""),"")</f>
        <v/>
      </c>
    </row>
    <row r="1699">
      <c r="A1699" s="47" t="n"/>
      <c r="B1699" s="48" t="n"/>
      <c r="C1699" s="48" t="n"/>
      <c r="D1699" s="48" t="n"/>
      <c r="E1699" s="48" t="n"/>
      <c r="F1699" s="48" t="n"/>
      <c r="G1699" s="48" t="n"/>
      <c r="H1699" s="48" t="n"/>
      <c r="I1699" s="49" t="n"/>
      <c r="J1699" s="50" t="n"/>
      <c r="K1699" s="48" t="n"/>
      <c r="L1699" s="51">
        <f>IF(A1699="","",DATE(YEAR(A1699),MONTH(A1699),1))</f>
        <v/>
      </c>
      <c r="M1699" s="52">
        <f>IF(OR(A1699="",NOT(ISNUMBER(I1699))),"",IF(G1699=Lists!$B$5,I1699/2,IF(G1699=Lists!$B$6,I1699,0)))</f>
        <v/>
      </c>
      <c r="N1699" s="52">
        <f>IF(OR(A1699="",NOT(ISNUMBER(I1699))),"",IF(G1699=Lists!$B$5,I1699/2,IF(G1699=Lists!$B$7,I1699,0)))</f>
        <v/>
      </c>
      <c r="O1699" s="53">
        <f>IF(COUNTA(A1699:K1699)=0,"",IF(OR(A1699="",B1699="",C1699="",D1699="",E1699="",F1699="",G1699="",NOT(ISNUMBER(I1699))),"Incomplete",IF(COUNTIF(Lists!$H$4:$AA$4,C1699)=0,"Check category",IF(COUNTIF(INDEX(Lists!$H$6:$AA$45,0,MATCH(C1699,Lists!$H$4:$AA$4,0)),D1699)=0,"Check sub-category","OK"))))</f>
        <v/>
      </c>
      <c r="P1699">
        <f>IF(ISNUMBER(I1699),I1699+ROW()/10000000,"")</f>
        <v/>
      </c>
      <c r="Q1699">
        <f>IF(AND(ISNUMBER(P1699),ISNUMBER(A1699)),IF(AND(A1699&gt;=Dashboard!$Q$3,A1699&lt;=Dashboard!$Q$4,OR(J1699&lt;&gt;"Yes",Dashboard!$Q$15="Yes")),P1699,""),"")</f>
        <v/>
      </c>
    </row>
    <row r="1700">
      <c r="A1700" s="47" t="n"/>
      <c r="B1700" s="48" t="n"/>
      <c r="C1700" s="48" t="n"/>
      <c r="D1700" s="48" t="n"/>
      <c r="E1700" s="48" t="n"/>
      <c r="F1700" s="48" t="n"/>
      <c r="G1700" s="48" t="n"/>
      <c r="H1700" s="48" t="n"/>
      <c r="I1700" s="49" t="n"/>
      <c r="J1700" s="50" t="n"/>
      <c r="K1700" s="48" t="n"/>
      <c r="L1700" s="51">
        <f>IF(A1700="","",DATE(YEAR(A1700),MONTH(A1700),1))</f>
        <v/>
      </c>
      <c r="M1700" s="52">
        <f>IF(OR(A1700="",NOT(ISNUMBER(I1700))),"",IF(G1700=Lists!$B$5,I1700/2,IF(G1700=Lists!$B$6,I1700,0)))</f>
        <v/>
      </c>
      <c r="N1700" s="52">
        <f>IF(OR(A1700="",NOT(ISNUMBER(I1700))),"",IF(G1700=Lists!$B$5,I1700/2,IF(G1700=Lists!$B$7,I1700,0)))</f>
        <v/>
      </c>
      <c r="O1700" s="53">
        <f>IF(COUNTA(A1700:K1700)=0,"",IF(OR(A1700="",B1700="",C1700="",D1700="",E1700="",F1700="",G1700="",NOT(ISNUMBER(I1700))),"Incomplete",IF(COUNTIF(Lists!$H$4:$AA$4,C1700)=0,"Check category",IF(COUNTIF(INDEX(Lists!$H$6:$AA$45,0,MATCH(C1700,Lists!$H$4:$AA$4,0)),D1700)=0,"Check sub-category","OK"))))</f>
        <v/>
      </c>
      <c r="P1700">
        <f>IF(ISNUMBER(I1700),I1700+ROW()/10000000,"")</f>
        <v/>
      </c>
      <c r="Q1700">
        <f>IF(AND(ISNUMBER(P1700),ISNUMBER(A1700)),IF(AND(A1700&gt;=Dashboard!$Q$3,A1700&lt;=Dashboard!$Q$4,OR(J1700&lt;&gt;"Yes",Dashboard!$Q$15="Yes")),P1700,""),"")</f>
        <v/>
      </c>
    </row>
    <row r="1701">
      <c r="A1701" s="47" t="n"/>
      <c r="B1701" s="48" t="n"/>
      <c r="C1701" s="48" t="n"/>
      <c r="D1701" s="48" t="n"/>
      <c r="E1701" s="48" t="n"/>
      <c r="F1701" s="48" t="n"/>
      <c r="G1701" s="48" t="n"/>
      <c r="H1701" s="48" t="n"/>
      <c r="I1701" s="49" t="n"/>
      <c r="J1701" s="50" t="n"/>
      <c r="K1701" s="48" t="n"/>
      <c r="L1701" s="51">
        <f>IF(A1701="","",DATE(YEAR(A1701),MONTH(A1701),1))</f>
        <v/>
      </c>
      <c r="M1701" s="52">
        <f>IF(OR(A1701="",NOT(ISNUMBER(I1701))),"",IF(G1701=Lists!$B$5,I1701/2,IF(G1701=Lists!$B$6,I1701,0)))</f>
        <v/>
      </c>
      <c r="N1701" s="52">
        <f>IF(OR(A1701="",NOT(ISNUMBER(I1701))),"",IF(G1701=Lists!$B$5,I1701/2,IF(G1701=Lists!$B$7,I1701,0)))</f>
        <v/>
      </c>
      <c r="O1701" s="53">
        <f>IF(COUNTA(A1701:K1701)=0,"",IF(OR(A1701="",B1701="",C1701="",D1701="",E1701="",F1701="",G1701="",NOT(ISNUMBER(I1701))),"Incomplete",IF(COUNTIF(Lists!$H$4:$AA$4,C1701)=0,"Check category",IF(COUNTIF(INDEX(Lists!$H$6:$AA$45,0,MATCH(C1701,Lists!$H$4:$AA$4,0)),D1701)=0,"Check sub-category","OK"))))</f>
        <v/>
      </c>
      <c r="P1701">
        <f>IF(ISNUMBER(I1701),I1701+ROW()/10000000,"")</f>
        <v/>
      </c>
      <c r="Q1701">
        <f>IF(AND(ISNUMBER(P1701),ISNUMBER(A1701)),IF(AND(A1701&gt;=Dashboard!$Q$3,A1701&lt;=Dashboard!$Q$4,OR(J1701&lt;&gt;"Yes",Dashboard!$Q$15="Yes")),P1701,""),"")</f>
        <v/>
      </c>
    </row>
    <row r="1702">
      <c r="A1702" s="47" t="n"/>
      <c r="B1702" s="48" t="n"/>
      <c r="C1702" s="48" t="n"/>
      <c r="D1702" s="48" t="n"/>
      <c r="E1702" s="48" t="n"/>
      <c r="F1702" s="48" t="n"/>
      <c r="G1702" s="48" t="n"/>
      <c r="H1702" s="48" t="n"/>
      <c r="I1702" s="49" t="n"/>
      <c r="J1702" s="50" t="n"/>
      <c r="K1702" s="48" t="n"/>
      <c r="L1702" s="51">
        <f>IF(A1702="","",DATE(YEAR(A1702),MONTH(A1702),1))</f>
        <v/>
      </c>
      <c r="M1702" s="52">
        <f>IF(OR(A1702="",NOT(ISNUMBER(I1702))),"",IF(G1702=Lists!$B$5,I1702/2,IF(G1702=Lists!$B$6,I1702,0)))</f>
        <v/>
      </c>
      <c r="N1702" s="52">
        <f>IF(OR(A1702="",NOT(ISNUMBER(I1702))),"",IF(G1702=Lists!$B$5,I1702/2,IF(G1702=Lists!$B$7,I1702,0)))</f>
        <v/>
      </c>
      <c r="O1702" s="53">
        <f>IF(COUNTA(A1702:K1702)=0,"",IF(OR(A1702="",B1702="",C1702="",D1702="",E1702="",F1702="",G1702="",NOT(ISNUMBER(I1702))),"Incomplete",IF(COUNTIF(Lists!$H$4:$AA$4,C1702)=0,"Check category",IF(COUNTIF(INDEX(Lists!$H$6:$AA$45,0,MATCH(C1702,Lists!$H$4:$AA$4,0)),D1702)=0,"Check sub-category","OK"))))</f>
        <v/>
      </c>
      <c r="P1702">
        <f>IF(ISNUMBER(I1702),I1702+ROW()/10000000,"")</f>
        <v/>
      </c>
      <c r="Q1702">
        <f>IF(AND(ISNUMBER(P1702),ISNUMBER(A1702)),IF(AND(A1702&gt;=Dashboard!$Q$3,A1702&lt;=Dashboard!$Q$4,OR(J1702&lt;&gt;"Yes",Dashboard!$Q$15="Yes")),P1702,""),"")</f>
        <v/>
      </c>
    </row>
    <row r="1703">
      <c r="A1703" s="47" t="n"/>
      <c r="B1703" s="48" t="n"/>
      <c r="C1703" s="48" t="n"/>
      <c r="D1703" s="48" t="n"/>
      <c r="E1703" s="48" t="n"/>
      <c r="F1703" s="48" t="n"/>
      <c r="G1703" s="48" t="n"/>
      <c r="H1703" s="48" t="n"/>
      <c r="I1703" s="49" t="n"/>
      <c r="J1703" s="50" t="n"/>
      <c r="K1703" s="48" t="n"/>
      <c r="L1703" s="51">
        <f>IF(A1703="","",DATE(YEAR(A1703),MONTH(A1703),1))</f>
        <v/>
      </c>
      <c r="M1703" s="52">
        <f>IF(OR(A1703="",NOT(ISNUMBER(I1703))),"",IF(G1703=Lists!$B$5,I1703/2,IF(G1703=Lists!$B$6,I1703,0)))</f>
        <v/>
      </c>
      <c r="N1703" s="52">
        <f>IF(OR(A1703="",NOT(ISNUMBER(I1703))),"",IF(G1703=Lists!$B$5,I1703/2,IF(G1703=Lists!$B$7,I1703,0)))</f>
        <v/>
      </c>
      <c r="O1703" s="53">
        <f>IF(COUNTA(A1703:K1703)=0,"",IF(OR(A1703="",B1703="",C1703="",D1703="",E1703="",F1703="",G1703="",NOT(ISNUMBER(I1703))),"Incomplete",IF(COUNTIF(Lists!$H$4:$AA$4,C1703)=0,"Check category",IF(COUNTIF(INDEX(Lists!$H$6:$AA$45,0,MATCH(C1703,Lists!$H$4:$AA$4,0)),D1703)=0,"Check sub-category","OK"))))</f>
        <v/>
      </c>
      <c r="P1703">
        <f>IF(ISNUMBER(I1703),I1703+ROW()/10000000,"")</f>
        <v/>
      </c>
      <c r="Q1703">
        <f>IF(AND(ISNUMBER(P1703),ISNUMBER(A1703)),IF(AND(A1703&gt;=Dashboard!$Q$3,A1703&lt;=Dashboard!$Q$4,OR(J1703&lt;&gt;"Yes",Dashboard!$Q$15="Yes")),P1703,""),"")</f>
        <v/>
      </c>
    </row>
    <row r="1704">
      <c r="A1704" s="47" t="n"/>
      <c r="B1704" s="48" t="n"/>
      <c r="C1704" s="48" t="n"/>
      <c r="D1704" s="48" t="n"/>
      <c r="E1704" s="48" t="n"/>
      <c r="F1704" s="48" t="n"/>
      <c r="G1704" s="48" t="n"/>
      <c r="H1704" s="48" t="n"/>
      <c r="I1704" s="49" t="n"/>
      <c r="J1704" s="50" t="n"/>
      <c r="K1704" s="48" t="n"/>
      <c r="L1704" s="51">
        <f>IF(A1704="","",DATE(YEAR(A1704),MONTH(A1704),1))</f>
        <v/>
      </c>
      <c r="M1704" s="52">
        <f>IF(OR(A1704="",NOT(ISNUMBER(I1704))),"",IF(G1704=Lists!$B$5,I1704/2,IF(G1704=Lists!$B$6,I1704,0)))</f>
        <v/>
      </c>
      <c r="N1704" s="52">
        <f>IF(OR(A1704="",NOT(ISNUMBER(I1704))),"",IF(G1704=Lists!$B$5,I1704/2,IF(G1704=Lists!$B$7,I1704,0)))</f>
        <v/>
      </c>
      <c r="O1704" s="53">
        <f>IF(COUNTA(A1704:K1704)=0,"",IF(OR(A1704="",B1704="",C1704="",D1704="",E1704="",F1704="",G1704="",NOT(ISNUMBER(I1704))),"Incomplete",IF(COUNTIF(Lists!$H$4:$AA$4,C1704)=0,"Check category",IF(COUNTIF(INDEX(Lists!$H$6:$AA$45,0,MATCH(C1704,Lists!$H$4:$AA$4,0)),D1704)=0,"Check sub-category","OK"))))</f>
        <v/>
      </c>
      <c r="P1704">
        <f>IF(ISNUMBER(I1704),I1704+ROW()/10000000,"")</f>
        <v/>
      </c>
      <c r="Q1704">
        <f>IF(AND(ISNUMBER(P1704),ISNUMBER(A1704)),IF(AND(A1704&gt;=Dashboard!$Q$3,A1704&lt;=Dashboard!$Q$4,OR(J1704&lt;&gt;"Yes",Dashboard!$Q$15="Yes")),P1704,""),"")</f>
        <v/>
      </c>
    </row>
    <row r="1705">
      <c r="A1705" s="47" t="n"/>
      <c r="B1705" s="48" t="n"/>
      <c r="C1705" s="48" t="n"/>
      <c r="D1705" s="48" t="n"/>
      <c r="E1705" s="48" t="n"/>
      <c r="F1705" s="48" t="n"/>
      <c r="G1705" s="48" t="n"/>
      <c r="H1705" s="48" t="n"/>
      <c r="I1705" s="49" t="n"/>
      <c r="J1705" s="50" t="n"/>
      <c r="K1705" s="48" t="n"/>
      <c r="L1705" s="51">
        <f>IF(A1705="","",DATE(YEAR(A1705),MONTH(A1705),1))</f>
        <v/>
      </c>
      <c r="M1705" s="52">
        <f>IF(OR(A1705="",NOT(ISNUMBER(I1705))),"",IF(G1705=Lists!$B$5,I1705/2,IF(G1705=Lists!$B$6,I1705,0)))</f>
        <v/>
      </c>
      <c r="N1705" s="52">
        <f>IF(OR(A1705="",NOT(ISNUMBER(I1705))),"",IF(G1705=Lists!$B$5,I1705/2,IF(G1705=Lists!$B$7,I1705,0)))</f>
        <v/>
      </c>
      <c r="O1705" s="53">
        <f>IF(COUNTA(A1705:K1705)=0,"",IF(OR(A1705="",B1705="",C1705="",D1705="",E1705="",F1705="",G1705="",NOT(ISNUMBER(I1705))),"Incomplete",IF(COUNTIF(Lists!$H$4:$AA$4,C1705)=0,"Check category",IF(COUNTIF(INDEX(Lists!$H$6:$AA$45,0,MATCH(C1705,Lists!$H$4:$AA$4,0)),D1705)=0,"Check sub-category","OK"))))</f>
        <v/>
      </c>
      <c r="P1705">
        <f>IF(ISNUMBER(I1705),I1705+ROW()/10000000,"")</f>
        <v/>
      </c>
      <c r="Q1705">
        <f>IF(AND(ISNUMBER(P1705),ISNUMBER(A1705)),IF(AND(A1705&gt;=Dashboard!$Q$3,A1705&lt;=Dashboard!$Q$4,OR(J1705&lt;&gt;"Yes",Dashboard!$Q$15="Yes")),P1705,""),"")</f>
        <v/>
      </c>
    </row>
    <row r="1706">
      <c r="A1706" s="47" t="n"/>
      <c r="B1706" s="48" t="n"/>
      <c r="C1706" s="48" t="n"/>
      <c r="D1706" s="48" t="n"/>
      <c r="E1706" s="48" t="n"/>
      <c r="F1706" s="48" t="n"/>
      <c r="G1706" s="48" t="n"/>
      <c r="H1706" s="48" t="n"/>
      <c r="I1706" s="49" t="n"/>
      <c r="J1706" s="50" t="n"/>
      <c r="K1706" s="48" t="n"/>
      <c r="L1706" s="51">
        <f>IF(A1706="","",DATE(YEAR(A1706),MONTH(A1706),1))</f>
        <v/>
      </c>
      <c r="M1706" s="52">
        <f>IF(OR(A1706="",NOT(ISNUMBER(I1706))),"",IF(G1706=Lists!$B$5,I1706/2,IF(G1706=Lists!$B$6,I1706,0)))</f>
        <v/>
      </c>
      <c r="N1706" s="52">
        <f>IF(OR(A1706="",NOT(ISNUMBER(I1706))),"",IF(G1706=Lists!$B$5,I1706/2,IF(G1706=Lists!$B$7,I1706,0)))</f>
        <v/>
      </c>
      <c r="O1706" s="53">
        <f>IF(COUNTA(A1706:K1706)=0,"",IF(OR(A1706="",B1706="",C1706="",D1706="",E1706="",F1706="",G1706="",NOT(ISNUMBER(I1706))),"Incomplete",IF(COUNTIF(Lists!$H$4:$AA$4,C1706)=0,"Check category",IF(COUNTIF(INDEX(Lists!$H$6:$AA$45,0,MATCH(C1706,Lists!$H$4:$AA$4,0)),D1706)=0,"Check sub-category","OK"))))</f>
        <v/>
      </c>
      <c r="P1706">
        <f>IF(ISNUMBER(I1706),I1706+ROW()/10000000,"")</f>
        <v/>
      </c>
      <c r="Q1706">
        <f>IF(AND(ISNUMBER(P1706),ISNUMBER(A1706)),IF(AND(A1706&gt;=Dashboard!$Q$3,A1706&lt;=Dashboard!$Q$4,OR(J1706&lt;&gt;"Yes",Dashboard!$Q$15="Yes")),P1706,""),"")</f>
        <v/>
      </c>
    </row>
    <row r="1707">
      <c r="A1707" s="47" t="n"/>
      <c r="B1707" s="48" t="n"/>
      <c r="C1707" s="48" t="n"/>
      <c r="D1707" s="48" t="n"/>
      <c r="E1707" s="48" t="n"/>
      <c r="F1707" s="48" t="n"/>
      <c r="G1707" s="48" t="n"/>
      <c r="H1707" s="48" t="n"/>
      <c r="I1707" s="49" t="n"/>
      <c r="J1707" s="50" t="n"/>
      <c r="K1707" s="48" t="n"/>
      <c r="L1707" s="51">
        <f>IF(A1707="","",DATE(YEAR(A1707),MONTH(A1707),1))</f>
        <v/>
      </c>
      <c r="M1707" s="52">
        <f>IF(OR(A1707="",NOT(ISNUMBER(I1707))),"",IF(G1707=Lists!$B$5,I1707/2,IF(G1707=Lists!$B$6,I1707,0)))</f>
        <v/>
      </c>
      <c r="N1707" s="52">
        <f>IF(OR(A1707="",NOT(ISNUMBER(I1707))),"",IF(G1707=Lists!$B$5,I1707/2,IF(G1707=Lists!$B$7,I1707,0)))</f>
        <v/>
      </c>
      <c r="O1707" s="53">
        <f>IF(COUNTA(A1707:K1707)=0,"",IF(OR(A1707="",B1707="",C1707="",D1707="",E1707="",F1707="",G1707="",NOT(ISNUMBER(I1707))),"Incomplete",IF(COUNTIF(Lists!$H$4:$AA$4,C1707)=0,"Check category",IF(COUNTIF(INDEX(Lists!$H$6:$AA$45,0,MATCH(C1707,Lists!$H$4:$AA$4,0)),D1707)=0,"Check sub-category","OK"))))</f>
        <v/>
      </c>
      <c r="P1707">
        <f>IF(ISNUMBER(I1707),I1707+ROW()/10000000,"")</f>
        <v/>
      </c>
      <c r="Q1707">
        <f>IF(AND(ISNUMBER(P1707),ISNUMBER(A1707)),IF(AND(A1707&gt;=Dashboard!$Q$3,A1707&lt;=Dashboard!$Q$4,OR(J1707&lt;&gt;"Yes",Dashboard!$Q$15="Yes")),P1707,""),"")</f>
        <v/>
      </c>
    </row>
    <row r="1708">
      <c r="A1708" s="47" t="n"/>
      <c r="B1708" s="48" t="n"/>
      <c r="C1708" s="48" t="n"/>
      <c r="D1708" s="48" t="n"/>
      <c r="E1708" s="48" t="n"/>
      <c r="F1708" s="48" t="n"/>
      <c r="G1708" s="48" t="n"/>
      <c r="H1708" s="48" t="n"/>
      <c r="I1708" s="49" t="n"/>
      <c r="J1708" s="50" t="n"/>
      <c r="K1708" s="48" t="n"/>
      <c r="L1708" s="51">
        <f>IF(A1708="","",DATE(YEAR(A1708),MONTH(A1708),1))</f>
        <v/>
      </c>
      <c r="M1708" s="52">
        <f>IF(OR(A1708="",NOT(ISNUMBER(I1708))),"",IF(G1708=Lists!$B$5,I1708/2,IF(G1708=Lists!$B$6,I1708,0)))</f>
        <v/>
      </c>
      <c r="N1708" s="52">
        <f>IF(OR(A1708="",NOT(ISNUMBER(I1708))),"",IF(G1708=Lists!$B$5,I1708/2,IF(G1708=Lists!$B$7,I1708,0)))</f>
        <v/>
      </c>
      <c r="O1708" s="53">
        <f>IF(COUNTA(A1708:K1708)=0,"",IF(OR(A1708="",B1708="",C1708="",D1708="",E1708="",F1708="",G1708="",NOT(ISNUMBER(I1708))),"Incomplete",IF(COUNTIF(Lists!$H$4:$AA$4,C1708)=0,"Check category",IF(COUNTIF(INDEX(Lists!$H$6:$AA$45,0,MATCH(C1708,Lists!$H$4:$AA$4,0)),D1708)=0,"Check sub-category","OK"))))</f>
        <v/>
      </c>
      <c r="P1708">
        <f>IF(ISNUMBER(I1708),I1708+ROW()/10000000,"")</f>
        <v/>
      </c>
      <c r="Q1708">
        <f>IF(AND(ISNUMBER(P1708),ISNUMBER(A1708)),IF(AND(A1708&gt;=Dashboard!$Q$3,A1708&lt;=Dashboard!$Q$4,OR(J1708&lt;&gt;"Yes",Dashboard!$Q$15="Yes")),P1708,""),"")</f>
        <v/>
      </c>
    </row>
    <row r="1709">
      <c r="A1709" s="47" t="n"/>
      <c r="B1709" s="48" t="n"/>
      <c r="C1709" s="48" t="n"/>
      <c r="D1709" s="48" t="n"/>
      <c r="E1709" s="48" t="n"/>
      <c r="F1709" s="48" t="n"/>
      <c r="G1709" s="48" t="n"/>
      <c r="H1709" s="48" t="n"/>
      <c r="I1709" s="49" t="n"/>
      <c r="J1709" s="50" t="n"/>
      <c r="K1709" s="48" t="n"/>
      <c r="L1709" s="51">
        <f>IF(A1709="","",DATE(YEAR(A1709),MONTH(A1709),1))</f>
        <v/>
      </c>
      <c r="M1709" s="52">
        <f>IF(OR(A1709="",NOT(ISNUMBER(I1709))),"",IF(G1709=Lists!$B$5,I1709/2,IF(G1709=Lists!$B$6,I1709,0)))</f>
        <v/>
      </c>
      <c r="N1709" s="52">
        <f>IF(OR(A1709="",NOT(ISNUMBER(I1709))),"",IF(G1709=Lists!$B$5,I1709/2,IF(G1709=Lists!$B$7,I1709,0)))</f>
        <v/>
      </c>
      <c r="O1709" s="53">
        <f>IF(COUNTA(A1709:K1709)=0,"",IF(OR(A1709="",B1709="",C1709="",D1709="",E1709="",F1709="",G1709="",NOT(ISNUMBER(I1709))),"Incomplete",IF(COUNTIF(Lists!$H$4:$AA$4,C1709)=0,"Check category",IF(COUNTIF(INDEX(Lists!$H$6:$AA$45,0,MATCH(C1709,Lists!$H$4:$AA$4,0)),D1709)=0,"Check sub-category","OK"))))</f>
        <v/>
      </c>
      <c r="P1709">
        <f>IF(ISNUMBER(I1709),I1709+ROW()/10000000,"")</f>
        <v/>
      </c>
      <c r="Q1709">
        <f>IF(AND(ISNUMBER(P1709),ISNUMBER(A1709)),IF(AND(A1709&gt;=Dashboard!$Q$3,A1709&lt;=Dashboard!$Q$4,OR(J1709&lt;&gt;"Yes",Dashboard!$Q$15="Yes")),P1709,""),"")</f>
        <v/>
      </c>
    </row>
    <row r="1710">
      <c r="A1710" s="47" t="n"/>
      <c r="B1710" s="48" t="n"/>
      <c r="C1710" s="48" t="n"/>
      <c r="D1710" s="48" t="n"/>
      <c r="E1710" s="48" t="n"/>
      <c r="F1710" s="48" t="n"/>
      <c r="G1710" s="48" t="n"/>
      <c r="H1710" s="48" t="n"/>
      <c r="I1710" s="49" t="n"/>
      <c r="J1710" s="50" t="n"/>
      <c r="K1710" s="48" t="n"/>
      <c r="L1710" s="51">
        <f>IF(A1710="","",DATE(YEAR(A1710),MONTH(A1710),1))</f>
        <v/>
      </c>
      <c r="M1710" s="52">
        <f>IF(OR(A1710="",NOT(ISNUMBER(I1710))),"",IF(G1710=Lists!$B$5,I1710/2,IF(G1710=Lists!$B$6,I1710,0)))</f>
        <v/>
      </c>
      <c r="N1710" s="52">
        <f>IF(OR(A1710="",NOT(ISNUMBER(I1710))),"",IF(G1710=Lists!$B$5,I1710/2,IF(G1710=Lists!$B$7,I1710,0)))</f>
        <v/>
      </c>
      <c r="O1710" s="53">
        <f>IF(COUNTA(A1710:K1710)=0,"",IF(OR(A1710="",B1710="",C1710="",D1710="",E1710="",F1710="",G1710="",NOT(ISNUMBER(I1710))),"Incomplete",IF(COUNTIF(Lists!$H$4:$AA$4,C1710)=0,"Check category",IF(COUNTIF(INDEX(Lists!$H$6:$AA$45,0,MATCH(C1710,Lists!$H$4:$AA$4,0)),D1710)=0,"Check sub-category","OK"))))</f>
        <v/>
      </c>
      <c r="P1710">
        <f>IF(ISNUMBER(I1710),I1710+ROW()/10000000,"")</f>
        <v/>
      </c>
      <c r="Q1710">
        <f>IF(AND(ISNUMBER(P1710),ISNUMBER(A1710)),IF(AND(A1710&gt;=Dashboard!$Q$3,A1710&lt;=Dashboard!$Q$4,OR(J1710&lt;&gt;"Yes",Dashboard!$Q$15="Yes")),P1710,""),"")</f>
        <v/>
      </c>
    </row>
    <row r="1711">
      <c r="A1711" s="47" t="n"/>
      <c r="B1711" s="48" t="n"/>
      <c r="C1711" s="48" t="n"/>
      <c r="D1711" s="48" t="n"/>
      <c r="E1711" s="48" t="n"/>
      <c r="F1711" s="48" t="n"/>
      <c r="G1711" s="48" t="n"/>
      <c r="H1711" s="48" t="n"/>
      <c r="I1711" s="49" t="n"/>
      <c r="J1711" s="50" t="n"/>
      <c r="K1711" s="48" t="n"/>
      <c r="L1711" s="51">
        <f>IF(A1711="","",DATE(YEAR(A1711),MONTH(A1711),1))</f>
        <v/>
      </c>
      <c r="M1711" s="52">
        <f>IF(OR(A1711="",NOT(ISNUMBER(I1711))),"",IF(G1711=Lists!$B$5,I1711/2,IF(G1711=Lists!$B$6,I1711,0)))</f>
        <v/>
      </c>
      <c r="N1711" s="52">
        <f>IF(OR(A1711="",NOT(ISNUMBER(I1711))),"",IF(G1711=Lists!$B$5,I1711/2,IF(G1711=Lists!$B$7,I1711,0)))</f>
        <v/>
      </c>
      <c r="O1711" s="53">
        <f>IF(COUNTA(A1711:K1711)=0,"",IF(OR(A1711="",B1711="",C1711="",D1711="",E1711="",F1711="",G1711="",NOT(ISNUMBER(I1711))),"Incomplete",IF(COUNTIF(Lists!$H$4:$AA$4,C1711)=0,"Check category",IF(COUNTIF(INDEX(Lists!$H$6:$AA$45,0,MATCH(C1711,Lists!$H$4:$AA$4,0)),D1711)=0,"Check sub-category","OK"))))</f>
        <v/>
      </c>
      <c r="P1711">
        <f>IF(ISNUMBER(I1711),I1711+ROW()/10000000,"")</f>
        <v/>
      </c>
      <c r="Q1711">
        <f>IF(AND(ISNUMBER(P1711),ISNUMBER(A1711)),IF(AND(A1711&gt;=Dashboard!$Q$3,A1711&lt;=Dashboard!$Q$4,OR(J1711&lt;&gt;"Yes",Dashboard!$Q$15="Yes")),P1711,""),"")</f>
        <v/>
      </c>
    </row>
    <row r="1712">
      <c r="A1712" s="47" t="n"/>
      <c r="B1712" s="48" t="n"/>
      <c r="C1712" s="48" t="n"/>
      <c r="D1712" s="48" t="n"/>
      <c r="E1712" s="48" t="n"/>
      <c r="F1712" s="48" t="n"/>
      <c r="G1712" s="48" t="n"/>
      <c r="H1712" s="48" t="n"/>
      <c r="I1712" s="49" t="n"/>
      <c r="J1712" s="50" t="n"/>
      <c r="K1712" s="48" t="n"/>
      <c r="L1712" s="51">
        <f>IF(A1712="","",DATE(YEAR(A1712),MONTH(A1712),1))</f>
        <v/>
      </c>
      <c r="M1712" s="52">
        <f>IF(OR(A1712="",NOT(ISNUMBER(I1712))),"",IF(G1712=Lists!$B$5,I1712/2,IF(G1712=Lists!$B$6,I1712,0)))</f>
        <v/>
      </c>
      <c r="N1712" s="52">
        <f>IF(OR(A1712="",NOT(ISNUMBER(I1712))),"",IF(G1712=Lists!$B$5,I1712/2,IF(G1712=Lists!$B$7,I1712,0)))</f>
        <v/>
      </c>
      <c r="O1712" s="53">
        <f>IF(COUNTA(A1712:K1712)=0,"",IF(OR(A1712="",B1712="",C1712="",D1712="",E1712="",F1712="",G1712="",NOT(ISNUMBER(I1712))),"Incomplete",IF(COUNTIF(Lists!$H$4:$AA$4,C1712)=0,"Check category",IF(COUNTIF(INDEX(Lists!$H$6:$AA$45,0,MATCH(C1712,Lists!$H$4:$AA$4,0)),D1712)=0,"Check sub-category","OK"))))</f>
        <v/>
      </c>
      <c r="P1712">
        <f>IF(ISNUMBER(I1712),I1712+ROW()/10000000,"")</f>
        <v/>
      </c>
      <c r="Q1712">
        <f>IF(AND(ISNUMBER(P1712),ISNUMBER(A1712)),IF(AND(A1712&gt;=Dashboard!$Q$3,A1712&lt;=Dashboard!$Q$4,OR(J1712&lt;&gt;"Yes",Dashboard!$Q$15="Yes")),P1712,""),"")</f>
        <v/>
      </c>
    </row>
    <row r="1713">
      <c r="A1713" s="47" t="n"/>
      <c r="B1713" s="48" t="n"/>
      <c r="C1713" s="48" t="n"/>
      <c r="D1713" s="48" t="n"/>
      <c r="E1713" s="48" t="n"/>
      <c r="F1713" s="48" t="n"/>
      <c r="G1713" s="48" t="n"/>
      <c r="H1713" s="48" t="n"/>
      <c r="I1713" s="49" t="n"/>
      <c r="J1713" s="50" t="n"/>
      <c r="K1713" s="48" t="n"/>
      <c r="L1713" s="51">
        <f>IF(A1713="","",DATE(YEAR(A1713),MONTH(A1713),1))</f>
        <v/>
      </c>
      <c r="M1713" s="52">
        <f>IF(OR(A1713="",NOT(ISNUMBER(I1713))),"",IF(G1713=Lists!$B$5,I1713/2,IF(G1713=Lists!$B$6,I1713,0)))</f>
        <v/>
      </c>
      <c r="N1713" s="52">
        <f>IF(OR(A1713="",NOT(ISNUMBER(I1713))),"",IF(G1713=Lists!$B$5,I1713/2,IF(G1713=Lists!$B$7,I1713,0)))</f>
        <v/>
      </c>
      <c r="O1713" s="53">
        <f>IF(COUNTA(A1713:K1713)=0,"",IF(OR(A1713="",B1713="",C1713="",D1713="",E1713="",F1713="",G1713="",NOT(ISNUMBER(I1713))),"Incomplete",IF(COUNTIF(Lists!$H$4:$AA$4,C1713)=0,"Check category",IF(COUNTIF(INDEX(Lists!$H$6:$AA$45,0,MATCH(C1713,Lists!$H$4:$AA$4,0)),D1713)=0,"Check sub-category","OK"))))</f>
        <v/>
      </c>
      <c r="P1713">
        <f>IF(ISNUMBER(I1713),I1713+ROW()/10000000,"")</f>
        <v/>
      </c>
      <c r="Q1713">
        <f>IF(AND(ISNUMBER(P1713),ISNUMBER(A1713)),IF(AND(A1713&gt;=Dashboard!$Q$3,A1713&lt;=Dashboard!$Q$4,OR(J1713&lt;&gt;"Yes",Dashboard!$Q$15="Yes")),P1713,""),"")</f>
        <v/>
      </c>
    </row>
    <row r="1714">
      <c r="A1714" s="47" t="n"/>
      <c r="B1714" s="48" t="n"/>
      <c r="C1714" s="48" t="n"/>
      <c r="D1714" s="48" t="n"/>
      <c r="E1714" s="48" t="n"/>
      <c r="F1714" s="48" t="n"/>
      <c r="G1714" s="48" t="n"/>
      <c r="H1714" s="48" t="n"/>
      <c r="I1714" s="49" t="n"/>
      <c r="J1714" s="50" t="n"/>
      <c r="K1714" s="48" t="n"/>
      <c r="L1714" s="51">
        <f>IF(A1714="","",DATE(YEAR(A1714),MONTH(A1714),1))</f>
        <v/>
      </c>
      <c r="M1714" s="52">
        <f>IF(OR(A1714="",NOT(ISNUMBER(I1714))),"",IF(G1714=Lists!$B$5,I1714/2,IF(G1714=Lists!$B$6,I1714,0)))</f>
        <v/>
      </c>
      <c r="N1714" s="52">
        <f>IF(OR(A1714="",NOT(ISNUMBER(I1714))),"",IF(G1714=Lists!$B$5,I1714/2,IF(G1714=Lists!$B$7,I1714,0)))</f>
        <v/>
      </c>
      <c r="O1714" s="53">
        <f>IF(COUNTA(A1714:K1714)=0,"",IF(OR(A1714="",B1714="",C1714="",D1714="",E1714="",F1714="",G1714="",NOT(ISNUMBER(I1714))),"Incomplete",IF(COUNTIF(Lists!$H$4:$AA$4,C1714)=0,"Check category",IF(COUNTIF(INDEX(Lists!$H$6:$AA$45,0,MATCH(C1714,Lists!$H$4:$AA$4,0)),D1714)=0,"Check sub-category","OK"))))</f>
        <v/>
      </c>
      <c r="P1714">
        <f>IF(ISNUMBER(I1714),I1714+ROW()/10000000,"")</f>
        <v/>
      </c>
      <c r="Q1714">
        <f>IF(AND(ISNUMBER(P1714),ISNUMBER(A1714)),IF(AND(A1714&gt;=Dashboard!$Q$3,A1714&lt;=Dashboard!$Q$4,OR(J1714&lt;&gt;"Yes",Dashboard!$Q$15="Yes")),P1714,""),"")</f>
        <v/>
      </c>
    </row>
    <row r="1715">
      <c r="A1715" s="47" t="n"/>
      <c r="B1715" s="48" t="n"/>
      <c r="C1715" s="48" t="n"/>
      <c r="D1715" s="48" t="n"/>
      <c r="E1715" s="48" t="n"/>
      <c r="F1715" s="48" t="n"/>
      <c r="G1715" s="48" t="n"/>
      <c r="H1715" s="48" t="n"/>
      <c r="I1715" s="49" t="n"/>
      <c r="J1715" s="50" t="n"/>
      <c r="K1715" s="48" t="n"/>
      <c r="L1715" s="51">
        <f>IF(A1715="","",DATE(YEAR(A1715),MONTH(A1715),1))</f>
        <v/>
      </c>
      <c r="M1715" s="52">
        <f>IF(OR(A1715="",NOT(ISNUMBER(I1715))),"",IF(G1715=Lists!$B$5,I1715/2,IF(G1715=Lists!$B$6,I1715,0)))</f>
        <v/>
      </c>
      <c r="N1715" s="52">
        <f>IF(OR(A1715="",NOT(ISNUMBER(I1715))),"",IF(G1715=Lists!$B$5,I1715/2,IF(G1715=Lists!$B$7,I1715,0)))</f>
        <v/>
      </c>
      <c r="O1715" s="53">
        <f>IF(COUNTA(A1715:K1715)=0,"",IF(OR(A1715="",B1715="",C1715="",D1715="",E1715="",F1715="",G1715="",NOT(ISNUMBER(I1715))),"Incomplete",IF(COUNTIF(Lists!$H$4:$AA$4,C1715)=0,"Check category",IF(COUNTIF(INDEX(Lists!$H$6:$AA$45,0,MATCH(C1715,Lists!$H$4:$AA$4,0)),D1715)=0,"Check sub-category","OK"))))</f>
        <v/>
      </c>
      <c r="P1715">
        <f>IF(ISNUMBER(I1715),I1715+ROW()/10000000,"")</f>
        <v/>
      </c>
      <c r="Q1715">
        <f>IF(AND(ISNUMBER(P1715),ISNUMBER(A1715)),IF(AND(A1715&gt;=Dashboard!$Q$3,A1715&lt;=Dashboard!$Q$4,OR(J1715&lt;&gt;"Yes",Dashboard!$Q$15="Yes")),P1715,""),"")</f>
        <v/>
      </c>
    </row>
    <row r="1716">
      <c r="A1716" s="47" t="n"/>
      <c r="B1716" s="48" t="n"/>
      <c r="C1716" s="48" t="n"/>
      <c r="D1716" s="48" t="n"/>
      <c r="E1716" s="48" t="n"/>
      <c r="F1716" s="48" t="n"/>
      <c r="G1716" s="48" t="n"/>
      <c r="H1716" s="48" t="n"/>
      <c r="I1716" s="49" t="n"/>
      <c r="J1716" s="50" t="n"/>
      <c r="K1716" s="48" t="n"/>
      <c r="L1716" s="51">
        <f>IF(A1716="","",DATE(YEAR(A1716),MONTH(A1716),1))</f>
        <v/>
      </c>
      <c r="M1716" s="52">
        <f>IF(OR(A1716="",NOT(ISNUMBER(I1716))),"",IF(G1716=Lists!$B$5,I1716/2,IF(G1716=Lists!$B$6,I1716,0)))</f>
        <v/>
      </c>
      <c r="N1716" s="52">
        <f>IF(OR(A1716="",NOT(ISNUMBER(I1716))),"",IF(G1716=Lists!$B$5,I1716/2,IF(G1716=Lists!$B$7,I1716,0)))</f>
        <v/>
      </c>
      <c r="O1716" s="53">
        <f>IF(COUNTA(A1716:K1716)=0,"",IF(OR(A1716="",B1716="",C1716="",D1716="",E1716="",F1716="",G1716="",NOT(ISNUMBER(I1716))),"Incomplete",IF(COUNTIF(Lists!$H$4:$AA$4,C1716)=0,"Check category",IF(COUNTIF(INDEX(Lists!$H$6:$AA$45,0,MATCH(C1716,Lists!$H$4:$AA$4,0)),D1716)=0,"Check sub-category","OK"))))</f>
        <v/>
      </c>
      <c r="P1716">
        <f>IF(ISNUMBER(I1716),I1716+ROW()/10000000,"")</f>
        <v/>
      </c>
      <c r="Q1716">
        <f>IF(AND(ISNUMBER(P1716),ISNUMBER(A1716)),IF(AND(A1716&gt;=Dashboard!$Q$3,A1716&lt;=Dashboard!$Q$4,OR(J1716&lt;&gt;"Yes",Dashboard!$Q$15="Yes")),P1716,""),"")</f>
        <v/>
      </c>
    </row>
    <row r="1717">
      <c r="A1717" s="47" t="n"/>
      <c r="B1717" s="48" t="n"/>
      <c r="C1717" s="48" t="n"/>
      <c r="D1717" s="48" t="n"/>
      <c r="E1717" s="48" t="n"/>
      <c r="F1717" s="48" t="n"/>
      <c r="G1717" s="48" t="n"/>
      <c r="H1717" s="48" t="n"/>
      <c r="I1717" s="49" t="n"/>
      <c r="J1717" s="50" t="n"/>
      <c r="K1717" s="48" t="n"/>
      <c r="L1717" s="51">
        <f>IF(A1717="","",DATE(YEAR(A1717),MONTH(A1717),1))</f>
        <v/>
      </c>
      <c r="M1717" s="52">
        <f>IF(OR(A1717="",NOT(ISNUMBER(I1717))),"",IF(G1717=Lists!$B$5,I1717/2,IF(G1717=Lists!$B$6,I1717,0)))</f>
        <v/>
      </c>
      <c r="N1717" s="52">
        <f>IF(OR(A1717="",NOT(ISNUMBER(I1717))),"",IF(G1717=Lists!$B$5,I1717/2,IF(G1717=Lists!$B$7,I1717,0)))</f>
        <v/>
      </c>
      <c r="O1717" s="53">
        <f>IF(COUNTA(A1717:K1717)=0,"",IF(OR(A1717="",B1717="",C1717="",D1717="",E1717="",F1717="",G1717="",NOT(ISNUMBER(I1717))),"Incomplete",IF(COUNTIF(Lists!$H$4:$AA$4,C1717)=0,"Check category",IF(COUNTIF(INDEX(Lists!$H$6:$AA$45,0,MATCH(C1717,Lists!$H$4:$AA$4,0)),D1717)=0,"Check sub-category","OK"))))</f>
        <v/>
      </c>
      <c r="P1717">
        <f>IF(ISNUMBER(I1717),I1717+ROW()/10000000,"")</f>
        <v/>
      </c>
      <c r="Q1717">
        <f>IF(AND(ISNUMBER(P1717),ISNUMBER(A1717)),IF(AND(A1717&gt;=Dashboard!$Q$3,A1717&lt;=Dashboard!$Q$4,OR(J1717&lt;&gt;"Yes",Dashboard!$Q$15="Yes")),P1717,""),"")</f>
        <v/>
      </c>
    </row>
    <row r="1718">
      <c r="A1718" s="47" t="n"/>
      <c r="B1718" s="48" t="n"/>
      <c r="C1718" s="48" t="n"/>
      <c r="D1718" s="48" t="n"/>
      <c r="E1718" s="48" t="n"/>
      <c r="F1718" s="48" t="n"/>
      <c r="G1718" s="48" t="n"/>
      <c r="H1718" s="48" t="n"/>
      <c r="I1718" s="49" t="n"/>
      <c r="J1718" s="50" t="n"/>
      <c r="K1718" s="48" t="n"/>
      <c r="L1718" s="51">
        <f>IF(A1718="","",DATE(YEAR(A1718),MONTH(A1718),1))</f>
        <v/>
      </c>
      <c r="M1718" s="52">
        <f>IF(OR(A1718="",NOT(ISNUMBER(I1718))),"",IF(G1718=Lists!$B$5,I1718/2,IF(G1718=Lists!$B$6,I1718,0)))</f>
        <v/>
      </c>
      <c r="N1718" s="52">
        <f>IF(OR(A1718="",NOT(ISNUMBER(I1718))),"",IF(G1718=Lists!$B$5,I1718/2,IF(G1718=Lists!$B$7,I1718,0)))</f>
        <v/>
      </c>
      <c r="O1718" s="53">
        <f>IF(COUNTA(A1718:K1718)=0,"",IF(OR(A1718="",B1718="",C1718="",D1718="",E1718="",F1718="",G1718="",NOT(ISNUMBER(I1718))),"Incomplete",IF(COUNTIF(Lists!$H$4:$AA$4,C1718)=0,"Check category",IF(COUNTIF(INDEX(Lists!$H$6:$AA$45,0,MATCH(C1718,Lists!$H$4:$AA$4,0)),D1718)=0,"Check sub-category","OK"))))</f>
        <v/>
      </c>
      <c r="P1718">
        <f>IF(ISNUMBER(I1718),I1718+ROW()/10000000,"")</f>
        <v/>
      </c>
      <c r="Q1718">
        <f>IF(AND(ISNUMBER(P1718),ISNUMBER(A1718)),IF(AND(A1718&gt;=Dashboard!$Q$3,A1718&lt;=Dashboard!$Q$4,OR(J1718&lt;&gt;"Yes",Dashboard!$Q$15="Yes")),P1718,""),"")</f>
        <v/>
      </c>
    </row>
    <row r="1719">
      <c r="A1719" s="47" t="n"/>
      <c r="B1719" s="48" t="n"/>
      <c r="C1719" s="48" t="n"/>
      <c r="D1719" s="48" t="n"/>
      <c r="E1719" s="48" t="n"/>
      <c r="F1719" s="48" t="n"/>
      <c r="G1719" s="48" t="n"/>
      <c r="H1719" s="48" t="n"/>
      <c r="I1719" s="49" t="n"/>
      <c r="J1719" s="50" t="n"/>
      <c r="K1719" s="48" t="n"/>
      <c r="L1719" s="51">
        <f>IF(A1719="","",DATE(YEAR(A1719),MONTH(A1719),1))</f>
        <v/>
      </c>
      <c r="M1719" s="52">
        <f>IF(OR(A1719="",NOT(ISNUMBER(I1719))),"",IF(G1719=Lists!$B$5,I1719/2,IF(G1719=Lists!$B$6,I1719,0)))</f>
        <v/>
      </c>
      <c r="N1719" s="52">
        <f>IF(OR(A1719="",NOT(ISNUMBER(I1719))),"",IF(G1719=Lists!$B$5,I1719/2,IF(G1719=Lists!$B$7,I1719,0)))</f>
        <v/>
      </c>
      <c r="O1719" s="53">
        <f>IF(COUNTA(A1719:K1719)=0,"",IF(OR(A1719="",B1719="",C1719="",D1719="",E1719="",F1719="",G1719="",NOT(ISNUMBER(I1719))),"Incomplete",IF(COUNTIF(Lists!$H$4:$AA$4,C1719)=0,"Check category",IF(COUNTIF(INDEX(Lists!$H$6:$AA$45,0,MATCH(C1719,Lists!$H$4:$AA$4,0)),D1719)=0,"Check sub-category","OK"))))</f>
        <v/>
      </c>
      <c r="P1719">
        <f>IF(ISNUMBER(I1719),I1719+ROW()/10000000,"")</f>
        <v/>
      </c>
      <c r="Q1719">
        <f>IF(AND(ISNUMBER(P1719),ISNUMBER(A1719)),IF(AND(A1719&gt;=Dashboard!$Q$3,A1719&lt;=Dashboard!$Q$4,OR(J1719&lt;&gt;"Yes",Dashboard!$Q$15="Yes")),P1719,""),"")</f>
        <v/>
      </c>
    </row>
    <row r="1720">
      <c r="A1720" s="47" t="n"/>
      <c r="B1720" s="48" t="n"/>
      <c r="C1720" s="48" t="n"/>
      <c r="D1720" s="48" t="n"/>
      <c r="E1720" s="48" t="n"/>
      <c r="F1720" s="48" t="n"/>
      <c r="G1720" s="48" t="n"/>
      <c r="H1720" s="48" t="n"/>
      <c r="I1720" s="49" t="n"/>
      <c r="J1720" s="50" t="n"/>
      <c r="K1720" s="48" t="n"/>
      <c r="L1720" s="51">
        <f>IF(A1720="","",DATE(YEAR(A1720),MONTH(A1720),1))</f>
        <v/>
      </c>
      <c r="M1720" s="52">
        <f>IF(OR(A1720="",NOT(ISNUMBER(I1720))),"",IF(G1720=Lists!$B$5,I1720/2,IF(G1720=Lists!$B$6,I1720,0)))</f>
        <v/>
      </c>
      <c r="N1720" s="52">
        <f>IF(OR(A1720="",NOT(ISNUMBER(I1720))),"",IF(G1720=Lists!$B$5,I1720/2,IF(G1720=Lists!$B$7,I1720,0)))</f>
        <v/>
      </c>
      <c r="O1720" s="53">
        <f>IF(COUNTA(A1720:K1720)=0,"",IF(OR(A1720="",B1720="",C1720="",D1720="",E1720="",F1720="",G1720="",NOT(ISNUMBER(I1720))),"Incomplete",IF(COUNTIF(Lists!$H$4:$AA$4,C1720)=0,"Check category",IF(COUNTIF(INDEX(Lists!$H$6:$AA$45,0,MATCH(C1720,Lists!$H$4:$AA$4,0)),D1720)=0,"Check sub-category","OK"))))</f>
        <v/>
      </c>
      <c r="P1720">
        <f>IF(ISNUMBER(I1720),I1720+ROW()/10000000,"")</f>
        <v/>
      </c>
      <c r="Q1720">
        <f>IF(AND(ISNUMBER(P1720),ISNUMBER(A1720)),IF(AND(A1720&gt;=Dashboard!$Q$3,A1720&lt;=Dashboard!$Q$4,OR(J1720&lt;&gt;"Yes",Dashboard!$Q$15="Yes")),P1720,""),"")</f>
        <v/>
      </c>
    </row>
    <row r="1721">
      <c r="A1721" s="47" t="n"/>
      <c r="B1721" s="48" t="n"/>
      <c r="C1721" s="48" t="n"/>
      <c r="D1721" s="48" t="n"/>
      <c r="E1721" s="48" t="n"/>
      <c r="F1721" s="48" t="n"/>
      <c r="G1721" s="48" t="n"/>
      <c r="H1721" s="48" t="n"/>
      <c r="I1721" s="49" t="n"/>
      <c r="J1721" s="50" t="n"/>
      <c r="K1721" s="48" t="n"/>
      <c r="L1721" s="51">
        <f>IF(A1721="","",DATE(YEAR(A1721),MONTH(A1721),1))</f>
        <v/>
      </c>
      <c r="M1721" s="52">
        <f>IF(OR(A1721="",NOT(ISNUMBER(I1721))),"",IF(G1721=Lists!$B$5,I1721/2,IF(G1721=Lists!$B$6,I1721,0)))</f>
        <v/>
      </c>
      <c r="N1721" s="52">
        <f>IF(OR(A1721="",NOT(ISNUMBER(I1721))),"",IF(G1721=Lists!$B$5,I1721/2,IF(G1721=Lists!$B$7,I1721,0)))</f>
        <v/>
      </c>
      <c r="O1721" s="53">
        <f>IF(COUNTA(A1721:K1721)=0,"",IF(OR(A1721="",B1721="",C1721="",D1721="",E1721="",F1721="",G1721="",NOT(ISNUMBER(I1721))),"Incomplete",IF(COUNTIF(Lists!$H$4:$AA$4,C1721)=0,"Check category",IF(COUNTIF(INDEX(Lists!$H$6:$AA$45,0,MATCH(C1721,Lists!$H$4:$AA$4,0)),D1721)=0,"Check sub-category","OK"))))</f>
        <v/>
      </c>
      <c r="P1721">
        <f>IF(ISNUMBER(I1721),I1721+ROW()/10000000,"")</f>
        <v/>
      </c>
      <c r="Q1721">
        <f>IF(AND(ISNUMBER(P1721),ISNUMBER(A1721)),IF(AND(A1721&gt;=Dashboard!$Q$3,A1721&lt;=Dashboard!$Q$4,OR(J1721&lt;&gt;"Yes",Dashboard!$Q$15="Yes")),P1721,""),"")</f>
        <v/>
      </c>
    </row>
    <row r="1722">
      <c r="A1722" s="47" t="n"/>
      <c r="B1722" s="48" t="n"/>
      <c r="C1722" s="48" t="n"/>
      <c r="D1722" s="48" t="n"/>
      <c r="E1722" s="48" t="n"/>
      <c r="F1722" s="48" t="n"/>
      <c r="G1722" s="48" t="n"/>
      <c r="H1722" s="48" t="n"/>
      <c r="I1722" s="49" t="n"/>
      <c r="J1722" s="50" t="n"/>
      <c r="K1722" s="48" t="n"/>
      <c r="L1722" s="51">
        <f>IF(A1722="","",DATE(YEAR(A1722),MONTH(A1722),1))</f>
        <v/>
      </c>
      <c r="M1722" s="52">
        <f>IF(OR(A1722="",NOT(ISNUMBER(I1722))),"",IF(G1722=Lists!$B$5,I1722/2,IF(G1722=Lists!$B$6,I1722,0)))</f>
        <v/>
      </c>
      <c r="N1722" s="52">
        <f>IF(OR(A1722="",NOT(ISNUMBER(I1722))),"",IF(G1722=Lists!$B$5,I1722/2,IF(G1722=Lists!$B$7,I1722,0)))</f>
        <v/>
      </c>
      <c r="O1722" s="53">
        <f>IF(COUNTA(A1722:K1722)=0,"",IF(OR(A1722="",B1722="",C1722="",D1722="",E1722="",F1722="",G1722="",NOT(ISNUMBER(I1722))),"Incomplete",IF(COUNTIF(Lists!$H$4:$AA$4,C1722)=0,"Check category",IF(COUNTIF(INDEX(Lists!$H$6:$AA$45,0,MATCH(C1722,Lists!$H$4:$AA$4,0)),D1722)=0,"Check sub-category","OK"))))</f>
        <v/>
      </c>
      <c r="P1722">
        <f>IF(ISNUMBER(I1722),I1722+ROW()/10000000,"")</f>
        <v/>
      </c>
      <c r="Q1722">
        <f>IF(AND(ISNUMBER(P1722),ISNUMBER(A1722)),IF(AND(A1722&gt;=Dashboard!$Q$3,A1722&lt;=Dashboard!$Q$4,OR(J1722&lt;&gt;"Yes",Dashboard!$Q$15="Yes")),P1722,""),"")</f>
        <v/>
      </c>
    </row>
    <row r="1723">
      <c r="A1723" s="47" t="n"/>
      <c r="B1723" s="48" t="n"/>
      <c r="C1723" s="48" t="n"/>
      <c r="D1723" s="48" t="n"/>
      <c r="E1723" s="48" t="n"/>
      <c r="F1723" s="48" t="n"/>
      <c r="G1723" s="48" t="n"/>
      <c r="H1723" s="48" t="n"/>
      <c r="I1723" s="49" t="n"/>
      <c r="J1723" s="50" t="n"/>
      <c r="K1723" s="48" t="n"/>
      <c r="L1723" s="51">
        <f>IF(A1723="","",DATE(YEAR(A1723),MONTH(A1723),1))</f>
        <v/>
      </c>
      <c r="M1723" s="52">
        <f>IF(OR(A1723="",NOT(ISNUMBER(I1723))),"",IF(G1723=Lists!$B$5,I1723/2,IF(G1723=Lists!$B$6,I1723,0)))</f>
        <v/>
      </c>
      <c r="N1723" s="52">
        <f>IF(OR(A1723="",NOT(ISNUMBER(I1723))),"",IF(G1723=Lists!$B$5,I1723/2,IF(G1723=Lists!$B$7,I1723,0)))</f>
        <v/>
      </c>
      <c r="O1723" s="53">
        <f>IF(COUNTA(A1723:K1723)=0,"",IF(OR(A1723="",B1723="",C1723="",D1723="",E1723="",F1723="",G1723="",NOT(ISNUMBER(I1723))),"Incomplete",IF(COUNTIF(Lists!$H$4:$AA$4,C1723)=0,"Check category",IF(COUNTIF(INDEX(Lists!$H$6:$AA$45,0,MATCH(C1723,Lists!$H$4:$AA$4,0)),D1723)=0,"Check sub-category","OK"))))</f>
        <v/>
      </c>
      <c r="P1723">
        <f>IF(ISNUMBER(I1723),I1723+ROW()/10000000,"")</f>
        <v/>
      </c>
      <c r="Q1723">
        <f>IF(AND(ISNUMBER(P1723),ISNUMBER(A1723)),IF(AND(A1723&gt;=Dashboard!$Q$3,A1723&lt;=Dashboard!$Q$4,OR(J1723&lt;&gt;"Yes",Dashboard!$Q$15="Yes")),P1723,""),"")</f>
        <v/>
      </c>
    </row>
    <row r="1724">
      <c r="A1724" s="47" t="n"/>
      <c r="B1724" s="48" t="n"/>
      <c r="C1724" s="48" t="n"/>
      <c r="D1724" s="48" t="n"/>
      <c r="E1724" s="48" t="n"/>
      <c r="F1724" s="48" t="n"/>
      <c r="G1724" s="48" t="n"/>
      <c r="H1724" s="48" t="n"/>
      <c r="I1724" s="49" t="n"/>
      <c r="J1724" s="50" t="n"/>
      <c r="K1724" s="48" t="n"/>
      <c r="L1724" s="51">
        <f>IF(A1724="","",DATE(YEAR(A1724),MONTH(A1724),1))</f>
        <v/>
      </c>
      <c r="M1724" s="52">
        <f>IF(OR(A1724="",NOT(ISNUMBER(I1724))),"",IF(G1724=Lists!$B$5,I1724/2,IF(G1724=Lists!$B$6,I1724,0)))</f>
        <v/>
      </c>
      <c r="N1724" s="52">
        <f>IF(OR(A1724="",NOT(ISNUMBER(I1724))),"",IF(G1724=Lists!$B$5,I1724/2,IF(G1724=Lists!$B$7,I1724,0)))</f>
        <v/>
      </c>
      <c r="O1724" s="53">
        <f>IF(COUNTA(A1724:K1724)=0,"",IF(OR(A1724="",B1724="",C1724="",D1724="",E1724="",F1724="",G1724="",NOT(ISNUMBER(I1724))),"Incomplete",IF(COUNTIF(Lists!$H$4:$AA$4,C1724)=0,"Check category",IF(COUNTIF(INDEX(Lists!$H$6:$AA$45,0,MATCH(C1724,Lists!$H$4:$AA$4,0)),D1724)=0,"Check sub-category","OK"))))</f>
        <v/>
      </c>
      <c r="P1724">
        <f>IF(ISNUMBER(I1724),I1724+ROW()/10000000,"")</f>
        <v/>
      </c>
      <c r="Q1724">
        <f>IF(AND(ISNUMBER(P1724),ISNUMBER(A1724)),IF(AND(A1724&gt;=Dashboard!$Q$3,A1724&lt;=Dashboard!$Q$4,OR(J1724&lt;&gt;"Yes",Dashboard!$Q$15="Yes")),P1724,""),"")</f>
        <v/>
      </c>
    </row>
    <row r="1725">
      <c r="A1725" s="47" t="n"/>
      <c r="B1725" s="48" t="n"/>
      <c r="C1725" s="48" t="n"/>
      <c r="D1725" s="48" t="n"/>
      <c r="E1725" s="48" t="n"/>
      <c r="F1725" s="48" t="n"/>
      <c r="G1725" s="48" t="n"/>
      <c r="H1725" s="48" t="n"/>
      <c r="I1725" s="49" t="n"/>
      <c r="J1725" s="50" t="n"/>
      <c r="K1725" s="48" t="n"/>
      <c r="L1725" s="51">
        <f>IF(A1725="","",DATE(YEAR(A1725),MONTH(A1725),1))</f>
        <v/>
      </c>
      <c r="M1725" s="52">
        <f>IF(OR(A1725="",NOT(ISNUMBER(I1725))),"",IF(G1725=Lists!$B$5,I1725/2,IF(G1725=Lists!$B$6,I1725,0)))</f>
        <v/>
      </c>
      <c r="N1725" s="52">
        <f>IF(OR(A1725="",NOT(ISNUMBER(I1725))),"",IF(G1725=Lists!$B$5,I1725/2,IF(G1725=Lists!$B$7,I1725,0)))</f>
        <v/>
      </c>
      <c r="O1725" s="53">
        <f>IF(COUNTA(A1725:K1725)=0,"",IF(OR(A1725="",B1725="",C1725="",D1725="",E1725="",F1725="",G1725="",NOT(ISNUMBER(I1725))),"Incomplete",IF(COUNTIF(Lists!$H$4:$AA$4,C1725)=0,"Check category",IF(COUNTIF(INDEX(Lists!$H$6:$AA$45,0,MATCH(C1725,Lists!$H$4:$AA$4,0)),D1725)=0,"Check sub-category","OK"))))</f>
        <v/>
      </c>
      <c r="P1725">
        <f>IF(ISNUMBER(I1725),I1725+ROW()/10000000,"")</f>
        <v/>
      </c>
      <c r="Q1725">
        <f>IF(AND(ISNUMBER(P1725),ISNUMBER(A1725)),IF(AND(A1725&gt;=Dashboard!$Q$3,A1725&lt;=Dashboard!$Q$4,OR(J1725&lt;&gt;"Yes",Dashboard!$Q$15="Yes")),P1725,""),"")</f>
        <v/>
      </c>
    </row>
    <row r="1726">
      <c r="A1726" s="47" t="n"/>
      <c r="B1726" s="48" t="n"/>
      <c r="C1726" s="48" t="n"/>
      <c r="D1726" s="48" t="n"/>
      <c r="E1726" s="48" t="n"/>
      <c r="F1726" s="48" t="n"/>
      <c r="G1726" s="48" t="n"/>
      <c r="H1726" s="48" t="n"/>
      <c r="I1726" s="49" t="n"/>
      <c r="J1726" s="50" t="n"/>
      <c r="K1726" s="48" t="n"/>
      <c r="L1726" s="51">
        <f>IF(A1726="","",DATE(YEAR(A1726),MONTH(A1726),1))</f>
        <v/>
      </c>
      <c r="M1726" s="52">
        <f>IF(OR(A1726="",NOT(ISNUMBER(I1726))),"",IF(G1726=Lists!$B$5,I1726/2,IF(G1726=Lists!$B$6,I1726,0)))</f>
        <v/>
      </c>
      <c r="N1726" s="52">
        <f>IF(OR(A1726="",NOT(ISNUMBER(I1726))),"",IF(G1726=Lists!$B$5,I1726/2,IF(G1726=Lists!$B$7,I1726,0)))</f>
        <v/>
      </c>
      <c r="O1726" s="53">
        <f>IF(COUNTA(A1726:K1726)=0,"",IF(OR(A1726="",B1726="",C1726="",D1726="",E1726="",F1726="",G1726="",NOT(ISNUMBER(I1726))),"Incomplete",IF(COUNTIF(Lists!$H$4:$AA$4,C1726)=0,"Check category",IF(COUNTIF(INDEX(Lists!$H$6:$AA$45,0,MATCH(C1726,Lists!$H$4:$AA$4,0)),D1726)=0,"Check sub-category","OK"))))</f>
        <v/>
      </c>
      <c r="P1726">
        <f>IF(ISNUMBER(I1726),I1726+ROW()/10000000,"")</f>
        <v/>
      </c>
      <c r="Q1726">
        <f>IF(AND(ISNUMBER(P1726),ISNUMBER(A1726)),IF(AND(A1726&gt;=Dashboard!$Q$3,A1726&lt;=Dashboard!$Q$4,OR(J1726&lt;&gt;"Yes",Dashboard!$Q$15="Yes")),P1726,""),"")</f>
        <v/>
      </c>
    </row>
    <row r="1727">
      <c r="A1727" s="47" t="n"/>
      <c r="B1727" s="48" t="n"/>
      <c r="C1727" s="48" t="n"/>
      <c r="D1727" s="48" t="n"/>
      <c r="E1727" s="48" t="n"/>
      <c r="F1727" s="48" t="n"/>
      <c r="G1727" s="48" t="n"/>
      <c r="H1727" s="48" t="n"/>
      <c r="I1727" s="49" t="n"/>
      <c r="J1727" s="50" t="n"/>
      <c r="K1727" s="48" t="n"/>
      <c r="L1727" s="51">
        <f>IF(A1727="","",DATE(YEAR(A1727),MONTH(A1727),1))</f>
        <v/>
      </c>
      <c r="M1727" s="52">
        <f>IF(OR(A1727="",NOT(ISNUMBER(I1727))),"",IF(G1727=Lists!$B$5,I1727/2,IF(G1727=Lists!$B$6,I1727,0)))</f>
        <v/>
      </c>
      <c r="N1727" s="52">
        <f>IF(OR(A1727="",NOT(ISNUMBER(I1727))),"",IF(G1727=Lists!$B$5,I1727/2,IF(G1727=Lists!$B$7,I1727,0)))</f>
        <v/>
      </c>
      <c r="O1727" s="53">
        <f>IF(COUNTA(A1727:K1727)=0,"",IF(OR(A1727="",B1727="",C1727="",D1727="",E1727="",F1727="",G1727="",NOT(ISNUMBER(I1727))),"Incomplete",IF(COUNTIF(Lists!$H$4:$AA$4,C1727)=0,"Check category",IF(COUNTIF(INDEX(Lists!$H$6:$AA$45,0,MATCH(C1727,Lists!$H$4:$AA$4,0)),D1727)=0,"Check sub-category","OK"))))</f>
        <v/>
      </c>
      <c r="P1727">
        <f>IF(ISNUMBER(I1727),I1727+ROW()/10000000,"")</f>
        <v/>
      </c>
      <c r="Q1727">
        <f>IF(AND(ISNUMBER(P1727),ISNUMBER(A1727)),IF(AND(A1727&gt;=Dashboard!$Q$3,A1727&lt;=Dashboard!$Q$4,OR(J1727&lt;&gt;"Yes",Dashboard!$Q$15="Yes")),P1727,""),"")</f>
        <v/>
      </c>
    </row>
    <row r="1728">
      <c r="A1728" s="47" t="n"/>
      <c r="B1728" s="48" t="n"/>
      <c r="C1728" s="48" t="n"/>
      <c r="D1728" s="48" t="n"/>
      <c r="E1728" s="48" t="n"/>
      <c r="F1728" s="48" t="n"/>
      <c r="G1728" s="48" t="n"/>
      <c r="H1728" s="48" t="n"/>
      <c r="I1728" s="49" t="n"/>
      <c r="J1728" s="50" t="n"/>
      <c r="K1728" s="48" t="n"/>
      <c r="L1728" s="51">
        <f>IF(A1728="","",DATE(YEAR(A1728),MONTH(A1728),1))</f>
        <v/>
      </c>
      <c r="M1728" s="52">
        <f>IF(OR(A1728="",NOT(ISNUMBER(I1728))),"",IF(G1728=Lists!$B$5,I1728/2,IF(G1728=Lists!$B$6,I1728,0)))</f>
        <v/>
      </c>
      <c r="N1728" s="52">
        <f>IF(OR(A1728="",NOT(ISNUMBER(I1728))),"",IF(G1728=Lists!$B$5,I1728/2,IF(G1728=Lists!$B$7,I1728,0)))</f>
        <v/>
      </c>
      <c r="O1728" s="53">
        <f>IF(COUNTA(A1728:K1728)=0,"",IF(OR(A1728="",B1728="",C1728="",D1728="",E1728="",F1728="",G1728="",NOT(ISNUMBER(I1728))),"Incomplete",IF(COUNTIF(Lists!$H$4:$AA$4,C1728)=0,"Check category",IF(COUNTIF(INDEX(Lists!$H$6:$AA$45,0,MATCH(C1728,Lists!$H$4:$AA$4,0)),D1728)=0,"Check sub-category","OK"))))</f>
        <v/>
      </c>
      <c r="P1728">
        <f>IF(ISNUMBER(I1728),I1728+ROW()/10000000,"")</f>
        <v/>
      </c>
      <c r="Q1728">
        <f>IF(AND(ISNUMBER(P1728),ISNUMBER(A1728)),IF(AND(A1728&gt;=Dashboard!$Q$3,A1728&lt;=Dashboard!$Q$4,OR(J1728&lt;&gt;"Yes",Dashboard!$Q$15="Yes")),P1728,""),"")</f>
        <v/>
      </c>
    </row>
    <row r="1729">
      <c r="A1729" s="47" t="n"/>
      <c r="B1729" s="48" t="n"/>
      <c r="C1729" s="48" t="n"/>
      <c r="D1729" s="48" t="n"/>
      <c r="E1729" s="48" t="n"/>
      <c r="F1729" s="48" t="n"/>
      <c r="G1729" s="48" t="n"/>
      <c r="H1729" s="48" t="n"/>
      <c r="I1729" s="49" t="n"/>
      <c r="J1729" s="50" t="n"/>
      <c r="K1729" s="48" t="n"/>
      <c r="L1729" s="51">
        <f>IF(A1729="","",DATE(YEAR(A1729),MONTH(A1729),1))</f>
        <v/>
      </c>
      <c r="M1729" s="52">
        <f>IF(OR(A1729="",NOT(ISNUMBER(I1729))),"",IF(G1729=Lists!$B$5,I1729/2,IF(G1729=Lists!$B$6,I1729,0)))</f>
        <v/>
      </c>
      <c r="N1729" s="52">
        <f>IF(OR(A1729="",NOT(ISNUMBER(I1729))),"",IF(G1729=Lists!$B$5,I1729/2,IF(G1729=Lists!$B$7,I1729,0)))</f>
        <v/>
      </c>
      <c r="O1729" s="53">
        <f>IF(COUNTA(A1729:K1729)=0,"",IF(OR(A1729="",B1729="",C1729="",D1729="",E1729="",F1729="",G1729="",NOT(ISNUMBER(I1729))),"Incomplete",IF(COUNTIF(Lists!$H$4:$AA$4,C1729)=0,"Check category",IF(COUNTIF(INDEX(Lists!$H$6:$AA$45,0,MATCH(C1729,Lists!$H$4:$AA$4,0)),D1729)=0,"Check sub-category","OK"))))</f>
        <v/>
      </c>
      <c r="P1729">
        <f>IF(ISNUMBER(I1729),I1729+ROW()/10000000,"")</f>
        <v/>
      </c>
      <c r="Q1729">
        <f>IF(AND(ISNUMBER(P1729),ISNUMBER(A1729)),IF(AND(A1729&gt;=Dashboard!$Q$3,A1729&lt;=Dashboard!$Q$4,OR(J1729&lt;&gt;"Yes",Dashboard!$Q$15="Yes")),P1729,""),"")</f>
        <v/>
      </c>
    </row>
    <row r="1730">
      <c r="A1730" s="47" t="n"/>
      <c r="B1730" s="48" t="n"/>
      <c r="C1730" s="48" t="n"/>
      <c r="D1730" s="48" t="n"/>
      <c r="E1730" s="48" t="n"/>
      <c r="F1730" s="48" t="n"/>
      <c r="G1730" s="48" t="n"/>
      <c r="H1730" s="48" t="n"/>
      <c r="I1730" s="49" t="n"/>
      <c r="J1730" s="50" t="n"/>
      <c r="K1730" s="48" t="n"/>
      <c r="L1730" s="51">
        <f>IF(A1730="","",DATE(YEAR(A1730),MONTH(A1730),1))</f>
        <v/>
      </c>
      <c r="M1730" s="52">
        <f>IF(OR(A1730="",NOT(ISNUMBER(I1730))),"",IF(G1730=Lists!$B$5,I1730/2,IF(G1730=Lists!$B$6,I1730,0)))</f>
        <v/>
      </c>
      <c r="N1730" s="52">
        <f>IF(OR(A1730="",NOT(ISNUMBER(I1730))),"",IF(G1730=Lists!$B$5,I1730/2,IF(G1730=Lists!$B$7,I1730,0)))</f>
        <v/>
      </c>
      <c r="O1730" s="53">
        <f>IF(COUNTA(A1730:K1730)=0,"",IF(OR(A1730="",B1730="",C1730="",D1730="",E1730="",F1730="",G1730="",NOT(ISNUMBER(I1730))),"Incomplete",IF(COUNTIF(Lists!$H$4:$AA$4,C1730)=0,"Check category",IF(COUNTIF(INDEX(Lists!$H$6:$AA$45,0,MATCH(C1730,Lists!$H$4:$AA$4,0)),D1730)=0,"Check sub-category","OK"))))</f>
        <v/>
      </c>
      <c r="P1730">
        <f>IF(ISNUMBER(I1730),I1730+ROW()/10000000,"")</f>
        <v/>
      </c>
      <c r="Q1730">
        <f>IF(AND(ISNUMBER(P1730),ISNUMBER(A1730)),IF(AND(A1730&gt;=Dashboard!$Q$3,A1730&lt;=Dashboard!$Q$4,OR(J1730&lt;&gt;"Yes",Dashboard!$Q$15="Yes")),P1730,""),"")</f>
        <v/>
      </c>
    </row>
    <row r="1731">
      <c r="A1731" s="47" t="n"/>
      <c r="B1731" s="48" t="n"/>
      <c r="C1731" s="48" t="n"/>
      <c r="D1731" s="48" t="n"/>
      <c r="E1731" s="48" t="n"/>
      <c r="F1731" s="48" t="n"/>
      <c r="G1731" s="48" t="n"/>
      <c r="H1731" s="48" t="n"/>
      <c r="I1731" s="49" t="n"/>
      <c r="J1731" s="50" t="n"/>
      <c r="K1731" s="48" t="n"/>
      <c r="L1731" s="51">
        <f>IF(A1731="","",DATE(YEAR(A1731),MONTH(A1731),1))</f>
        <v/>
      </c>
      <c r="M1731" s="52">
        <f>IF(OR(A1731="",NOT(ISNUMBER(I1731))),"",IF(G1731=Lists!$B$5,I1731/2,IF(G1731=Lists!$B$6,I1731,0)))</f>
        <v/>
      </c>
      <c r="N1731" s="52">
        <f>IF(OR(A1731="",NOT(ISNUMBER(I1731))),"",IF(G1731=Lists!$B$5,I1731/2,IF(G1731=Lists!$B$7,I1731,0)))</f>
        <v/>
      </c>
      <c r="O1731" s="53">
        <f>IF(COUNTA(A1731:K1731)=0,"",IF(OR(A1731="",B1731="",C1731="",D1731="",E1731="",F1731="",G1731="",NOT(ISNUMBER(I1731))),"Incomplete",IF(COUNTIF(Lists!$H$4:$AA$4,C1731)=0,"Check category",IF(COUNTIF(INDEX(Lists!$H$6:$AA$45,0,MATCH(C1731,Lists!$H$4:$AA$4,0)),D1731)=0,"Check sub-category","OK"))))</f>
        <v/>
      </c>
      <c r="P1731">
        <f>IF(ISNUMBER(I1731),I1731+ROW()/10000000,"")</f>
        <v/>
      </c>
      <c r="Q1731">
        <f>IF(AND(ISNUMBER(P1731),ISNUMBER(A1731)),IF(AND(A1731&gt;=Dashboard!$Q$3,A1731&lt;=Dashboard!$Q$4,OR(J1731&lt;&gt;"Yes",Dashboard!$Q$15="Yes")),P1731,""),"")</f>
        <v/>
      </c>
    </row>
    <row r="1732">
      <c r="A1732" s="47" t="n"/>
      <c r="B1732" s="48" t="n"/>
      <c r="C1732" s="48" t="n"/>
      <c r="D1732" s="48" t="n"/>
      <c r="E1732" s="48" t="n"/>
      <c r="F1732" s="48" t="n"/>
      <c r="G1732" s="48" t="n"/>
      <c r="H1732" s="48" t="n"/>
      <c r="I1732" s="49" t="n"/>
      <c r="J1732" s="50" t="n"/>
      <c r="K1732" s="48" t="n"/>
      <c r="L1732" s="51">
        <f>IF(A1732="","",DATE(YEAR(A1732),MONTH(A1732),1))</f>
        <v/>
      </c>
      <c r="M1732" s="52">
        <f>IF(OR(A1732="",NOT(ISNUMBER(I1732))),"",IF(G1732=Lists!$B$5,I1732/2,IF(G1732=Lists!$B$6,I1732,0)))</f>
        <v/>
      </c>
      <c r="N1732" s="52">
        <f>IF(OR(A1732="",NOT(ISNUMBER(I1732))),"",IF(G1732=Lists!$B$5,I1732/2,IF(G1732=Lists!$B$7,I1732,0)))</f>
        <v/>
      </c>
      <c r="O1732" s="53">
        <f>IF(COUNTA(A1732:K1732)=0,"",IF(OR(A1732="",B1732="",C1732="",D1732="",E1732="",F1732="",G1732="",NOT(ISNUMBER(I1732))),"Incomplete",IF(COUNTIF(Lists!$H$4:$AA$4,C1732)=0,"Check category",IF(COUNTIF(INDEX(Lists!$H$6:$AA$45,0,MATCH(C1732,Lists!$H$4:$AA$4,0)),D1732)=0,"Check sub-category","OK"))))</f>
        <v/>
      </c>
      <c r="P1732">
        <f>IF(ISNUMBER(I1732),I1732+ROW()/10000000,"")</f>
        <v/>
      </c>
      <c r="Q1732">
        <f>IF(AND(ISNUMBER(P1732),ISNUMBER(A1732)),IF(AND(A1732&gt;=Dashboard!$Q$3,A1732&lt;=Dashboard!$Q$4,OR(J1732&lt;&gt;"Yes",Dashboard!$Q$15="Yes")),P1732,""),"")</f>
        <v/>
      </c>
    </row>
    <row r="1733">
      <c r="A1733" s="47" t="n"/>
      <c r="B1733" s="48" t="n"/>
      <c r="C1733" s="48" t="n"/>
      <c r="D1733" s="48" t="n"/>
      <c r="E1733" s="48" t="n"/>
      <c r="F1733" s="48" t="n"/>
      <c r="G1733" s="48" t="n"/>
      <c r="H1733" s="48" t="n"/>
      <c r="I1733" s="49" t="n"/>
      <c r="J1733" s="50" t="n"/>
      <c r="K1733" s="48" t="n"/>
      <c r="L1733" s="51">
        <f>IF(A1733="","",DATE(YEAR(A1733),MONTH(A1733),1))</f>
        <v/>
      </c>
      <c r="M1733" s="52">
        <f>IF(OR(A1733="",NOT(ISNUMBER(I1733))),"",IF(G1733=Lists!$B$5,I1733/2,IF(G1733=Lists!$B$6,I1733,0)))</f>
        <v/>
      </c>
      <c r="N1733" s="52">
        <f>IF(OR(A1733="",NOT(ISNUMBER(I1733))),"",IF(G1733=Lists!$B$5,I1733/2,IF(G1733=Lists!$B$7,I1733,0)))</f>
        <v/>
      </c>
      <c r="O1733" s="53">
        <f>IF(COUNTA(A1733:K1733)=0,"",IF(OR(A1733="",B1733="",C1733="",D1733="",E1733="",F1733="",G1733="",NOT(ISNUMBER(I1733))),"Incomplete",IF(COUNTIF(Lists!$H$4:$AA$4,C1733)=0,"Check category",IF(COUNTIF(INDEX(Lists!$H$6:$AA$45,0,MATCH(C1733,Lists!$H$4:$AA$4,0)),D1733)=0,"Check sub-category","OK"))))</f>
        <v/>
      </c>
      <c r="P1733">
        <f>IF(ISNUMBER(I1733),I1733+ROW()/10000000,"")</f>
        <v/>
      </c>
      <c r="Q1733">
        <f>IF(AND(ISNUMBER(P1733),ISNUMBER(A1733)),IF(AND(A1733&gt;=Dashboard!$Q$3,A1733&lt;=Dashboard!$Q$4,OR(J1733&lt;&gt;"Yes",Dashboard!$Q$15="Yes")),P1733,""),"")</f>
        <v/>
      </c>
    </row>
    <row r="1734">
      <c r="A1734" s="47" t="n"/>
      <c r="B1734" s="48" t="n"/>
      <c r="C1734" s="48" t="n"/>
      <c r="D1734" s="48" t="n"/>
      <c r="E1734" s="48" t="n"/>
      <c r="F1734" s="48" t="n"/>
      <c r="G1734" s="48" t="n"/>
      <c r="H1734" s="48" t="n"/>
      <c r="I1734" s="49" t="n"/>
      <c r="J1734" s="50" t="n"/>
      <c r="K1734" s="48" t="n"/>
      <c r="L1734" s="51">
        <f>IF(A1734="","",DATE(YEAR(A1734),MONTH(A1734),1))</f>
        <v/>
      </c>
      <c r="M1734" s="52">
        <f>IF(OR(A1734="",NOT(ISNUMBER(I1734))),"",IF(G1734=Lists!$B$5,I1734/2,IF(G1734=Lists!$B$6,I1734,0)))</f>
        <v/>
      </c>
      <c r="N1734" s="52">
        <f>IF(OR(A1734="",NOT(ISNUMBER(I1734))),"",IF(G1734=Lists!$B$5,I1734/2,IF(G1734=Lists!$B$7,I1734,0)))</f>
        <v/>
      </c>
      <c r="O1734" s="53">
        <f>IF(COUNTA(A1734:K1734)=0,"",IF(OR(A1734="",B1734="",C1734="",D1734="",E1734="",F1734="",G1734="",NOT(ISNUMBER(I1734))),"Incomplete",IF(COUNTIF(Lists!$H$4:$AA$4,C1734)=0,"Check category",IF(COUNTIF(INDEX(Lists!$H$6:$AA$45,0,MATCH(C1734,Lists!$H$4:$AA$4,0)),D1734)=0,"Check sub-category","OK"))))</f>
        <v/>
      </c>
      <c r="P1734">
        <f>IF(ISNUMBER(I1734),I1734+ROW()/10000000,"")</f>
        <v/>
      </c>
      <c r="Q1734">
        <f>IF(AND(ISNUMBER(P1734),ISNUMBER(A1734)),IF(AND(A1734&gt;=Dashboard!$Q$3,A1734&lt;=Dashboard!$Q$4,OR(J1734&lt;&gt;"Yes",Dashboard!$Q$15="Yes")),P1734,""),"")</f>
        <v/>
      </c>
    </row>
    <row r="1735">
      <c r="A1735" s="47" t="n"/>
      <c r="B1735" s="48" t="n"/>
      <c r="C1735" s="48" t="n"/>
      <c r="D1735" s="48" t="n"/>
      <c r="E1735" s="48" t="n"/>
      <c r="F1735" s="48" t="n"/>
      <c r="G1735" s="48" t="n"/>
      <c r="H1735" s="48" t="n"/>
      <c r="I1735" s="49" t="n"/>
      <c r="J1735" s="50" t="n"/>
      <c r="K1735" s="48" t="n"/>
      <c r="L1735" s="51">
        <f>IF(A1735="","",DATE(YEAR(A1735),MONTH(A1735),1))</f>
        <v/>
      </c>
      <c r="M1735" s="52">
        <f>IF(OR(A1735="",NOT(ISNUMBER(I1735))),"",IF(G1735=Lists!$B$5,I1735/2,IF(G1735=Lists!$B$6,I1735,0)))</f>
        <v/>
      </c>
      <c r="N1735" s="52">
        <f>IF(OR(A1735="",NOT(ISNUMBER(I1735))),"",IF(G1735=Lists!$B$5,I1735/2,IF(G1735=Lists!$B$7,I1735,0)))</f>
        <v/>
      </c>
      <c r="O1735" s="53">
        <f>IF(COUNTA(A1735:K1735)=0,"",IF(OR(A1735="",B1735="",C1735="",D1735="",E1735="",F1735="",G1735="",NOT(ISNUMBER(I1735))),"Incomplete",IF(COUNTIF(Lists!$H$4:$AA$4,C1735)=0,"Check category",IF(COUNTIF(INDEX(Lists!$H$6:$AA$45,0,MATCH(C1735,Lists!$H$4:$AA$4,0)),D1735)=0,"Check sub-category","OK"))))</f>
        <v/>
      </c>
      <c r="P1735">
        <f>IF(ISNUMBER(I1735),I1735+ROW()/10000000,"")</f>
        <v/>
      </c>
      <c r="Q1735">
        <f>IF(AND(ISNUMBER(P1735),ISNUMBER(A1735)),IF(AND(A1735&gt;=Dashboard!$Q$3,A1735&lt;=Dashboard!$Q$4,OR(J1735&lt;&gt;"Yes",Dashboard!$Q$15="Yes")),P1735,""),"")</f>
        <v/>
      </c>
    </row>
    <row r="1736">
      <c r="A1736" s="47" t="n"/>
      <c r="B1736" s="48" t="n"/>
      <c r="C1736" s="48" t="n"/>
      <c r="D1736" s="48" t="n"/>
      <c r="E1736" s="48" t="n"/>
      <c r="F1736" s="48" t="n"/>
      <c r="G1736" s="48" t="n"/>
      <c r="H1736" s="48" t="n"/>
      <c r="I1736" s="49" t="n"/>
      <c r="J1736" s="50" t="n"/>
      <c r="K1736" s="48" t="n"/>
      <c r="L1736" s="51">
        <f>IF(A1736="","",DATE(YEAR(A1736),MONTH(A1736),1))</f>
        <v/>
      </c>
      <c r="M1736" s="52">
        <f>IF(OR(A1736="",NOT(ISNUMBER(I1736))),"",IF(G1736=Lists!$B$5,I1736/2,IF(G1736=Lists!$B$6,I1736,0)))</f>
        <v/>
      </c>
      <c r="N1736" s="52">
        <f>IF(OR(A1736="",NOT(ISNUMBER(I1736))),"",IF(G1736=Lists!$B$5,I1736/2,IF(G1736=Lists!$B$7,I1736,0)))</f>
        <v/>
      </c>
      <c r="O1736" s="53">
        <f>IF(COUNTA(A1736:K1736)=0,"",IF(OR(A1736="",B1736="",C1736="",D1736="",E1736="",F1736="",G1736="",NOT(ISNUMBER(I1736))),"Incomplete",IF(COUNTIF(Lists!$H$4:$AA$4,C1736)=0,"Check category",IF(COUNTIF(INDEX(Lists!$H$6:$AA$45,0,MATCH(C1736,Lists!$H$4:$AA$4,0)),D1736)=0,"Check sub-category","OK"))))</f>
        <v/>
      </c>
      <c r="P1736">
        <f>IF(ISNUMBER(I1736),I1736+ROW()/10000000,"")</f>
        <v/>
      </c>
      <c r="Q1736">
        <f>IF(AND(ISNUMBER(P1736),ISNUMBER(A1736)),IF(AND(A1736&gt;=Dashboard!$Q$3,A1736&lt;=Dashboard!$Q$4,OR(J1736&lt;&gt;"Yes",Dashboard!$Q$15="Yes")),P1736,""),"")</f>
        <v/>
      </c>
    </row>
    <row r="1737">
      <c r="A1737" s="47" t="n"/>
      <c r="B1737" s="48" t="n"/>
      <c r="C1737" s="48" t="n"/>
      <c r="D1737" s="48" t="n"/>
      <c r="E1737" s="48" t="n"/>
      <c r="F1737" s="48" t="n"/>
      <c r="G1737" s="48" t="n"/>
      <c r="H1737" s="48" t="n"/>
      <c r="I1737" s="49" t="n"/>
      <c r="J1737" s="50" t="n"/>
      <c r="K1737" s="48" t="n"/>
      <c r="L1737" s="51">
        <f>IF(A1737="","",DATE(YEAR(A1737),MONTH(A1737),1))</f>
        <v/>
      </c>
      <c r="M1737" s="52">
        <f>IF(OR(A1737="",NOT(ISNUMBER(I1737))),"",IF(G1737=Lists!$B$5,I1737/2,IF(G1737=Lists!$B$6,I1737,0)))</f>
        <v/>
      </c>
      <c r="N1737" s="52">
        <f>IF(OR(A1737="",NOT(ISNUMBER(I1737))),"",IF(G1737=Lists!$B$5,I1737/2,IF(G1737=Lists!$B$7,I1737,0)))</f>
        <v/>
      </c>
      <c r="O1737" s="53">
        <f>IF(COUNTA(A1737:K1737)=0,"",IF(OR(A1737="",B1737="",C1737="",D1737="",E1737="",F1737="",G1737="",NOT(ISNUMBER(I1737))),"Incomplete",IF(COUNTIF(Lists!$H$4:$AA$4,C1737)=0,"Check category",IF(COUNTIF(INDEX(Lists!$H$6:$AA$45,0,MATCH(C1737,Lists!$H$4:$AA$4,0)),D1737)=0,"Check sub-category","OK"))))</f>
        <v/>
      </c>
      <c r="P1737">
        <f>IF(ISNUMBER(I1737),I1737+ROW()/10000000,"")</f>
        <v/>
      </c>
      <c r="Q1737">
        <f>IF(AND(ISNUMBER(P1737),ISNUMBER(A1737)),IF(AND(A1737&gt;=Dashboard!$Q$3,A1737&lt;=Dashboard!$Q$4,OR(J1737&lt;&gt;"Yes",Dashboard!$Q$15="Yes")),P1737,""),"")</f>
        <v/>
      </c>
    </row>
    <row r="1738">
      <c r="A1738" s="47" t="n"/>
      <c r="B1738" s="48" t="n"/>
      <c r="C1738" s="48" t="n"/>
      <c r="D1738" s="48" t="n"/>
      <c r="E1738" s="48" t="n"/>
      <c r="F1738" s="48" t="n"/>
      <c r="G1738" s="48" t="n"/>
      <c r="H1738" s="48" t="n"/>
      <c r="I1738" s="49" t="n"/>
      <c r="J1738" s="50" t="n"/>
      <c r="K1738" s="48" t="n"/>
      <c r="L1738" s="51">
        <f>IF(A1738="","",DATE(YEAR(A1738),MONTH(A1738),1))</f>
        <v/>
      </c>
      <c r="M1738" s="52">
        <f>IF(OR(A1738="",NOT(ISNUMBER(I1738))),"",IF(G1738=Lists!$B$5,I1738/2,IF(G1738=Lists!$B$6,I1738,0)))</f>
        <v/>
      </c>
      <c r="N1738" s="52">
        <f>IF(OR(A1738="",NOT(ISNUMBER(I1738))),"",IF(G1738=Lists!$B$5,I1738/2,IF(G1738=Lists!$B$7,I1738,0)))</f>
        <v/>
      </c>
      <c r="O1738" s="53">
        <f>IF(COUNTA(A1738:K1738)=0,"",IF(OR(A1738="",B1738="",C1738="",D1738="",E1738="",F1738="",G1738="",NOT(ISNUMBER(I1738))),"Incomplete",IF(COUNTIF(Lists!$H$4:$AA$4,C1738)=0,"Check category",IF(COUNTIF(INDEX(Lists!$H$6:$AA$45,0,MATCH(C1738,Lists!$H$4:$AA$4,0)),D1738)=0,"Check sub-category","OK"))))</f>
        <v/>
      </c>
      <c r="P1738">
        <f>IF(ISNUMBER(I1738),I1738+ROW()/10000000,"")</f>
        <v/>
      </c>
      <c r="Q1738">
        <f>IF(AND(ISNUMBER(P1738),ISNUMBER(A1738)),IF(AND(A1738&gt;=Dashboard!$Q$3,A1738&lt;=Dashboard!$Q$4,OR(J1738&lt;&gt;"Yes",Dashboard!$Q$15="Yes")),P1738,""),"")</f>
        <v/>
      </c>
    </row>
    <row r="1739">
      <c r="A1739" s="47" t="n"/>
      <c r="B1739" s="48" t="n"/>
      <c r="C1739" s="48" t="n"/>
      <c r="D1739" s="48" t="n"/>
      <c r="E1739" s="48" t="n"/>
      <c r="F1739" s="48" t="n"/>
      <c r="G1739" s="48" t="n"/>
      <c r="H1739" s="48" t="n"/>
      <c r="I1739" s="49" t="n"/>
      <c r="J1739" s="50" t="n"/>
      <c r="K1739" s="48" t="n"/>
      <c r="L1739" s="51">
        <f>IF(A1739="","",DATE(YEAR(A1739),MONTH(A1739),1))</f>
        <v/>
      </c>
      <c r="M1739" s="52">
        <f>IF(OR(A1739="",NOT(ISNUMBER(I1739))),"",IF(G1739=Lists!$B$5,I1739/2,IF(G1739=Lists!$B$6,I1739,0)))</f>
        <v/>
      </c>
      <c r="N1739" s="52">
        <f>IF(OR(A1739="",NOT(ISNUMBER(I1739))),"",IF(G1739=Lists!$B$5,I1739/2,IF(G1739=Lists!$B$7,I1739,0)))</f>
        <v/>
      </c>
      <c r="O1739" s="53">
        <f>IF(COUNTA(A1739:K1739)=0,"",IF(OR(A1739="",B1739="",C1739="",D1739="",E1739="",F1739="",G1739="",NOT(ISNUMBER(I1739))),"Incomplete",IF(COUNTIF(Lists!$H$4:$AA$4,C1739)=0,"Check category",IF(COUNTIF(INDEX(Lists!$H$6:$AA$45,0,MATCH(C1739,Lists!$H$4:$AA$4,0)),D1739)=0,"Check sub-category","OK"))))</f>
        <v/>
      </c>
      <c r="P1739">
        <f>IF(ISNUMBER(I1739),I1739+ROW()/10000000,"")</f>
        <v/>
      </c>
      <c r="Q1739">
        <f>IF(AND(ISNUMBER(P1739),ISNUMBER(A1739)),IF(AND(A1739&gt;=Dashboard!$Q$3,A1739&lt;=Dashboard!$Q$4,OR(J1739&lt;&gt;"Yes",Dashboard!$Q$15="Yes")),P1739,""),"")</f>
        <v/>
      </c>
    </row>
    <row r="1740">
      <c r="A1740" s="47" t="n"/>
      <c r="B1740" s="48" t="n"/>
      <c r="C1740" s="48" t="n"/>
      <c r="D1740" s="48" t="n"/>
      <c r="E1740" s="48" t="n"/>
      <c r="F1740" s="48" t="n"/>
      <c r="G1740" s="48" t="n"/>
      <c r="H1740" s="48" t="n"/>
      <c r="I1740" s="49" t="n"/>
      <c r="J1740" s="50" t="n"/>
      <c r="K1740" s="48" t="n"/>
      <c r="L1740" s="51">
        <f>IF(A1740="","",DATE(YEAR(A1740),MONTH(A1740),1))</f>
        <v/>
      </c>
      <c r="M1740" s="52">
        <f>IF(OR(A1740="",NOT(ISNUMBER(I1740))),"",IF(G1740=Lists!$B$5,I1740/2,IF(G1740=Lists!$B$6,I1740,0)))</f>
        <v/>
      </c>
      <c r="N1740" s="52">
        <f>IF(OR(A1740="",NOT(ISNUMBER(I1740))),"",IF(G1740=Lists!$B$5,I1740/2,IF(G1740=Lists!$B$7,I1740,0)))</f>
        <v/>
      </c>
      <c r="O1740" s="53">
        <f>IF(COUNTA(A1740:K1740)=0,"",IF(OR(A1740="",B1740="",C1740="",D1740="",E1740="",F1740="",G1740="",NOT(ISNUMBER(I1740))),"Incomplete",IF(COUNTIF(Lists!$H$4:$AA$4,C1740)=0,"Check category",IF(COUNTIF(INDEX(Lists!$H$6:$AA$45,0,MATCH(C1740,Lists!$H$4:$AA$4,0)),D1740)=0,"Check sub-category","OK"))))</f>
        <v/>
      </c>
      <c r="P1740">
        <f>IF(ISNUMBER(I1740),I1740+ROW()/10000000,"")</f>
        <v/>
      </c>
      <c r="Q1740">
        <f>IF(AND(ISNUMBER(P1740),ISNUMBER(A1740)),IF(AND(A1740&gt;=Dashboard!$Q$3,A1740&lt;=Dashboard!$Q$4,OR(J1740&lt;&gt;"Yes",Dashboard!$Q$15="Yes")),P1740,""),"")</f>
        <v/>
      </c>
    </row>
    <row r="1741">
      <c r="A1741" s="47" t="n"/>
      <c r="B1741" s="48" t="n"/>
      <c r="C1741" s="48" t="n"/>
      <c r="D1741" s="48" t="n"/>
      <c r="E1741" s="48" t="n"/>
      <c r="F1741" s="48" t="n"/>
      <c r="G1741" s="48" t="n"/>
      <c r="H1741" s="48" t="n"/>
      <c r="I1741" s="49" t="n"/>
      <c r="J1741" s="50" t="n"/>
      <c r="K1741" s="48" t="n"/>
      <c r="L1741" s="51">
        <f>IF(A1741="","",DATE(YEAR(A1741),MONTH(A1741),1))</f>
        <v/>
      </c>
      <c r="M1741" s="52">
        <f>IF(OR(A1741="",NOT(ISNUMBER(I1741))),"",IF(G1741=Lists!$B$5,I1741/2,IF(G1741=Lists!$B$6,I1741,0)))</f>
        <v/>
      </c>
      <c r="N1741" s="52">
        <f>IF(OR(A1741="",NOT(ISNUMBER(I1741))),"",IF(G1741=Lists!$B$5,I1741/2,IF(G1741=Lists!$B$7,I1741,0)))</f>
        <v/>
      </c>
      <c r="O1741" s="53">
        <f>IF(COUNTA(A1741:K1741)=0,"",IF(OR(A1741="",B1741="",C1741="",D1741="",E1741="",F1741="",G1741="",NOT(ISNUMBER(I1741))),"Incomplete",IF(COUNTIF(Lists!$H$4:$AA$4,C1741)=0,"Check category",IF(COUNTIF(INDEX(Lists!$H$6:$AA$45,0,MATCH(C1741,Lists!$H$4:$AA$4,0)),D1741)=0,"Check sub-category","OK"))))</f>
        <v/>
      </c>
      <c r="P1741">
        <f>IF(ISNUMBER(I1741),I1741+ROW()/10000000,"")</f>
        <v/>
      </c>
      <c r="Q1741">
        <f>IF(AND(ISNUMBER(P1741),ISNUMBER(A1741)),IF(AND(A1741&gt;=Dashboard!$Q$3,A1741&lt;=Dashboard!$Q$4,OR(J1741&lt;&gt;"Yes",Dashboard!$Q$15="Yes")),P1741,""),"")</f>
        <v/>
      </c>
    </row>
    <row r="1742">
      <c r="A1742" s="47" t="n"/>
      <c r="B1742" s="48" t="n"/>
      <c r="C1742" s="48" t="n"/>
      <c r="D1742" s="48" t="n"/>
      <c r="E1742" s="48" t="n"/>
      <c r="F1742" s="48" t="n"/>
      <c r="G1742" s="48" t="n"/>
      <c r="H1742" s="48" t="n"/>
      <c r="I1742" s="49" t="n"/>
      <c r="J1742" s="50" t="n"/>
      <c r="K1742" s="48" t="n"/>
      <c r="L1742" s="51">
        <f>IF(A1742="","",DATE(YEAR(A1742),MONTH(A1742),1))</f>
        <v/>
      </c>
      <c r="M1742" s="52">
        <f>IF(OR(A1742="",NOT(ISNUMBER(I1742))),"",IF(G1742=Lists!$B$5,I1742/2,IF(G1742=Lists!$B$6,I1742,0)))</f>
        <v/>
      </c>
      <c r="N1742" s="52">
        <f>IF(OR(A1742="",NOT(ISNUMBER(I1742))),"",IF(G1742=Lists!$B$5,I1742/2,IF(G1742=Lists!$B$7,I1742,0)))</f>
        <v/>
      </c>
      <c r="O1742" s="53">
        <f>IF(COUNTA(A1742:K1742)=0,"",IF(OR(A1742="",B1742="",C1742="",D1742="",E1742="",F1742="",G1742="",NOT(ISNUMBER(I1742))),"Incomplete",IF(COUNTIF(Lists!$H$4:$AA$4,C1742)=0,"Check category",IF(COUNTIF(INDEX(Lists!$H$6:$AA$45,0,MATCH(C1742,Lists!$H$4:$AA$4,0)),D1742)=0,"Check sub-category","OK"))))</f>
        <v/>
      </c>
      <c r="P1742">
        <f>IF(ISNUMBER(I1742),I1742+ROW()/10000000,"")</f>
        <v/>
      </c>
      <c r="Q1742">
        <f>IF(AND(ISNUMBER(P1742),ISNUMBER(A1742)),IF(AND(A1742&gt;=Dashboard!$Q$3,A1742&lt;=Dashboard!$Q$4,OR(J1742&lt;&gt;"Yes",Dashboard!$Q$15="Yes")),P1742,""),"")</f>
        <v/>
      </c>
    </row>
    <row r="1743">
      <c r="A1743" s="47" t="n"/>
      <c r="B1743" s="48" t="n"/>
      <c r="C1743" s="48" t="n"/>
      <c r="D1743" s="48" t="n"/>
      <c r="E1743" s="48" t="n"/>
      <c r="F1743" s="48" t="n"/>
      <c r="G1743" s="48" t="n"/>
      <c r="H1743" s="48" t="n"/>
      <c r="I1743" s="49" t="n"/>
      <c r="J1743" s="50" t="n"/>
      <c r="K1743" s="48" t="n"/>
      <c r="L1743" s="51">
        <f>IF(A1743="","",DATE(YEAR(A1743),MONTH(A1743),1))</f>
        <v/>
      </c>
      <c r="M1743" s="52">
        <f>IF(OR(A1743="",NOT(ISNUMBER(I1743))),"",IF(G1743=Lists!$B$5,I1743/2,IF(G1743=Lists!$B$6,I1743,0)))</f>
        <v/>
      </c>
      <c r="N1743" s="52">
        <f>IF(OR(A1743="",NOT(ISNUMBER(I1743))),"",IF(G1743=Lists!$B$5,I1743/2,IF(G1743=Lists!$B$7,I1743,0)))</f>
        <v/>
      </c>
      <c r="O1743" s="53">
        <f>IF(COUNTA(A1743:K1743)=0,"",IF(OR(A1743="",B1743="",C1743="",D1743="",E1743="",F1743="",G1743="",NOT(ISNUMBER(I1743))),"Incomplete",IF(COUNTIF(Lists!$H$4:$AA$4,C1743)=0,"Check category",IF(COUNTIF(INDEX(Lists!$H$6:$AA$45,0,MATCH(C1743,Lists!$H$4:$AA$4,0)),D1743)=0,"Check sub-category","OK"))))</f>
        <v/>
      </c>
      <c r="P1743">
        <f>IF(ISNUMBER(I1743),I1743+ROW()/10000000,"")</f>
        <v/>
      </c>
      <c r="Q1743">
        <f>IF(AND(ISNUMBER(P1743),ISNUMBER(A1743)),IF(AND(A1743&gt;=Dashboard!$Q$3,A1743&lt;=Dashboard!$Q$4,OR(J1743&lt;&gt;"Yes",Dashboard!$Q$15="Yes")),P1743,""),"")</f>
        <v/>
      </c>
    </row>
    <row r="1744">
      <c r="A1744" s="47" t="n"/>
      <c r="B1744" s="48" t="n"/>
      <c r="C1744" s="48" t="n"/>
      <c r="D1744" s="48" t="n"/>
      <c r="E1744" s="48" t="n"/>
      <c r="F1744" s="48" t="n"/>
      <c r="G1744" s="48" t="n"/>
      <c r="H1744" s="48" t="n"/>
      <c r="I1744" s="49" t="n"/>
      <c r="J1744" s="50" t="n"/>
      <c r="K1744" s="48" t="n"/>
      <c r="L1744" s="51">
        <f>IF(A1744="","",DATE(YEAR(A1744),MONTH(A1744),1))</f>
        <v/>
      </c>
      <c r="M1744" s="52">
        <f>IF(OR(A1744="",NOT(ISNUMBER(I1744))),"",IF(G1744=Lists!$B$5,I1744/2,IF(G1744=Lists!$B$6,I1744,0)))</f>
        <v/>
      </c>
      <c r="N1744" s="52">
        <f>IF(OR(A1744="",NOT(ISNUMBER(I1744))),"",IF(G1744=Lists!$B$5,I1744/2,IF(G1744=Lists!$B$7,I1744,0)))</f>
        <v/>
      </c>
      <c r="O1744" s="53">
        <f>IF(COUNTA(A1744:K1744)=0,"",IF(OR(A1744="",B1744="",C1744="",D1744="",E1744="",F1744="",G1744="",NOT(ISNUMBER(I1744))),"Incomplete",IF(COUNTIF(Lists!$H$4:$AA$4,C1744)=0,"Check category",IF(COUNTIF(INDEX(Lists!$H$6:$AA$45,0,MATCH(C1744,Lists!$H$4:$AA$4,0)),D1744)=0,"Check sub-category","OK"))))</f>
        <v/>
      </c>
      <c r="P1744">
        <f>IF(ISNUMBER(I1744),I1744+ROW()/10000000,"")</f>
        <v/>
      </c>
      <c r="Q1744">
        <f>IF(AND(ISNUMBER(P1744),ISNUMBER(A1744)),IF(AND(A1744&gt;=Dashboard!$Q$3,A1744&lt;=Dashboard!$Q$4,OR(J1744&lt;&gt;"Yes",Dashboard!$Q$15="Yes")),P1744,""),"")</f>
        <v/>
      </c>
    </row>
    <row r="1745">
      <c r="A1745" s="47" t="n"/>
      <c r="B1745" s="48" t="n"/>
      <c r="C1745" s="48" t="n"/>
      <c r="D1745" s="48" t="n"/>
      <c r="E1745" s="48" t="n"/>
      <c r="F1745" s="48" t="n"/>
      <c r="G1745" s="48" t="n"/>
      <c r="H1745" s="48" t="n"/>
      <c r="I1745" s="49" t="n"/>
      <c r="J1745" s="50" t="n"/>
      <c r="K1745" s="48" t="n"/>
      <c r="L1745" s="51">
        <f>IF(A1745="","",DATE(YEAR(A1745),MONTH(A1745),1))</f>
        <v/>
      </c>
      <c r="M1745" s="52">
        <f>IF(OR(A1745="",NOT(ISNUMBER(I1745))),"",IF(G1745=Lists!$B$5,I1745/2,IF(G1745=Lists!$B$6,I1745,0)))</f>
        <v/>
      </c>
      <c r="N1745" s="52">
        <f>IF(OR(A1745="",NOT(ISNUMBER(I1745))),"",IF(G1745=Lists!$B$5,I1745/2,IF(G1745=Lists!$B$7,I1745,0)))</f>
        <v/>
      </c>
      <c r="O1745" s="53">
        <f>IF(COUNTA(A1745:K1745)=0,"",IF(OR(A1745="",B1745="",C1745="",D1745="",E1745="",F1745="",G1745="",NOT(ISNUMBER(I1745))),"Incomplete",IF(COUNTIF(Lists!$H$4:$AA$4,C1745)=0,"Check category",IF(COUNTIF(INDEX(Lists!$H$6:$AA$45,0,MATCH(C1745,Lists!$H$4:$AA$4,0)),D1745)=0,"Check sub-category","OK"))))</f>
        <v/>
      </c>
      <c r="P1745">
        <f>IF(ISNUMBER(I1745),I1745+ROW()/10000000,"")</f>
        <v/>
      </c>
      <c r="Q1745">
        <f>IF(AND(ISNUMBER(P1745),ISNUMBER(A1745)),IF(AND(A1745&gt;=Dashboard!$Q$3,A1745&lt;=Dashboard!$Q$4,OR(J1745&lt;&gt;"Yes",Dashboard!$Q$15="Yes")),P1745,""),"")</f>
        <v/>
      </c>
    </row>
    <row r="1746">
      <c r="A1746" s="47" t="n"/>
      <c r="B1746" s="48" t="n"/>
      <c r="C1746" s="48" t="n"/>
      <c r="D1746" s="48" t="n"/>
      <c r="E1746" s="48" t="n"/>
      <c r="F1746" s="48" t="n"/>
      <c r="G1746" s="48" t="n"/>
      <c r="H1746" s="48" t="n"/>
      <c r="I1746" s="49" t="n"/>
      <c r="J1746" s="50" t="n"/>
      <c r="K1746" s="48" t="n"/>
      <c r="L1746" s="51">
        <f>IF(A1746="","",DATE(YEAR(A1746),MONTH(A1746),1))</f>
        <v/>
      </c>
      <c r="M1746" s="52">
        <f>IF(OR(A1746="",NOT(ISNUMBER(I1746))),"",IF(G1746=Lists!$B$5,I1746/2,IF(G1746=Lists!$B$6,I1746,0)))</f>
        <v/>
      </c>
      <c r="N1746" s="52">
        <f>IF(OR(A1746="",NOT(ISNUMBER(I1746))),"",IF(G1746=Lists!$B$5,I1746/2,IF(G1746=Lists!$B$7,I1746,0)))</f>
        <v/>
      </c>
      <c r="O1746" s="53">
        <f>IF(COUNTA(A1746:K1746)=0,"",IF(OR(A1746="",B1746="",C1746="",D1746="",E1746="",F1746="",G1746="",NOT(ISNUMBER(I1746))),"Incomplete",IF(COUNTIF(Lists!$H$4:$AA$4,C1746)=0,"Check category",IF(COUNTIF(INDEX(Lists!$H$6:$AA$45,0,MATCH(C1746,Lists!$H$4:$AA$4,0)),D1746)=0,"Check sub-category","OK"))))</f>
        <v/>
      </c>
      <c r="P1746">
        <f>IF(ISNUMBER(I1746),I1746+ROW()/10000000,"")</f>
        <v/>
      </c>
      <c r="Q1746">
        <f>IF(AND(ISNUMBER(P1746),ISNUMBER(A1746)),IF(AND(A1746&gt;=Dashboard!$Q$3,A1746&lt;=Dashboard!$Q$4,OR(J1746&lt;&gt;"Yes",Dashboard!$Q$15="Yes")),P1746,""),"")</f>
        <v/>
      </c>
    </row>
    <row r="1747">
      <c r="A1747" s="47" t="n"/>
      <c r="B1747" s="48" t="n"/>
      <c r="C1747" s="48" t="n"/>
      <c r="D1747" s="48" t="n"/>
      <c r="E1747" s="48" t="n"/>
      <c r="F1747" s="48" t="n"/>
      <c r="G1747" s="48" t="n"/>
      <c r="H1747" s="48" t="n"/>
      <c r="I1747" s="49" t="n"/>
      <c r="J1747" s="50" t="n"/>
      <c r="K1747" s="48" t="n"/>
      <c r="L1747" s="51">
        <f>IF(A1747="","",DATE(YEAR(A1747),MONTH(A1747),1))</f>
        <v/>
      </c>
      <c r="M1747" s="52">
        <f>IF(OR(A1747="",NOT(ISNUMBER(I1747))),"",IF(G1747=Lists!$B$5,I1747/2,IF(G1747=Lists!$B$6,I1747,0)))</f>
        <v/>
      </c>
      <c r="N1747" s="52">
        <f>IF(OR(A1747="",NOT(ISNUMBER(I1747))),"",IF(G1747=Lists!$B$5,I1747/2,IF(G1747=Lists!$B$7,I1747,0)))</f>
        <v/>
      </c>
      <c r="O1747" s="53">
        <f>IF(COUNTA(A1747:K1747)=0,"",IF(OR(A1747="",B1747="",C1747="",D1747="",E1747="",F1747="",G1747="",NOT(ISNUMBER(I1747))),"Incomplete",IF(COUNTIF(Lists!$H$4:$AA$4,C1747)=0,"Check category",IF(COUNTIF(INDEX(Lists!$H$6:$AA$45,0,MATCH(C1747,Lists!$H$4:$AA$4,0)),D1747)=0,"Check sub-category","OK"))))</f>
        <v/>
      </c>
      <c r="P1747">
        <f>IF(ISNUMBER(I1747),I1747+ROW()/10000000,"")</f>
        <v/>
      </c>
      <c r="Q1747">
        <f>IF(AND(ISNUMBER(P1747),ISNUMBER(A1747)),IF(AND(A1747&gt;=Dashboard!$Q$3,A1747&lt;=Dashboard!$Q$4,OR(J1747&lt;&gt;"Yes",Dashboard!$Q$15="Yes")),P1747,""),"")</f>
        <v/>
      </c>
    </row>
    <row r="1748">
      <c r="A1748" s="47" t="n"/>
      <c r="B1748" s="48" t="n"/>
      <c r="C1748" s="48" t="n"/>
      <c r="D1748" s="48" t="n"/>
      <c r="E1748" s="48" t="n"/>
      <c r="F1748" s="48" t="n"/>
      <c r="G1748" s="48" t="n"/>
      <c r="H1748" s="48" t="n"/>
      <c r="I1748" s="49" t="n"/>
      <c r="J1748" s="50" t="n"/>
      <c r="K1748" s="48" t="n"/>
      <c r="L1748" s="51">
        <f>IF(A1748="","",DATE(YEAR(A1748),MONTH(A1748),1))</f>
        <v/>
      </c>
      <c r="M1748" s="52">
        <f>IF(OR(A1748="",NOT(ISNUMBER(I1748))),"",IF(G1748=Lists!$B$5,I1748/2,IF(G1748=Lists!$B$6,I1748,0)))</f>
        <v/>
      </c>
      <c r="N1748" s="52">
        <f>IF(OR(A1748="",NOT(ISNUMBER(I1748))),"",IF(G1748=Lists!$B$5,I1748/2,IF(G1748=Lists!$B$7,I1748,0)))</f>
        <v/>
      </c>
      <c r="O1748" s="53">
        <f>IF(COUNTA(A1748:K1748)=0,"",IF(OR(A1748="",B1748="",C1748="",D1748="",E1748="",F1748="",G1748="",NOT(ISNUMBER(I1748))),"Incomplete",IF(COUNTIF(Lists!$H$4:$AA$4,C1748)=0,"Check category",IF(COUNTIF(INDEX(Lists!$H$6:$AA$45,0,MATCH(C1748,Lists!$H$4:$AA$4,0)),D1748)=0,"Check sub-category","OK"))))</f>
        <v/>
      </c>
      <c r="P1748">
        <f>IF(ISNUMBER(I1748),I1748+ROW()/10000000,"")</f>
        <v/>
      </c>
      <c r="Q1748">
        <f>IF(AND(ISNUMBER(P1748),ISNUMBER(A1748)),IF(AND(A1748&gt;=Dashboard!$Q$3,A1748&lt;=Dashboard!$Q$4,OR(J1748&lt;&gt;"Yes",Dashboard!$Q$15="Yes")),P1748,""),"")</f>
        <v/>
      </c>
    </row>
    <row r="1749">
      <c r="A1749" s="47" t="n"/>
      <c r="B1749" s="48" t="n"/>
      <c r="C1749" s="48" t="n"/>
      <c r="D1749" s="48" t="n"/>
      <c r="E1749" s="48" t="n"/>
      <c r="F1749" s="48" t="n"/>
      <c r="G1749" s="48" t="n"/>
      <c r="H1749" s="48" t="n"/>
      <c r="I1749" s="49" t="n"/>
      <c r="J1749" s="50" t="n"/>
      <c r="K1749" s="48" t="n"/>
      <c r="L1749" s="51">
        <f>IF(A1749="","",DATE(YEAR(A1749),MONTH(A1749),1))</f>
        <v/>
      </c>
      <c r="M1749" s="52">
        <f>IF(OR(A1749="",NOT(ISNUMBER(I1749))),"",IF(G1749=Lists!$B$5,I1749/2,IF(G1749=Lists!$B$6,I1749,0)))</f>
        <v/>
      </c>
      <c r="N1749" s="52">
        <f>IF(OR(A1749="",NOT(ISNUMBER(I1749))),"",IF(G1749=Lists!$B$5,I1749/2,IF(G1749=Lists!$B$7,I1749,0)))</f>
        <v/>
      </c>
      <c r="O1749" s="53">
        <f>IF(COUNTA(A1749:K1749)=0,"",IF(OR(A1749="",B1749="",C1749="",D1749="",E1749="",F1749="",G1749="",NOT(ISNUMBER(I1749))),"Incomplete",IF(COUNTIF(Lists!$H$4:$AA$4,C1749)=0,"Check category",IF(COUNTIF(INDEX(Lists!$H$6:$AA$45,0,MATCH(C1749,Lists!$H$4:$AA$4,0)),D1749)=0,"Check sub-category","OK"))))</f>
        <v/>
      </c>
      <c r="P1749">
        <f>IF(ISNUMBER(I1749),I1749+ROW()/10000000,"")</f>
        <v/>
      </c>
      <c r="Q1749">
        <f>IF(AND(ISNUMBER(P1749),ISNUMBER(A1749)),IF(AND(A1749&gt;=Dashboard!$Q$3,A1749&lt;=Dashboard!$Q$4,OR(J1749&lt;&gt;"Yes",Dashboard!$Q$15="Yes")),P1749,""),"")</f>
        <v/>
      </c>
    </row>
    <row r="1750">
      <c r="A1750" s="47" t="n"/>
      <c r="B1750" s="48" t="n"/>
      <c r="C1750" s="48" t="n"/>
      <c r="D1750" s="48" t="n"/>
      <c r="E1750" s="48" t="n"/>
      <c r="F1750" s="48" t="n"/>
      <c r="G1750" s="48" t="n"/>
      <c r="H1750" s="48" t="n"/>
      <c r="I1750" s="49" t="n"/>
      <c r="J1750" s="50" t="n"/>
      <c r="K1750" s="48" t="n"/>
      <c r="L1750" s="51">
        <f>IF(A1750="","",DATE(YEAR(A1750),MONTH(A1750),1))</f>
        <v/>
      </c>
      <c r="M1750" s="52">
        <f>IF(OR(A1750="",NOT(ISNUMBER(I1750))),"",IF(G1750=Lists!$B$5,I1750/2,IF(G1750=Lists!$B$6,I1750,0)))</f>
        <v/>
      </c>
      <c r="N1750" s="52">
        <f>IF(OR(A1750="",NOT(ISNUMBER(I1750))),"",IF(G1750=Lists!$B$5,I1750/2,IF(G1750=Lists!$B$7,I1750,0)))</f>
        <v/>
      </c>
      <c r="O1750" s="53">
        <f>IF(COUNTA(A1750:K1750)=0,"",IF(OR(A1750="",B1750="",C1750="",D1750="",E1750="",F1750="",G1750="",NOT(ISNUMBER(I1750))),"Incomplete",IF(COUNTIF(Lists!$H$4:$AA$4,C1750)=0,"Check category",IF(COUNTIF(INDEX(Lists!$H$6:$AA$45,0,MATCH(C1750,Lists!$H$4:$AA$4,0)),D1750)=0,"Check sub-category","OK"))))</f>
        <v/>
      </c>
      <c r="P1750">
        <f>IF(ISNUMBER(I1750),I1750+ROW()/10000000,"")</f>
        <v/>
      </c>
      <c r="Q1750">
        <f>IF(AND(ISNUMBER(P1750),ISNUMBER(A1750)),IF(AND(A1750&gt;=Dashboard!$Q$3,A1750&lt;=Dashboard!$Q$4,OR(J1750&lt;&gt;"Yes",Dashboard!$Q$15="Yes")),P1750,""),"")</f>
        <v/>
      </c>
    </row>
    <row r="1751">
      <c r="A1751" s="47" t="n"/>
      <c r="B1751" s="48" t="n"/>
      <c r="C1751" s="48" t="n"/>
      <c r="D1751" s="48" t="n"/>
      <c r="E1751" s="48" t="n"/>
      <c r="F1751" s="48" t="n"/>
      <c r="G1751" s="48" t="n"/>
      <c r="H1751" s="48" t="n"/>
      <c r="I1751" s="49" t="n"/>
      <c r="J1751" s="50" t="n"/>
      <c r="K1751" s="48" t="n"/>
      <c r="L1751" s="51">
        <f>IF(A1751="","",DATE(YEAR(A1751),MONTH(A1751),1))</f>
        <v/>
      </c>
      <c r="M1751" s="52">
        <f>IF(OR(A1751="",NOT(ISNUMBER(I1751))),"",IF(G1751=Lists!$B$5,I1751/2,IF(G1751=Lists!$B$6,I1751,0)))</f>
        <v/>
      </c>
      <c r="N1751" s="52">
        <f>IF(OR(A1751="",NOT(ISNUMBER(I1751))),"",IF(G1751=Lists!$B$5,I1751/2,IF(G1751=Lists!$B$7,I1751,0)))</f>
        <v/>
      </c>
      <c r="O1751" s="53">
        <f>IF(COUNTA(A1751:K1751)=0,"",IF(OR(A1751="",B1751="",C1751="",D1751="",E1751="",F1751="",G1751="",NOT(ISNUMBER(I1751))),"Incomplete",IF(COUNTIF(Lists!$H$4:$AA$4,C1751)=0,"Check category",IF(COUNTIF(INDEX(Lists!$H$6:$AA$45,0,MATCH(C1751,Lists!$H$4:$AA$4,0)),D1751)=0,"Check sub-category","OK"))))</f>
        <v/>
      </c>
      <c r="P1751">
        <f>IF(ISNUMBER(I1751),I1751+ROW()/10000000,"")</f>
        <v/>
      </c>
      <c r="Q1751">
        <f>IF(AND(ISNUMBER(P1751),ISNUMBER(A1751)),IF(AND(A1751&gt;=Dashboard!$Q$3,A1751&lt;=Dashboard!$Q$4,OR(J1751&lt;&gt;"Yes",Dashboard!$Q$15="Yes")),P1751,""),"")</f>
        <v/>
      </c>
    </row>
    <row r="1752">
      <c r="A1752" s="47" t="n"/>
      <c r="B1752" s="48" t="n"/>
      <c r="C1752" s="48" t="n"/>
      <c r="D1752" s="48" t="n"/>
      <c r="E1752" s="48" t="n"/>
      <c r="F1752" s="48" t="n"/>
      <c r="G1752" s="48" t="n"/>
      <c r="H1752" s="48" t="n"/>
      <c r="I1752" s="49" t="n"/>
      <c r="J1752" s="50" t="n"/>
      <c r="K1752" s="48" t="n"/>
      <c r="L1752" s="51">
        <f>IF(A1752="","",DATE(YEAR(A1752),MONTH(A1752),1))</f>
        <v/>
      </c>
      <c r="M1752" s="52">
        <f>IF(OR(A1752="",NOT(ISNUMBER(I1752))),"",IF(G1752=Lists!$B$5,I1752/2,IF(G1752=Lists!$B$6,I1752,0)))</f>
        <v/>
      </c>
      <c r="N1752" s="52">
        <f>IF(OR(A1752="",NOT(ISNUMBER(I1752))),"",IF(G1752=Lists!$B$5,I1752/2,IF(G1752=Lists!$B$7,I1752,0)))</f>
        <v/>
      </c>
      <c r="O1752" s="53">
        <f>IF(COUNTA(A1752:K1752)=0,"",IF(OR(A1752="",B1752="",C1752="",D1752="",E1752="",F1752="",G1752="",NOT(ISNUMBER(I1752))),"Incomplete",IF(COUNTIF(Lists!$H$4:$AA$4,C1752)=0,"Check category",IF(COUNTIF(INDEX(Lists!$H$6:$AA$45,0,MATCH(C1752,Lists!$H$4:$AA$4,0)),D1752)=0,"Check sub-category","OK"))))</f>
        <v/>
      </c>
      <c r="P1752">
        <f>IF(ISNUMBER(I1752),I1752+ROW()/10000000,"")</f>
        <v/>
      </c>
      <c r="Q1752">
        <f>IF(AND(ISNUMBER(P1752),ISNUMBER(A1752)),IF(AND(A1752&gt;=Dashboard!$Q$3,A1752&lt;=Dashboard!$Q$4,OR(J1752&lt;&gt;"Yes",Dashboard!$Q$15="Yes")),P1752,""),"")</f>
        <v/>
      </c>
    </row>
    <row r="1753">
      <c r="A1753" s="47" t="n"/>
      <c r="B1753" s="48" t="n"/>
      <c r="C1753" s="48" t="n"/>
      <c r="D1753" s="48" t="n"/>
      <c r="E1753" s="48" t="n"/>
      <c r="F1753" s="48" t="n"/>
      <c r="G1753" s="48" t="n"/>
      <c r="H1753" s="48" t="n"/>
      <c r="I1753" s="49" t="n"/>
      <c r="J1753" s="50" t="n"/>
      <c r="K1753" s="48" t="n"/>
      <c r="L1753" s="51">
        <f>IF(A1753="","",DATE(YEAR(A1753),MONTH(A1753),1))</f>
        <v/>
      </c>
      <c r="M1753" s="52">
        <f>IF(OR(A1753="",NOT(ISNUMBER(I1753))),"",IF(G1753=Lists!$B$5,I1753/2,IF(G1753=Lists!$B$6,I1753,0)))</f>
        <v/>
      </c>
      <c r="N1753" s="52">
        <f>IF(OR(A1753="",NOT(ISNUMBER(I1753))),"",IF(G1753=Lists!$B$5,I1753/2,IF(G1753=Lists!$B$7,I1753,0)))</f>
        <v/>
      </c>
      <c r="O1753" s="53">
        <f>IF(COUNTA(A1753:K1753)=0,"",IF(OR(A1753="",B1753="",C1753="",D1753="",E1753="",F1753="",G1753="",NOT(ISNUMBER(I1753))),"Incomplete",IF(COUNTIF(Lists!$H$4:$AA$4,C1753)=0,"Check category",IF(COUNTIF(INDEX(Lists!$H$6:$AA$45,0,MATCH(C1753,Lists!$H$4:$AA$4,0)),D1753)=0,"Check sub-category","OK"))))</f>
        <v/>
      </c>
      <c r="P1753">
        <f>IF(ISNUMBER(I1753),I1753+ROW()/10000000,"")</f>
        <v/>
      </c>
      <c r="Q1753">
        <f>IF(AND(ISNUMBER(P1753),ISNUMBER(A1753)),IF(AND(A1753&gt;=Dashboard!$Q$3,A1753&lt;=Dashboard!$Q$4,OR(J1753&lt;&gt;"Yes",Dashboard!$Q$15="Yes")),P1753,""),"")</f>
        <v/>
      </c>
    </row>
    <row r="1754">
      <c r="A1754" s="47" t="n"/>
      <c r="B1754" s="48" t="n"/>
      <c r="C1754" s="48" t="n"/>
      <c r="D1754" s="48" t="n"/>
      <c r="E1754" s="48" t="n"/>
      <c r="F1754" s="48" t="n"/>
      <c r="G1754" s="48" t="n"/>
      <c r="H1754" s="48" t="n"/>
      <c r="I1754" s="49" t="n"/>
      <c r="J1754" s="50" t="n"/>
      <c r="K1754" s="48" t="n"/>
      <c r="L1754" s="51">
        <f>IF(A1754="","",DATE(YEAR(A1754),MONTH(A1754),1))</f>
        <v/>
      </c>
      <c r="M1754" s="52">
        <f>IF(OR(A1754="",NOT(ISNUMBER(I1754))),"",IF(G1754=Lists!$B$5,I1754/2,IF(G1754=Lists!$B$6,I1754,0)))</f>
        <v/>
      </c>
      <c r="N1754" s="52">
        <f>IF(OR(A1754="",NOT(ISNUMBER(I1754))),"",IF(G1754=Lists!$B$5,I1754/2,IF(G1754=Lists!$B$7,I1754,0)))</f>
        <v/>
      </c>
      <c r="O1754" s="53">
        <f>IF(COUNTA(A1754:K1754)=0,"",IF(OR(A1754="",B1754="",C1754="",D1754="",E1754="",F1754="",G1754="",NOT(ISNUMBER(I1754))),"Incomplete",IF(COUNTIF(Lists!$H$4:$AA$4,C1754)=0,"Check category",IF(COUNTIF(INDEX(Lists!$H$6:$AA$45,0,MATCH(C1754,Lists!$H$4:$AA$4,0)),D1754)=0,"Check sub-category","OK"))))</f>
        <v/>
      </c>
      <c r="P1754">
        <f>IF(ISNUMBER(I1754),I1754+ROW()/10000000,"")</f>
        <v/>
      </c>
      <c r="Q1754">
        <f>IF(AND(ISNUMBER(P1754),ISNUMBER(A1754)),IF(AND(A1754&gt;=Dashboard!$Q$3,A1754&lt;=Dashboard!$Q$4,OR(J1754&lt;&gt;"Yes",Dashboard!$Q$15="Yes")),P1754,""),"")</f>
        <v/>
      </c>
    </row>
    <row r="1755">
      <c r="A1755" s="47" t="n"/>
      <c r="B1755" s="48" t="n"/>
      <c r="C1755" s="48" t="n"/>
      <c r="D1755" s="48" t="n"/>
      <c r="E1755" s="48" t="n"/>
      <c r="F1755" s="48" t="n"/>
      <c r="G1755" s="48" t="n"/>
      <c r="H1755" s="48" t="n"/>
      <c r="I1755" s="49" t="n"/>
      <c r="J1755" s="50" t="n"/>
      <c r="K1755" s="48" t="n"/>
      <c r="L1755" s="51">
        <f>IF(A1755="","",DATE(YEAR(A1755),MONTH(A1755),1))</f>
        <v/>
      </c>
      <c r="M1755" s="52">
        <f>IF(OR(A1755="",NOT(ISNUMBER(I1755))),"",IF(G1755=Lists!$B$5,I1755/2,IF(G1755=Lists!$B$6,I1755,0)))</f>
        <v/>
      </c>
      <c r="N1755" s="52">
        <f>IF(OR(A1755="",NOT(ISNUMBER(I1755))),"",IF(G1755=Lists!$B$5,I1755/2,IF(G1755=Lists!$B$7,I1755,0)))</f>
        <v/>
      </c>
      <c r="O1755" s="53">
        <f>IF(COUNTA(A1755:K1755)=0,"",IF(OR(A1755="",B1755="",C1755="",D1755="",E1755="",F1755="",G1755="",NOT(ISNUMBER(I1755))),"Incomplete",IF(COUNTIF(Lists!$H$4:$AA$4,C1755)=0,"Check category",IF(COUNTIF(INDEX(Lists!$H$6:$AA$45,0,MATCH(C1755,Lists!$H$4:$AA$4,0)),D1755)=0,"Check sub-category","OK"))))</f>
        <v/>
      </c>
      <c r="P1755">
        <f>IF(ISNUMBER(I1755),I1755+ROW()/10000000,"")</f>
        <v/>
      </c>
      <c r="Q1755">
        <f>IF(AND(ISNUMBER(P1755),ISNUMBER(A1755)),IF(AND(A1755&gt;=Dashboard!$Q$3,A1755&lt;=Dashboard!$Q$4,OR(J1755&lt;&gt;"Yes",Dashboard!$Q$15="Yes")),P1755,""),"")</f>
        <v/>
      </c>
    </row>
    <row r="1756">
      <c r="A1756" s="47" t="n"/>
      <c r="B1756" s="48" t="n"/>
      <c r="C1756" s="48" t="n"/>
      <c r="D1756" s="48" t="n"/>
      <c r="E1756" s="48" t="n"/>
      <c r="F1756" s="48" t="n"/>
      <c r="G1756" s="48" t="n"/>
      <c r="H1756" s="48" t="n"/>
      <c r="I1756" s="49" t="n"/>
      <c r="J1756" s="50" t="n"/>
      <c r="K1756" s="48" t="n"/>
      <c r="L1756" s="51">
        <f>IF(A1756="","",DATE(YEAR(A1756),MONTH(A1756),1))</f>
        <v/>
      </c>
      <c r="M1756" s="52">
        <f>IF(OR(A1756="",NOT(ISNUMBER(I1756))),"",IF(G1756=Lists!$B$5,I1756/2,IF(G1756=Lists!$B$6,I1756,0)))</f>
        <v/>
      </c>
      <c r="N1756" s="52">
        <f>IF(OR(A1756="",NOT(ISNUMBER(I1756))),"",IF(G1756=Lists!$B$5,I1756/2,IF(G1756=Lists!$B$7,I1756,0)))</f>
        <v/>
      </c>
      <c r="O1756" s="53">
        <f>IF(COUNTA(A1756:K1756)=0,"",IF(OR(A1756="",B1756="",C1756="",D1756="",E1756="",F1756="",G1756="",NOT(ISNUMBER(I1756))),"Incomplete",IF(COUNTIF(Lists!$H$4:$AA$4,C1756)=0,"Check category",IF(COUNTIF(INDEX(Lists!$H$6:$AA$45,0,MATCH(C1756,Lists!$H$4:$AA$4,0)),D1756)=0,"Check sub-category","OK"))))</f>
        <v/>
      </c>
      <c r="P1756">
        <f>IF(ISNUMBER(I1756),I1756+ROW()/10000000,"")</f>
        <v/>
      </c>
      <c r="Q1756">
        <f>IF(AND(ISNUMBER(P1756),ISNUMBER(A1756)),IF(AND(A1756&gt;=Dashboard!$Q$3,A1756&lt;=Dashboard!$Q$4,OR(J1756&lt;&gt;"Yes",Dashboard!$Q$15="Yes")),P1756,""),"")</f>
        <v/>
      </c>
    </row>
    <row r="1757">
      <c r="A1757" s="47" t="n"/>
      <c r="B1757" s="48" t="n"/>
      <c r="C1757" s="48" t="n"/>
      <c r="D1757" s="48" t="n"/>
      <c r="E1757" s="48" t="n"/>
      <c r="F1757" s="48" t="n"/>
      <c r="G1757" s="48" t="n"/>
      <c r="H1757" s="48" t="n"/>
      <c r="I1757" s="49" t="n"/>
      <c r="J1757" s="50" t="n"/>
      <c r="K1757" s="48" t="n"/>
      <c r="L1757" s="51">
        <f>IF(A1757="","",DATE(YEAR(A1757),MONTH(A1757),1))</f>
        <v/>
      </c>
      <c r="M1757" s="52">
        <f>IF(OR(A1757="",NOT(ISNUMBER(I1757))),"",IF(G1757=Lists!$B$5,I1757/2,IF(G1757=Lists!$B$6,I1757,0)))</f>
        <v/>
      </c>
      <c r="N1757" s="52">
        <f>IF(OR(A1757="",NOT(ISNUMBER(I1757))),"",IF(G1757=Lists!$B$5,I1757/2,IF(G1757=Lists!$B$7,I1757,0)))</f>
        <v/>
      </c>
      <c r="O1757" s="53">
        <f>IF(COUNTA(A1757:K1757)=0,"",IF(OR(A1757="",B1757="",C1757="",D1757="",E1757="",F1757="",G1757="",NOT(ISNUMBER(I1757))),"Incomplete",IF(COUNTIF(Lists!$H$4:$AA$4,C1757)=0,"Check category",IF(COUNTIF(INDEX(Lists!$H$6:$AA$45,0,MATCH(C1757,Lists!$H$4:$AA$4,0)),D1757)=0,"Check sub-category","OK"))))</f>
        <v/>
      </c>
      <c r="P1757">
        <f>IF(ISNUMBER(I1757),I1757+ROW()/10000000,"")</f>
        <v/>
      </c>
      <c r="Q1757">
        <f>IF(AND(ISNUMBER(P1757),ISNUMBER(A1757)),IF(AND(A1757&gt;=Dashboard!$Q$3,A1757&lt;=Dashboard!$Q$4,OR(J1757&lt;&gt;"Yes",Dashboard!$Q$15="Yes")),P1757,""),"")</f>
        <v/>
      </c>
    </row>
    <row r="1758">
      <c r="A1758" s="47" t="n"/>
      <c r="B1758" s="48" t="n"/>
      <c r="C1758" s="48" t="n"/>
      <c r="D1758" s="48" t="n"/>
      <c r="E1758" s="48" t="n"/>
      <c r="F1758" s="48" t="n"/>
      <c r="G1758" s="48" t="n"/>
      <c r="H1758" s="48" t="n"/>
      <c r="I1758" s="49" t="n"/>
      <c r="J1758" s="50" t="n"/>
      <c r="K1758" s="48" t="n"/>
      <c r="L1758" s="51">
        <f>IF(A1758="","",DATE(YEAR(A1758),MONTH(A1758),1))</f>
        <v/>
      </c>
      <c r="M1758" s="52">
        <f>IF(OR(A1758="",NOT(ISNUMBER(I1758))),"",IF(G1758=Lists!$B$5,I1758/2,IF(G1758=Lists!$B$6,I1758,0)))</f>
        <v/>
      </c>
      <c r="N1758" s="52">
        <f>IF(OR(A1758="",NOT(ISNUMBER(I1758))),"",IF(G1758=Lists!$B$5,I1758/2,IF(G1758=Lists!$B$7,I1758,0)))</f>
        <v/>
      </c>
      <c r="O1758" s="53">
        <f>IF(COUNTA(A1758:K1758)=0,"",IF(OR(A1758="",B1758="",C1758="",D1758="",E1758="",F1758="",G1758="",NOT(ISNUMBER(I1758))),"Incomplete",IF(COUNTIF(Lists!$H$4:$AA$4,C1758)=0,"Check category",IF(COUNTIF(INDEX(Lists!$H$6:$AA$45,0,MATCH(C1758,Lists!$H$4:$AA$4,0)),D1758)=0,"Check sub-category","OK"))))</f>
        <v/>
      </c>
      <c r="P1758">
        <f>IF(ISNUMBER(I1758),I1758+ROW()/10000000,"")</f>
        <v/>
      </c>
      <c r="Q1758">
        <f>IF(AND(ISNUMBER(P1758),ISNUMBER(A1758)),IF(AND(A1758&gt;=Dashboard!$Q$3,A1758&lt;=Dashboard!$Q$4,OR(J1758&lt;&gt;"Yes",Dashboard!$Q$15="Yes")),P1758,""),"")</f>
        <v/>
      </c>
    </row>
    <row r="1759">
      <c r="A1759" s="47" t="n"/>
      <c r="B1759" s="48" t="n"/>
      <c r="C1759" s="48" t="n"/>
      <c r="D1759" s="48" t="n"/>
      <c r="E1759" s="48" t="n"/>
      <c r="F1759" s="48" t="n"/>
      <c r="G1759" s="48" t="n"/>
      <c r="H1759" s="48" t="n"/>
      <c r="I1759" s="49" t="n"/>
      <c r="J1759" s="50" t="n"/>
      <c r="K1759" s="48" t="n"/>
      <c r="L1759" s="51">
        <f>IF(A1759="","",DATE(YEAR(A1759),MONTH(A1759),1))</f>
        <v/>
      </c>
      <c r="M1759" s="52">
        <f>IF(OR(A1759="",NOT(ISNUMBER(I1759))),"",IF(G1759=Lists!$B$5,I1759/2,IF(G1759=Lists!$B$6,I1759,0)))</f>
        <v/>
      </c>
      <c r="N1759" s="52">
        <f>IF(OR(A1759="",NOT(ISNUMBER(I1759))),"",IF(G1759=Lists!$B$5,I1759/2,IF(G1759=Lists!$B$7,I1759,0)))</f>
        <v/>
      </c>
      <c r="O1759" s="53">
        <f>IF(COUNTA(A1759:K1759)=0,"",IF(OR(A1759="",B1759="",C1759="",D1759="",E1759="",F1759="",G1759="",NOT(ISNUMBER(I1759))),"Incomplete",IF(COUNTIF(Lists!$H$4:$AA$4,C1759)=0,"Check category",IF(COUNTIF(INDEX(Lists!$H$6:$AA$45,0,MATCH(C1759,Lists!$H$4:$AA$4,0)),D1759)=0,"Check sub-category","OK"))))</f>
        <v/>
      </c>
      <c r="P1759">
        <f>IF(ISNUMBER(I1759),I1759+ROW()/10000000,"")</f>
        <v/>
      </c>
      <c r="Q1759">
        <f>IF(AND(ISNUMBER(P1759),ISNUMBER(A1759)),IF(AND(A1759&gt;=Dashboard!$Q$3,A1759&lt;=Dashboard!$Q$4,OR(J1759&lt;&gt;"Yes",Dashboard!$Q$15="Yes")),P1759,""),"")</f>
        <v/>
      </c>
    </row>
    <row r="1760">
      <c r="A1760" s="47" t="n"/>
      <c r="B1760" s="48" t="n"/>
      <c r="C1760" s="48" t="n"/>
      <c r="D1760" s="48" t="n"/>
      <c r="E1760" s="48" t="n"/>
      <c r="F1760" s="48" t="n"/>
      <c r="G1760" s="48" t="n"/>
      <c r="H1760" s="48" t="n"/>
      <c r="I1760" s="49" t="n"/>
      <c r="J1760" s="50" t="n"/>
      <c r="K1760" s="48" t="n"/>
      <c r="L1760" s="51">
        <f>IF(A1760="","",DATE(YEAR(A1760),MONTH(A1760),1))</f>
        <v/>
      </c>
      <c r="M1760" s="52">
        <f>IF(OR(A1760="",NOT(ISNUMBER(I1760))),"",IF(G1760=Lists!$B$5,I1760/2,IF(G1760=Lists!$B$6,I1760,0)))</f>
        <v/>
      </c>
      <c r="N1760" s="52">
        <f>IF(OR(A1760="",NOT(ISNUMBER(I1760))),"",IF(G1760=Lists!$B$5,I1760/2,IF(G1760=Lists!$B$7,I1760,0)))</f>
        <v/>
      </c>
      <c r="O1760" s="53">
        <f>IF(COUNTA(A1760:K1760)=0,"",IF(OR(A1760="",B1760="",C1760="",D1760="",E1760="",F1760="",G1760="",NOT(ISNUMBER(I1760))),"Incomplete",IF(COUNTIF(Lists!$H$4:$AA$4,C1760)=0,"Check category",IF(COUNTIF(INDEX(Lists!$H$6:$AA$45,0,MATCH(C1760,Lists!$H$4:$AA$4,0)),D1760)=0,"Check sub-category","OK"))))</f>
        <v/>
      </c>
      <c r="P1760">
        <f>IF(ISNUMBER(I1760),I1760+ROW()/10000000,"")</f>
        <v/>
      </c>
      <c r="Q1760">
        <f>IF(AND(ISNUMBER(P1760),ISNUMBER(A1760)),IF(AND(A1760&gt;=Dashboard!$Q$3,A1760&lt;=Dashboard!$Q$4,OR(J1760&lt;&gt;"Yes",Dashboard!$Q$15="Yes")),P1760,""),"")</f>
        <v/>
      </c>
    </row>
    <row r="1761">
      <c r="A1761" s="47" t="n"/>
      <c r="B1761" s="48" t="n"/>
      <c r="C1761" s="48" t="n"/>
      <c r="D1761" s="48" t="n"/>
      <c r="E1761" s="48" t="n"/>
      <c r="F1761" s="48" t="n"/>
      <c r="G1761" s="48" t="n"/>
      <c r="H1761" s="48" t="n"/>
      <c r="I1761" s="49" t="n"/>
      <c r="J1761" s="50" t="n"/>
      <c r="K1761" s="48" t="n"/>
      <c r="L1761" s="51">
        <f>IF(A1761="","",DATE(YEAR(A1761),MONTH(A1761),1))</f>
        <v/>
      </c>
      <c r="M1761" s="52">
        <f>IF(OR(A1761="",NOT(ISNUMBER(I1761))),"",IF(G1761=Lists!$B$5,I1761/2,IF(G1761=Lists!$B$6,I1761,0)))</f>
        <v/>
      </c>
      <c r="N1761" s="52">
        <f>IF(OR(A1761="",NOT(ISNUMBER(I1761))),"",IF(G1761=Lists!$B$5,I1761/2,IF(G1761=Lists!$B$7,I1761,0)))</f>
        <v/>
      </c>
      <c r="O1761" s="53">
        <f>IF(COUNTA(A1761:K1761)=0,"",IF(OR(A1761="",B1761="",C1761="",D1761="",E1761="",F1761="",G1761="",NOT(ISNUMBER(I1761))),"Incomplete",IF(COUNTIF(Lists!$H$4:$AA$4,C1761)=0,"Check category",IF(COUNTIF(INDEX(Lists!$H$6:$AA$45,0,MATCH(C1761,Lists!$H$4:$AA$4,0)),D1761)=0,"Check sub-category","OK"))))</f>
        <v/>
      </c>
      <c r="P1761">
        <f>IF(ISNUMBER(I1761),I1761+ROW()/10000000,"")</f>
        <v/>
      </c>
      <c r="Q1761">
        <f>IF(AND(ISNUMBER(P1761),ISNUMBER(A1761)),IF(AND(A1761&gt;=Dashboard!$Q$3,A1761&lt;=Dashboard!$Q$4,OR(J1761&lt;&gt;"Yes",Dashboard!$Q$15="Yes")),P1761,""),"")</f>
        <v/>
      </c>
    </row>
    <row r="1762">
      <c r="A1762" s="47" t="n"/>
      <c r="B1762" s="48" t="n"/>
      <c r="C1762" s="48" t="n"/>
      <c r="D1762" s="48" t="n"/>
      <c r="E1762" s="48" t="n"/>
      <c r="F1762" s="48" t="n"/>
      <c r="G1762" s="48" t="n"/>
      <c r="H1762" s="48" t="n"/>
      <c r="I1762" s="49" t="n"/>
      <c r="J1762" s="50" t="n"/>
      <c r="K1762" s="48" t="n"/>
      <c r="L1762" s="51">
        <f>IF(A1762="","",DATE(YEAR(A1762),MONTH(A1762),1))</f>
        <v/>
      </c>
      <c r="M1762" s="52">
        <f>IF(OR(A1762="",NOT(ISNUMBER(I1762))),"",IF(G1762=Lists!$B$5,I1762/2,IF(G1762=Lists!$B$6,I1762,0)))</f>
        <v/>
      </c>
      <c r="N1762" s="52">
        <f>IF(OR(A1762="",NOT(ISNUMBER(I1762))),"",IF(G1762=Lists!$B$5,I1762/2,IF(G1762=Lists!$B$7,I1762,0)))</f>
        <v/>
      </c>
      <c r="O1762" s="53">
        <f>IF(COUNTA(A1762:K1762)=0,"",IF(OR(A1762="",B1762="",C1762="",D1762="",E1762="",F1762="",G1762="",NOT(ISNUMBER(I1762))),"Incomplete",IF(COUNTIF(Lists!$H$4:$AA$4,C1762)=0,"Check category",IF(COUNTIF(INDEX(Lists!$H$6:$AA$45,0,MATCH(C1762,Lists!$H$4:$AA$4,0)),D1762)=0,"Check sub-category","OK"))))</f>
        <v/>
      </c>
      <c r="P1762">
        <f>IF(ISNUMBER(I1762),I1762+ROW()/10000000,"")</f>
        <v/>
      </c>
      <c r="Q1762">
        <f>IF(AND(ISNUMBER(P1762),ISNUMBER(A1762)),IF(AND(A1762&gt;=Dashboard!$Q$3,A1762&lt;=Dashboard!$Q$4,OR(J1762&lt;&gt;"Yes",Dashboard!$Q$15="Yes")),P1762,""),"")</f>
        <v/>
      </c>
    </row>
    <row r="1763">
      <c r="A1763" s="47" t="n"/>
      <c r="B1763" s="48" t="n"/>
      <c r="C1763" s="48" t="n"/>
      <c r="D1763" s="48" t="n"/>
      <c r="E1763" s="48" t="n"/>
      <c r="F1763" s="48" t="n"/>
      <c r="G1763" s="48" t="n"/>
      <c r="H1763" s="48" t="n"/>
      <c r="I1763" s="49" t="n"/>
      <c r="J1763" s="50" t="n"/>
      <c r="K1763" s="48" t="n"/>
      <c r="L1763" s="51">
        <f>IF(A1763="","",DATE(YEAR(A1763),MONTH(A1763),1))</f>
        <v/>
      </c>
      <c r="M1763" s="52">
        <f>IF(OR(A1763="",NOT(ISNUMBER(I1763))),"",IF(G1763=Lists!$B$5,I1763/2,IF(G1763=Lists!$B$6,I1763,0)))</f>
        <v/>
      </c>
      <c r="N1763" s="52">
        <f>IF(OR(A1763="",NOT(ISNUMBER(I1763))),"",IF(G1763=Lists!$B$5,I1763/2,IF(G1763=Lists!$B$7,I1763,0)))</f>
        <v/>
      </c>
      <c r="O1763" s="53">
        <f>IF(COUNTA(A1763:K1763)=0,"",IF(OR(A1763="",B1763="",C1763="",D1763="",E1763="",F1763="",G1763="",NOT(ISNUMBER(I1763))),"Incomplete",IF(COUNTIF(Lists!$H$4:$AA$4,C1763)=0,"Check category",IF(COUNTIF(INDEX(Lists!$H$6:$AA$45,0,MATCH(C1763,Lists!$H$4:$AA$4,0)),D1763)=0,"Check sub-category","OK"))))</f>
        <v/>
      </c>
      <c r="P1763">
        <f>IF(ISNUMBER(I1763),I1763+ROW()/10000000,"")</f>
        <v/>
      </c>
      <c r="Q1763">
        <f>IF(AND(ISNUMBER(P1763),ISNUMBER(A1763)),IF(AND(A1763&gt;=Dashboard!$Q$3,A1763&lt;=Dashboard!$Q$4,OR(J1763&lt;&gt;"Yes",Dashboard!$Q$15="Yes")),P1763,""),"")</f>
        <v/>
      </c>
    </row>
    <row r="1764">
      <c r="A1764" s="47" t="n"/>
      <c r="B1764" s="48" t="n"/>
      <c r="C1764" s="48" t="n"/>
      <c r="D1764" s="48" t="n"/>
      <c r="E1764" s="48" t="n"/>
      <c r="F1764" s="48" t="n"/>
      <c r="G1764" s="48" t="n"/>
      <c r="H1764" s="48" t="n"/>
      <c r="I1764" s="49" t="n"/>
      <c r="J1764" s="50" t="n"/>
      <c r="K1764" s="48" t="n"/>
      <c r="L1764" s="51">
        <f>IF(A1764="","",DATE(YEAR(A1764),MONTH(A1764),1))</f>
        <v/>
      </c>
      <c r="M1764" s="52">
        <f>IF(OR(A1764="",NOT(ISNUMBER(I1764))),"",IF(G1764=Lists!$B$5,I1764/2,IF(G1764=Lists!$B$6,I1764,0)))</f>
        <v/>
      </c>
      <c r="N1764" s="52">
        <f>IF(OR(A1764="",NOT(ISNUMBER(I1764))),"",IF(G1764=Lists!$B$5,I1764/2,IF(G1764=Lists!$B$7,I1764,0)))</f>
        <v/>
      </c>
      <c r="O1764" s="53">
        <f>IF(COUNTA(A1764:K1764)=0,"",IF(OR(A1764="",B1764="",C1764="",D1764="",E1764="",F1764="",G1764="",NOT(ISNUMBER(I1764))),"Incomplete",IF(COUNTIF(Lists!$H$4:$AA$4,C1764)=0,"Check category",IF(COUNTIF(INDEX(Lists!$H$6:$AA$45,0,MATCH(C1764,Lists!$H$4:$AA$4,0)),D1764)=0,"Check sub-category","OK"))))</f>
        <v/>
      </c>
      <c r="P1764">
        <f>IF(ISNUMBER(I1764),I1764+ROW()/10000000,"")</f>
        <v/>
      </c>
      <c r="Q1764">
        <f>IF(AND(ISNUMBER(P1764),ISNUMBER(A1764)),IF(AND(A1764&gt;=Dashboard!$Q$3,A1764&lt;=Dashboard!$Q$4,OR(J1764&lt;&gt;"Yes",Dashboard!$Q$15="Yes")),P1764,""),"")</f>
        <v/>
      </c>
    </row>
    <row r="1765">
      <c r="A1765" s="47" t="n"/>
      <c r="B1765" s="48" t="n"/>
      <c r="C1765" s="48" t="n"/>
      <c r="D1765" s="48" t="n"/>
      <c r="E1765" s="48" t="n"/>
      <c r="F1765" s="48" t="n"/>
      <c r="G1765" s="48" t="n"/>
      <c r="H1765" s="48" t="n"/>
      <c r="I1765" s="49" t="n"/>
      <c r="J1765" s="50" t="n"/>
      <c r="K1765" s="48" t="n"/>
      <c r="L1765" s="51">
        <f>IF(A1765="","",DATE(YEAR(A1765),MONTH(A1765),1))</f>
        <v/>
      </c>
      <c r="M1765" s="52">
        <f>IF(OR(A1765="",NOT(ISNUMBER(I1765))),"",IF(G1765=Lists!$B$5,I1765/2,IF(G1765=Lists!$B$6,I1765,0)))</f>
        <v/>
      </c>
      <c r="N1765" s="52">
        <f>IF(OR(A1765="",NOT(ISNUMBER(I1765))),"",IF(G1765=Lists!$B$5,I1765/2,IF(G1765=Lists!$B$7,I1765,0)))</f>
        <v/>
      </c>
      <c r="O1765" s="53">
        <f>IF(COUNTA(A1765:K1765)=0,"",IF(OR(A1765="",B1765="",C1765="",D1765="",E1765="",F1765="",G1765="",NOT(ISNUMBER(I1765))),"Incomplete",IF(COUNTIF(Lists!$H$4:$AA$4,C1765)=0,"Check category",IF(COUNTIF(INDEX(Lists!$H$6:$AA$45,0,MATCH(C1765,Lists!$H$4:$AA$4,0)),D1765)=0,"Check sub-category","OK"))))</f>
        <v/>
      </c>
      <c r="P1765">
        <f>IF(ISNUMBER(I1765),I1765+ROW()/10000000,"")</f>
        <v/>
      </c>
      <c r="Q1765">
        <f>IF(AND(ISNUMBER(P1765),ISNUMBER(A1765)),IF(AND(A1765&gt;=Dashboard!$Q$3,A1765&lt;=Dashboard!$Q$4,OR(J1765&lt;&gt;"Yes",Dashboard!$Q$15="Yes")),P1765,""),"")</f>
        <v/>
      </c>
    </row>
    <row r="1766">
      <c r="A1766" s="47" t="n"/>
      <c r="B1766" s="48" t="n"/>
      <c r="C1766" s="48" t="n"/>
      <c r="D1766" s="48" t="n"/>
      <c r="E1766" s="48" t="n"/>
      <c r="F1766" s="48" t="n"/>
      <c r="G1766" s="48" t="n"/>
      <c r="H1766" s="48" t="n"/>
      <c r="I1766" s="49" t="n"/>
      <c r="J1766" s="50" t="n"/>
      <c r="K1766" s="48" t="n"/>
      <c r="L1766" s="51">
        <f>IF(A1766="","",DATE(YEAR(A1766),MONTH(A1766),1))</f>
        <v/>
      </c>
      <c r="M1766" s="52">
        <f>IF(OR(A1766="",NOT(ISNUMBER(I1766))),"",IF(G1766=Lists!$B$5,I1766/2,IF(G1766=Lists!$B$6,I1766,0)))</f>
        <v/>
      </c>
      <c r="N1766" s="52">
        <f>IF(OR(A1766="",NOT(ISNUMBER(I1766))),"",IF(G1766=Lists!$B$5,I1766/2,IF(G1766=Lists!$B$7,I1766,0)))</f>
        <v/>
      </c>
      <c r="O1766" s="53">
        <f>IF(COUNTA(A1766:K1766)=0,"",IF(OR(A1766="",B1766="",C1766="",D1766="",E1766="",F1766="",G1766="",NOT(ISNUMBER(I1766))),"Incomplete",IF(COUNTIF(Lists!$H$4:$AA$4,C1766)=0,"Check category",IF(COUNTIF(INDEX(Lists!$H$6:$AA$45,0,MATCH(C1766,Lists!$H$4:$AA$4,0)),D1766)=0,"Check sub-category","OK"))))</f>
        <v/>
      </c>
      <c r="P1766">
        <f>IF(ISNUMBER(I1766),I1766+ROW()/10000000,"")</f>
        <v/>
      </c>
      <c r="Q1766">
        <f>IF(AND(ISNUMBER(P1766),ISNUMBER(A1766)),IF(AND(A1766&gt;=Dashboard!$Q$3,A1766&lt;=Dashboard!$Q$4,OR(J1766&lt;&gt;"Yes",Dashboard!$Q$15="Yes")),P1766,""),"")</f>
        <v/>
      </c>
    </row>
    <row r="1767">
      <c r="A1767" s="47" t="n"/>
      <c r="B1767" s="48" t="n"/>
      <c r="C1767" s="48" t="n"/>
      <c r="D1767" s="48" t="n"/>
      <c r="E1767" s="48" t="n"/>
      <c r="F1767" s="48" t="n"/>
      <c r="G1767" s="48" t="n"/>
      <c r="H1767" s="48" t="n"/>
      <c r="I1767" s="49" t="n"/>
      <c r="J1767" s="50" t="n"/>
      <c r="K1767" s="48" t="n"/>
      <c r="L1767" s="51">
        <f>IF(A1767="","",DATE(YEAR(A1767),MONTH(A1767),1))</f>
        <v/>
      </c>
      <c r="M1767" s="52">
        <f>IF(OR(A1767="",NOT(ISNUMBER(I1767))),"",IF(G1767=Lists!$B$5,I1767/2,IF(G1767=Lists!$B$6,I1767,0)))</f>
        <v/>
      </c>
      <c r="N1767" s="52">
        <f>IF(OR(A1767="",NOT(ISNUMBER(I1767))),"",IF(G1767=Lists!$B$5,I1767/2,IF(G1767=Lists!$B$7,I1767,0)))</f>
        <v/>
      </c>
      <c r="O1767" s="53">
        <f>IF(COUNTA(A1767:K1767)=0,"",IF(OR(A1767="",B1767="",C1767="",D1767="",E1767="",F1767="",G1767="",NOT(ISNUMBER(I1767))),"Incomplete",IF(COUNTIF(Lists!$H$4:$AA$4,C1767)=0,"Check category",IF(COUNTIF(INDEX(Lists!$H$6:$AA$45,0,MATCH(C1767,Lists!$H$4:$AA$4,0)),D1767)=0,"Check sub-category","OK"))))</f>
        <v/>
      </c>
      <c r="P1767">
        <f>IF(ISNUMBER(I1767),I1767+ROW()/10000000,"")</f>
        <v/>
      </c>
      <c r="Q1767">
        <f>IF(AND(ISNUMBER(P1767),ISNUMBER(A1767)),IF(AND(A1767&gt;=Dashboard!$Q$3,A1767&lt;=Dashboard!$Q$4,OR(J1767&lt;&gt;"Yes",Dashboard!$Q$15="Yes")),P1767,""),"")</f>
        <v/>
      </c>
    </row>
    <row r="1768">
      <c r="A1768" s="47" t="n"/>
      <c r="B1768" s="48" t="n"/>
      <c r="C1768" s="48" t="n"/>
      <c r="D1768" s="48" t="n"/>
      <c r="E1768" s="48" t="n"/>
      <c r="F1768" s="48" t="n"/>
      <c r="G1768" s="48" t="n"/>
      <c r="H1768" s="48" t="n"/>
      <c r="I1768" s="49" t="n"/>
      <c r="J1768" s="50" t="n"/>
      <c r="K1768" s="48" t="n"/>
      <c r="L1768" s="51">
        <f>IF(A1768="","",DATE(YEAR(A1768),MONTH(A1768),1))</f>
        <v/>
      </c>
      <c r="M1768" s="52">
        <f>IF(OR(A1768="",NOT(ISNUMBER(I1768))),"",IF(G1768=Lists!$B$5,I1768/2,IF(G1768=Lists!$B$6,I1768,0)))</f>
        <v/>
      </c>
      <c r="N1768" s="52">
        <f>IF(OR(A1768="",NOT(ISNUMBER(I1768))),"",IF(G1768=Lists!$B$5,I1768/2,IF(G1768=Lists!$B$7,I1768,0)))</f>
        <v/>
      </c>
      <c r="O1768" s="53">
        <f>IF(COUNTA(A1768:K1768)=0,"",IF(OR(A1768="",B1768="",C1768="",D1768="",E1768="",F1768="",G1768="",NOT(ISNUMBER(I1768))),"Incomplete",IF(COUNTIF(Lists!$H$4:$AA$4,C1768)=0,"Check category",IF(COUNTIF(INDEX(Lists!$H$6:$AA$45,0,MATCH(C1768,Lists!$H$4:$AA$4,0)),D1768)=0,"Check sub-category","OK"))))</f>
        <v/>
      </c>
      <c r="P1768">
        <f>IF(ISNUMBER(I1768),I1768+ROW()/10000000,"")</f>
        <v/>
      </c>
      <c r="Q1768">
        <f>IF(AND(ISNUMBER(P1768),ISNUMBER(A1768)),IF(AND(A1768&gt;=Dashboard!$Q$3,A1768&lt;=Dashboard!$Q$4,OR(J1768&lt;&gt;"Yes",Dashboard!$Q$15="Yes")),P1768,""),"")</f>
        <v/>
      </c>
    </row>
    <row r="1769">
      <c r="A1769" s="47" t="n"/>
      <c r="B1769" s="48" t="n"/>
      <c r="C1769" s="48" t="n"/>
      <c r="D1769" s="48" t="n"/>
      <c r="E1769" s="48" t="n"/>
      <c r="F1769" s="48" t="n"/>
      <c r="G1769" s="48" t="n"/>
      <c r="H1769" s="48" t="n"/>
      <c r="I1769" s="49" t="n"/>
      <c r="J1769" s="50" t="n"/>
      <c r="K1769" s="48" t="n"/>
      <c r="L1769" s="51">
        <f>IF(A1769="","",DATE(YEAR(A1769),MONTH(A1769),1))</f>
        <v/>
      </c>
      <c r="M1769" s="52">
        <f>IF(OR(A1769="",NOT(ISNUMBER(I1769))),"",IF(G1769=Lists!$B$5,I1769/2,IF(G1769=Lists!$B$6,I1769,0)))</f>
        <v/>
      </c>
      <c r="N1769" s="52">
        <f>IF(OR(A1769="",NOT(ISNUMBER(I1769))),"",IF(G1769=Lists!$B$5,I1769/2,IF(G1769=Lists!$B$7,I1769,0)))</f>
        <v/>
      </c>
      <c r="O1769" s="53">
        <f>IF(COUNTA(A1769:K1769)=0,"",IF(OR(A1769="",B1769="",C1769="",D1769="",E1769="",F1769="",G1769="",NOT(ISNUMBER(I1769))),"Incomplete",IF(COUNTIF(Lists!$H$4:$AA$4,C1769)=0,"Check category",IF(COUNTIF(INDEX(Lists!$H$6:$AA$45,0,MATCH(C1769,Lists!$H$4:$AA$4,0)),D1769)=0,"Check sub-category","OK"))))</f>
        <v/>
      </c>
      <c r="P1769">
        <f>IF(ISNUMBER(I1769),I1769+ROW()/10000000,"")</f>
        <v/>
      </c>
      <c r="Q1769">
        <f>IF(AND(ISNUMBER(P1769),ISNUMBER(A1769)),IF(AND(A1769&gt;=Dashboard!$Q$3,A1769&lt;=Dashboard!$Q$4,OR(J1769&lt;&gt;"Yes",Dashboard!$Q$15="Yes")),P1769,""),"")</f>
        <v/>
      </c>
    </row>
    <row r="1770">
      <c r="A1770" s="47" t="n"/>
      <c r="B1770" s="48" t="n"/>
      <c r="C1770" s="48" t="n"/>
      <c r="D1770" s="48" t="n"/>
      <c r="E1770" s="48" t="n"/>
      <c r="F1770" s="48" t="n"/>
      <c r="G1770" s="48" t="n"/>
      <c r="H1770" s="48" t="n"/>
      <c r="I1770" s="49" t="n"/>
      <c r="J1770" s="50" t="n"/>
      <c r="K1770" s="48" t="n"/>
      <c r="L1770" s="51">
        <f>IF(A1770="","",DATE(YEAR(A1770),MONTH(A1770),1))</f>
        <v/>
      </c>
      <c r="M1770" s="52">
        <f>IF(OR(A1770="",NOT(ISNUMBER(I1770))),"",IF(G1770=Lists!$B$5,I1770/2,IF(G1770=Lists!$B$6,I1770,0)))</f>
        <v/>
      </c>
      <c r="N1770" s="52">
        <f>IF(OR(A1770="",NOT(ISNUMBER(I1770))),"",IF(G1770=Lists!$B$5,I1770/2,IF(G1770=Lists!$B$7,I1770,0)))</f>
        <v/>
      </c>
      <c r="O1770" s="53">
        <f>IF(COUNTA(A1770:K1770)=0,"",IF(OR(A1770="",B1770="",C1770="",D1770="",E1770="",F1770="",G1770="",NOT(ISNUMBER(I1770))),"Incomplete",IF(COUNTIF(Lists!$H$4:$AA$4,C1770)=0,"Check category",IF(COUNTIF(INDEX(Lists!$H$6:$AA$45,0,MATCH(C1770,Lists!$H$4:$AA$4,0)),D1770)=0,"Check sub-category","OK"))))</f>
        <v/>
      </c>
      <c r="P1770">
        <f>IF(ISNUMBER(I1770),I1770+ROW()/10000000,"")</f>
        <v/>
      </c>
      <c r="Q1770">
        <f>IF(AND(ISNUMBER(P1770),ISNUMBER(A1770)),IF(AND(A1770&gt;=Dashboard!$Q$3,A1770&lt;=Dashboard!$Q$4,OR(J1770&lt;&gt;"Yes",Dashboard!$Q$15="Yes")),P1770,""),"")</f>
        <v/>
      </c>
    </row>
    <row r="1771">
      <c r="A1771" s="47" t="n"/>
      <c r="B1771" s="48" t="n"/>
      <c r="C1771" s="48" t="n"/>
      <c r="D1771" s="48" t="n"/>
      <c r="E1771" s="48" t="n"/>
      <c r="F1771" s="48" t="n"/>
      <c r="G1771" s="48" t="n"/>
      <c r="H1771" s="48" t="n"/>
      <c r="I1771" s="49" t="n"/>
      <c r="J1771" s="50" t="n"/>
      <c r="K1771" s="48" t="n"/>
      <c r="L1771" s="51">
        <f>IF(A1771="","",DATE(YEAR(A1771),MONTH(A1771),1))</f>
        <v/>
      </c>
      <c r="M1771" s="52">
        <f>IF(OR(A1771="",NOT(ISNUMBER(I1771))),"",IF(G1771=Lists!$B$5,I1771/2,IF(G1771=Lists!$B$6,I1771,0)))</f>
        <v/>
      </c>
      <c r="N1771" s="52">
        <f>IF(OR(A1771="",NOT(ISNUMBER(I1771))),"",IF(G1771=Lists!$B$5,I1771/2,IF(G1771=Lists!$B$7,I1771,0)))</f>
        <v/>
      </c>
      <c r="O1771" s="53">
        <f>IF(COUNTA(A1771:K1771)=0,"",IF(OR(A1771="",B1771="",C1771="",D1771="",E1771="",F1771="",G1771="",NOT(ISNUMBER(I1771))),"Incomplete",IF(COUNTIF(Lists!$H$4:$AA$4,C1771)=0,"Check category",IF(COUNTIF(INDEX(Lists!$H$6:$AA$45,0,MATCH(C1771,Lists!$H$4:$AA$4,0)),D1771)=0,"Check sub-category","OK"))))</f>
        <v/>
      </c>
      <c r="P1771">
        <f>IF(ISNUMBER(I1771),I1771+ROW()/10000000,"")</f>
        <v/>
      </c>
      <c r="Q1771">
        <f>IF(AND(ISNUMBER(P1771),ISNUMBER(A1771)),IF(AND(A1771&gt;=Dashboard!$Q$3,A1771&lt;=Dashboard!$Q$4,OR(J1771&lt;&gt;"Yes",Dashboard!$Q$15="Yes")),P1771,""),"")</f>
        <v/>
      </c>
    </row>
    <row r="1772">
      <c r="A1772" s="47" t="n"/>
      <c r="B1772" s="48" t="n"/>
      <c r="C1772" s="48" t="n"/>
      <c r="D1772" s="48" t="n"/>
      <c r="E1772" s="48" t="n"/>
      <c r="F1772" s="48" t="n"/>
      <c r="G1772" s="48" t="n"/>
      <c r="H1772" s="48" t="n"/>
      <c r="I1772" s="49" t="n"/>
      <c r="J1772" s="50" t="n"/>
      <c r="K1772" s="48" t="n"/>
      <c r="L1772" s="51">
        <f>IF(A1772="","",DATE(YEAR(A1772),MONTH(A1772),1))</f>
        <v/>
      </c>
      <c r="M1772" s="52">
        <f>IF(OR(A1772="",NOT(ISNUMBER(I1772))),"",IF(G1772=Lists!$B$5,I1772/2,IF(G1772=Lists!$B$6,I1772,0)))</f>
        <v/>
      </c>
      <c r="N1772" s="52">
        <f>IF(OR(A1772="",NOT(ISNUMBER(I1772))),"",IF(G1772=Lists!$B$5,I1772/2,IF(G1772=Lists!$B$7,I1772,0)))</f>
        <v/>
      </c>
      <c r="O1772" s="53">
        <f>IF(COUNTA(A1772:K1772)=0,"",IF(OR(A1772="",B1772="",C1772="",D1772="",E1772="",F1772="",G1772="",NOT(ISNUMBER(I1772))),"Incomplete",IF(COUNTIF(Lists!$H$4:$AA$4,C1772)=0,"Check category",IF(COUNTIF(INDEX(Lists!$H$6:$AA$45,0,MATCH(C1772,Lists!$H$4:$AA$4,0)),D1772)=0,"Check sub-category","OK"))))</f>
        <v/>
      </c>
      <c r="P1772">
        <f>IF(ISNUMBER(I1772),I1772+ROW()/10000000,"")</f>
        <v/>
      </c>
      <c r="Q1772">
        <f>IF(AND(ISNUMBER(P1772),ISNUMBER(A1772)),IF(AND(A1772&gt;=Dashboard!$Q$3,A1772&lt;=Dashboard!$Q$4,OR(J1772&lt;&gt;"Yes",Dashboard!$Q$15="Yes")),P1772,""),"")</f>
        <v/>
      </c>
    </row>
    <row r="1773">
      <c r="A1773" s="47" t="n"/>
      <c r="B1773" s="48" t="n"/>
      <c r="C1773" s="48" t="n"/>
      <c r="D1773" s="48" t="n"/>
      <c r="E1773" s="48" t="n"/>
      <c r="F1773" s="48" t="n"/>
      <c r="G1773" s="48" t="n"/>
      <c r="H1773" s="48" t="n"/>
      <c r="I1773" s="49" t="n"/>
      <c r="J1773" s="50" t="n"/>
      <c r="K1773" s="48" t="n"/>
      <c r="L1773" s="51">
        <f>IF(A1773="","",DATE(YEAR(A1773),MONTH(A1773),1))</f>
        <v/>
      </c>
      <c r="M1773" s="52">
        <f>IF(OR(A1773="",NOT(ISNUMBER(I1773))),"",IF(G1773=Lists!$B$5,I1773/2,IF(G1773=Lists!$B$6,I1773,0)))</f>
        <v/>
      </c>
      <c r="N1773" s="52">
        <f>IF(OR(A1773="",NOT(ISNUMBER(I1773))),"",IF(G1773=Lists!$B$5,I1773/2,IF(G1773=Lists!$B$7,I1773,0)))</f>
        <v/>
      </c>
      <c r="O1773" s="53">
        <f>IF(COUNTA(A1773:K1773)=0,"",IF(OR(A1773="",B1773="",C1773="",D1773="",E1773="",F1773="",G1773="",NOT(ISNUMBER(I1773))),"Incomplete",IF(COUNTIF(Lists!$H$4:$AA$4,C1773)=0,"Check category",IF(COUNTIF(INDEX(Lists!$H$6:$AA$45,0,MATCH(C1773,Lists!$H$4:$AA$4,0)),D1773)=0,"Check sub-category","OK"))))</f>
        <v/>
      </c>
      <c r="P1773">
        <f>IF(ISNUMBER(I1773),I1773+ROW()/10000000,"")</f>
        <v/>
      </c>
      <c r="Q1773">
        <f>IF(AND(ISNUMBER(P1773),ISNUMBER(A1773)),IF(AND(A1773&gt;=Dashboard!$Q$3,A1773&lt;=Dashboard!$Q$4,OR(J1773&lt;&gt;"Yes",Dashboard!$Q$15="Yes")),P1773,""),"")</f>
        <v/>
      </c>
    </row>
    <row r="1774">
      <c r="A1774" s="47" t="n"/>
      <c r="B1774" s="48" t="n"/>
      <c r="C1774" s="48" t="n"/>
      <c r="D1774" s="48" t="n"/>
      <c r="E1774" s="48" t="n"/>
      <c r="F1774" s="48" t="n"/>
      <c r="G1774" s="48" t="n"/>
      <c r="H1774" s="48" t="n"/>
      <c r="I1774" s="49" t="n"/>
      <c r="J1774" s="50" t="n"/>
      <c r="K1774" s="48" t="n"/>
      <c r="L1774" s="51">
        <f>IF(A1774="","",DATE(YEAR(A1774),MONTH(A1774),1))</f>
        <v/>
      </c>
      <c r="M1774" s="52">
        <f>IF(OR(A1774="",NOT(ISNUMBER(I1774))),"",IF(G1774=Lists!$B$5,I1774/2,IF(G1774=Lists!$B$6,I1774,0)))</f>
        <v/>
      </c>
      <c r="N1774" s="52">
        <f>IF(OR(A1774="",NOT(ISNUMBER(I1774))),"",IF(G1774=Lists!$B$5,I1774/2,IF(G1774=Lists!$B$7,I1774,0)))</f>
        <v/>
      </c>
      <c r="O1774" s="53">
        <f>IF(COUNTA(A1774:K1774)=0,"",IF(OR(A1774="",B1774="",C1774="",D1774="",E1774="",F1774="",G1774="",NOT(ISNUMBER(I1774))),"Incomplete",IF(COUNTIF(Lists!$H$4:$AA$4,C1774)=0,"Check category",IF(COUNTIF(INDEX(Lists!$H$6:$AA$45,0,MATCH(C1774,Lists!$H$4:$AA$4,0)),D1774)=0,"Check sub-category","OK"))))</f>
        <v/>
      </c>
      <c r="P1774">
        <f>IF(ISNUMBER(I1774),I1774+ROW()/10000000,"")</f>
        <v/>
      </c>
      <c r="Q1774">
        <f>IF(AND(ISNUMBER(P1774),ISNUMBER(A1774)),IF(AND(A1774&gt;=Dashboard!$Q$3,A1774&lt;=Dashboard!$Q$4,OR(J1774&lt;&gt;"Yes",Dashboard!$Q$15="Yes")),P1774,""),"")</f>
        <v/>
      </c>
    </row>
    <row r="1775">
      <c r="A1775" s="47" t="n"/>
      <c r="B1775" s="48" t="n"/>
      <c r="C1775" s="48" t="n"/>
      <c r="D1775" s="48" t="n"/>
      <c r="E1775" s="48" t="n"/>
      <c r="F1775" s="48" t="n"/>
      <c r="G1775" s="48" t="n"/>
      <c r="H1775" s="48" t="n"/>
      <c r="I1775" s="49" t="n"/>
      <c r="J1775" s="50" t="n"/>
      <c r="K1775" s="48" t="n"/>
      <c r="L1775" s="51">
        <f>IF(A1775="","",DATE(YEAR(A1775),MONTH(A1775),1))</f>
        <v/>
      </c>
      <c r="M1775" s="52">
        <f>IF(OR(A1775="",NOT(ISNUMBER(I1775))),"",IF(G1775=Lists!$B$5,I1775/2,IF(G1775=Lists!$B$6,I1775,0)))</f>
        <v/>
      </c>
      <c r="N1775" s="52">
        <f>IF(OR(A1775="",NOT(ISNUMBER(I1775))),"",IF(G1775=Lists!$B$5,I1775/2,IF(G1775=Lists!$B$7,I1775,0)))</f>
        <v/>
      </c>
      <c r="O1775" s="53">
        <f>IF(COUNTA(A1775:K1775)=0,"",IF(OR(A1775="",B1775="",C1775="",D1775="",E1775="",F1775="",G1775="",NOT(ISNUMBER(I1775))),"Incomplete",IF(COUNTIF(Lists!$H$4:$AA$4,C1775)=0,"Check category",IF(COUNTIF(INDEX(Lists!$H$6:$AA$45,0,MATCH(C1775,Lists!$H$4:$AA$4,0)),D1775)=0,"Check sub-category","OK"))))</f>
        <v/>
      </c>
      <c r="P1775">
        <f>IF(ISNUMBER(I1775),I1775+ROW()/10000000,"")</f>
        <v/>
      </c>
      <c r="Q1775">
        <f>IF(AND(ISNUMBER(P1775),ISNUMBER(A1775)),IF(AND(A1775&gt;=Dashboard!$Q$3,A1775&lt;=Dashboard!$Q$4,OR(J1775&lt;&gt;"Yes",Dashboard!$Q$15="Yes")),P1775,""),"")</f>
        <v/>
      </c>
    </row>
    <row r="1776">
      <c r="A1776" s="47" t="n"/>
      <c r="B1776" s="48" t="n"/>
      <c r="C1776" s="48" t="n"/>
      <c r="D1776" s="48" t="n"/>
      <c r="E1776" s="48" t="n"/>
      <c r="F1776" s="48" t="n"/>
      <c r="G1776" s="48" t="n"/>
      <c r="H1776" s="48" t="n"/>
      <c r="I1776" s="49" t="n"/>
      <c r="J1776" s="50" t="n"/>
      <c r="K1776" s="48" t="n"/>
      <c r="L1776" s="51">
        <f>IF(A1776="","",DATE(YEAR(A1776),MONTH(A1776),1))</f>
        <v/>
      </c>
      <c r="M1776" s="52">
        <f>IF(OR(A1776="",NOT(ISNUMBER(I1776))),"",IF(G1776=Lists!$B$5,I1776/2,IF(G1776=Lists!$B$6,I1776,0)))</f>
        <v/>
      </c>
      <c r="N1776" s="52">
        <f>IF(OR(A1776="",NOT(ISNUMBER(I1776))),"",IF(G1776=Lists!$B$5,I1776/2,IF(G1776=Lists!$B$7,I1776,0)))</f>
        <v/>
      </c>
      <c r="O1776" s="53">
        <f>IF(COUNTA(A1776:K1776)=0,"",IF(OR(A1776="",B1776="",C1776="",D1776="",E1776="",F1776="",G1776="",NOT(ISNUMBER(I1776))),"Incomplete",IF(COUNTIF(Lists!$H$4:$AA$4,C1776)=0,"Check category",IF(COUNTIF(INDEX(Lists!$H$6:$AA$45,0,MATCH(C1776,Lists!$H$4:$AA$4,0)),D1776)=0,"Check sub-category","OK"))))</f>
        <v/>
      </c>
      <c r="P1776">
        <f>IF(ISNUMBER(I1776),I1776+ROW()/10000000,"")</f>
        <v/>
      </c>
      <c r="Q1776">
        <f>IF(AND(ISNUMBER(P1776),ISNUMBER(A1776)),IF(AND(A1776&gt;=Dashboard!$Q$3,A1776&lt;=Dashboard!$Q$4,OR(J1776&lt;&gt;"Yes",Dashboard!$Q$15="Yes")),P1776,""),"")</f>
        <v/>
      </c>
    </row>
    <row r="1777">
      <c r="A1777" s="47" t="n"/>
      <c r="B1777" s="48" t="n"/>
      <c r="C1777" s="48" t="n"/>
      <c r="D1777" s="48" t="n"/>
      <c r="E1777" s="48" t="n"/>
      <c r="F1777" s="48" t="n"/>
      <c r="G1777" s="48" t="n"/>
      <c r="H1777" s="48" t="n"/>
      <c r="I1777" s="49" t="n"/>
      <c r="J1777" s="50" t="n"/>
      <c r="K1777" s="48" t="n"/>
      <c r="L1777" s="51">
        <f>IF(A1777="","",DATE(YEAR(A1777),MONTH(A1777),1))</f>
        <v/>
      </c>
      <c r="M1777" s="52">
        <f>IF(OR(A1777="",NOT(ISNUMBER(I1777))),"",IF(G1777=Lists!$B$5,I1777/2,IF(G1777=Lists!$B$6,I1777,0)))</f>
        <v/>
      </c>
      <c r="N1777" s="52">
        <f>IF(OR(A1777="",NOT(ISNUMBER(I1777))),"",IF(G1777=Lists!$B$5,I1777/2,IF(G1777=Lists!$B$7,I1777,0)))</f>
        <v/>
      </c>
      <c r="O1777" s="53">
        <f>IF(COUNTA(A1777:K1777)=0,"",IF(OR(A1777="",B1777="",C1777="",D1777="",E1777="",F1777="",G1777="",NOT(ISNUMBER(I1777))),"Incomplete",IF(COUNTIF(Lists!$H$4:$AA$4,C1777)=0,"Check category",IF(COUNTIF(INDEX(Lists!$H$6:$AA$45,0,MATCH(C1777,Lists!$H$4:$AA$4,0)),D1777)=0,"Check sub-category","OK"))))</f>
        <v/>
      </c>
      <c r="P1777">
        <f>IF(ISNUMBER(I1777),I1777+ROW()/10000000,"")</f>
        <v/>
      </c>
      <c r="Q1777">
        <f>IF(AND(ISNUMBER(P1777),ISNUMBER(A1777)),IF(AND(A1777&gt;=Dashboard!$Q$3,A1777&lt;=Dashboard!$Q$4,OR(J1777&lt;&gt;"Yes",Dashboard!$Q$15="Yes")),P1777,""),"")</f>
        <v/>
      </c>
    </row>
    <row r="1778">
      <c r="A1778" s="47" t="n"/>
      <c r="B1778" s="48" t="n"/>
      <c r="C1778" s="48" t="n"/>
      <c r="D1778" s="48" t="n"/>
      <c r="E1778" s="48" t="n"/>
      <c r="F1778" s="48" t="n"/>
      <c r="G1778" s="48" t="n"/>
      <c r="H1778" s="48" t="n"/>
      <c r="I1778" s="49" t="n"/>
      <c r="J1778" s="50" t="n"/>
      <c r="K1778" s="48" t="n"/>
      <c r="L1778" s="51">
        <f>IF(A1778="","",DATE(YEAR(A1778),MONTH(A1778),1))</f>
        <v/>
      </c>
      <c r="M1778" s="52">
        <f>IF(OR(A1778="",NOT(ISNUMBER(I1778))),"",IF(G1778=Lists!$B$5,I1778/2,IF(G1778=Lists!$B$6,I1778,0)))</f>
        <v/>
      </c>
      <c r="N1778" s="52">
        <f>IF(OR(A1778="",NOT(ISNUMBER(I1778))),"",IF(G1778=Lists!$B$5,I1778/2,IF(G1778=Lists!$B$7,I1778,0)))</f>
        <v/>
      </c>
      <c r="O1778" s="53">
        <f>IF(COUNTA(A1778:K1778)=0,"",IF(OR(A1778="",B1778="",C1778="",D1778="",E1778="",F1778="",G1778="",NOT(ISNUMBER(I1778))),"Incomplete",IF(COUNTIF(Lists!$H$4:$AA$4,C1778)=0,"Check category",IF(COUNTIF(INDEX(Lists!$H$6:$AA$45,0,MATCH(C1778,Lists!$H$4:$AA$4,0)),D1778)=0,"Check sub-category","OK"))))</f>
        <v/>
      </c>
      <c r="P1778">
        <f>IF(ISNUMBER(I1778),I1778+ROW()/10000000,"")</f>
        <v/>
      </c>
      <c r="Q1778">
        <f>IF(AND(ISNUMBER(P1778),ISNUMBER(A1778)),IF(AND(A1778&gt;=Dashboard!$Q$3,A1778&lt;=Dashboard!$Q$4,OR(J1778&lt;&gt;"Yes",Dashboard!$Q$15="Yes")),P1778,""),"")</f>
        <v/>
      </c>
    </row>
    <row r="1779">
      <c r="A1779" s="47" t="n"/>
      <c r="B1779" s="48" t="n"/>
      <c r="C1779" s="48" t="n"/>
      <c r="D1779" s="48" t="n"/>
      <c r="E1779" s="48" t="n"/>
      <c r="F1779" s="48" t="n"/>
      <c r="G1779" s="48" t="n"/>
      <c r="H1779" s="48" t="n"/>
      <c r="I1779" s="49" t="n"/>
      <c r="J1779" s="50" t="n"/>
      <c r="K1779" s="48" t="n"/>
      <c r="L1779" s="51">
        <f>IF(A1779="","",DATE(YEAR(A1779),MONTH(A1779),1))</f>
        <v/>
      </c>
      <c r="M1779" s="52">
        <f>IF(OR(A1779="",NOT(ISNUMBER(I1779))),"",IF(G1779=Lists!$B$5,I1779/2,IF(G1779=Lists!$B$6,I1779,0)))</f>
        <v/>
      </c>
      <c r="N1779" s="52">
        <f>IF(OR(A1779="",NOT(ISNUMBER(I1779))),"",IF(G1779=Lists!$B$5,I1779/2,IF(G1779=Lists!$B$7,I1779,0)))</f>
        <v/>
      </c>
      <c r="O1779" s="53">
        <f>IF(COUNTA(A1779:K1779)=0,"",IF(OR(A1779="",B1779="",C1779="",D1779="",E1779="",F1779="",G1779="",NOT(ISNUMBER(I1779))),"Incomplete",IF(COUNTIF(Lists!$H$4:$AA$4,C1779)=0,"Check category",IF(COUNTIF(INDEX(Lists!$H$6:$AA$45,0,MATCH(C1779,Lists!$H$4:$AA$4,0)),D1779)=0,"Check sub-category","OK"))))</f>
        <v/>
      </c>
      <c r="P1779">
        <f>IF(ISNUMBER(I1779),I1779+ROW()/10000000,"")</f>
        <v/>
      </c>
      <c r="Q1779">
        <f>IF(AND(ISNUMBER(P1779),ISNUMBER(A1779)),IF(AND(A1779&gt;=Dashboard!$Q$3,A1779&lt;=Dashboard!$Q$4,OR(J1779&lt;&gt;"Yes",Dashboard!$Q$15="Yes")),P1779,""),"")</f>
        <v/>
      </c>
    </row>
    <row r="1780">
      <c r="A1780" s="47" t="n"/>
      <c r="B1780" s="48" t="n"/>
      <c r="C1780" s="48" t="n"/>
      <c r="D1780" s="48" t="n"/>
      <c r="E1780" s="48" t="n"/>
      <c r="F1780" s="48" t="n"/>
      <c r="G1780" s="48" t="n"/>
      <c r="H1780" s="48" t="n"/>
      <c r="I1780" s="49" t="n"/>
      <c r="J1780" s="50" t="n"/>
      <c r="K1780" s="48" t="n"/>
      <c r="L1780" s="51">
        <f>IF(A1780="","",DATE(YEAR(A1780),MONTH(A1780),1))</f>
        <v/>
      </c>
      <c r="M1780" s="52">
        <f>IF(OR(A1780="",NOT(ISNUMBER(I1780))),"",IF(G1780=Lists!$B$5,I1780/2,IF(G1780=Lists!$B$6,I1780,0)))</f>
        <v/>
      </c>
      <c r="N1780" s="52">
        <f>IF(OR(A1780="",NOT(ISNUMBER(I1780))),"",IF(G1780=Lists!$B$5,I1780/2,IF(G1780=Lists!$B$7,I1780,0)))</f>
        <v/>
      </c>
      <c r="O1780" s="53">
        <f>IF(COUNTA(A1780:K1780)=0,"",IF(OR(A1780="",B1780="",C1780="",D1780="",E1780="",F1780="",G1780="",NOT(ISNUMBER(I1780))),"Incomplete",IF(COUNTIF(Lists!$H$4:$AA$4,C1780)=0,"Check category",IF(COUNTIF(INDEX(Lists!$H$6:$AA$45,0,MATCH(C1780,Lists!$H$4:$AA$4,0)),D1780)=0,"Check sub-category","OK"))))</f>
        <v/>
      </c>
      <c r="P1780">
        <f>IF(ISNUMBER(I1780),I1780+ROW()/10000000,"")</f>
        <v/>
      </c>
      <c r="Q1780">
        <f>IF(AND(ISNUMBER(P1780),ISNUMBER(A1780)),IF(AND(A1780&gt;=Dashboard!$Q$3,A1780&lt;=Dashboard!$Q$4,OR(J1780&lt;&gt;"Yes",Dashboard!$Q$15="Yes")),P1780,""),"")</f>
        <v/>
      </c>
    </row>
    <row r="1781">
      <c r="A1781" s="47" t="n"/>
      <c r="B1781" s="48" t="n"/>
      <c r="C1781" s="48" t="n"/>
      <c r="D1781" s="48" t="n"/>
      <c r="E1781" s="48" t="n"/>
      <c r="F1781" s="48" t="n"/>
      <c r="G1781" s="48" t="n"/>
      <c r="H1781" s="48" t="n"/>
      <c r="I1781" s="49" t="n"/>
      <c r="J1781" s="50" t="n"/>
      <c r="K1781" s="48" t="n"/>
      <c r="L1781" s="51">
        <f>IF(A1781="","",DATE(YEAR(A1781),MONTH(A1781),1))</f>
        <v/>
      </c>
      <c r="M1781" s="52">
        <f>IF(OR(A1781="",NOT(ISNUMBER(I1781))),"",IF(G1781=Lists!$B$5,I1781/2,IF(G1781=Lists!$B$6,I1781,0)))</f>
        <v/>
      </c>
      <c r="N1781" s="52">
        <f>IF(OR(A1781="",NOT(ISNUMBER(I1781))),"",IF(G1781=Lists!$B$5,I1781/2,IF(G1781=Lists!$B$7,I1781,0)))</f>
        <v/>
      </c>
      <c r="O1781" s="53">
        <f>IF(COUNTA(A1781:K1781)=0,"",IF(OR(A1781="",B1781="",C1781="",D1781="",E1781="",F1781="",G1781="",NOT(ISNUMBER(I1781))),"Incomplete",IF(COUNTIF(Lists!$H$4:$AA$4,C1781)=0,"Check category",IF(COUNTIF(INDEX(Lists!$H$6:$AA$45,0,MATCH(C1781,Lists!$H$4:$AA$4,0)),D1781)=0,"Check sub-category","OK"))))</f>
        <v/>
      </c>
      <c r="P1781">
        <f>IF(ISNUMBER(I1781),I1781+ROW()/10000000,"")</f>
        <v/>
      </c>
      <c r="Q1781">
        <f>IF(AND(ISNUMBER(P1781),ISNUMBER(A1781)),IF(AND(A1781&gt;=Dashboard!$Q$3,A1781&lt;=Dashboard!$Q$4,OR(J1781&lt;&gt;"Yes",Dashboard!$Q$15="Yes")),P1781,""),"")</f>
        <v/>
      </c>
    </row>
    <row r="1782">
      <c r="A1782" s="47" t="n"/>
      <c r="B1782" s="48" t="n"/>
      <c r="C1782" s="48" t="n"/>
      <c r="D1782" s="48" t="n"/>
      <c r="E1782" s="48" t="n"/>
      <c r="F1782" s="48" t="n"/>
      <c r="G1782" s="48" t="n"/>
      <c r="H1782" s="48" t="n"/>
      <c r="I1782" s="49" t="n"/>
      <c r="J1782" s="50" t="n"/>
      <c r="K1782" s="48" t="n"/>
      <c r="L1782" s="51">
        <f>IF(A1782="","",DATE(YEAR(A1782),MONTH(A1782),1))</f>
        <v/>
      </c>
      <c r="M1782" s="52">
        <f>IF(OR(A1782="",NOT(ISNUMBER(I1782))),"",IF(G1782=Lists!$B$5,I1782/2,IF(G1782=Lists!$B$6,I1782,0)))</f>
        <v/>
      </c>
      <c r="N1782" s="52">
        <f>IF(OR(A1782="",NOT(ISNUMBER(I1782))),"",IF(G1782=Lists!$B$5,I1782/2,IF(G1782=Lists!$B$7,I1782,0)))</f>
        <v/>
      </c>
      <c r="O1782" s="53">
        <f>IF(COUNTA(A1782:K1782)=0,"",IF(OR(A1782="",B1782="",C1782="",D1782="",E1782="",F1782="",G1782="",NOT(ISNUMBER(I1782))),"Incomplete",IF(COUNTIF(Lists!$H$4:$AA$4,C1782)=0,"Check category",IF(COUNTIF(INDEX(Lists!$H$6:$AA$45,0,MATCH(C1782,Lists!$H$4:$AA$4,0)),D1782)=0,"Check sub-category","OK"))))</f>
        <v/>
      </c>
      <c r="P1782">
        <f>IF(ISNUMBER(I1782),I1782+ROW()/10000000,"")</f>
        <v/>
      </c>
      <c r="Q1782">
        <f>IF(AND(ISNUMBER(P1782),ISNUMBER(A1782)),IF(AND(A1782&gt;=Dashboard!$Q$3,A1782&lt;=Dashboard!$Q$4,OR(J1782&lt;&gt;"Yes",Dashboard!$Q$15="Yes")),P1782,""),"")</f>
        <v/>
      </c>
    </row>
    <row r="1783">
      <c r="A1783" s="47" t="n"/>
      <c r="B1783" s="48" t="n"/>
      <c r="C1783" s="48" t="n"/>
      <c r="D1783" s="48" t="n"/>
      <c r="E1783" s="48" t="n"/>
      <c r="F1783" s="48" t="n"/>
      <c r="G1783" s="48" t="n"/>
      <c r="H1783" s="48" t="n"/>
      <c r="I1783" s="49" t="n"/>
      <c r="J1783" s="50" t="n"/>
      <c r="K1783" s="48" t="n"/>
      <c r="L1783" s="51">
        <f>IF(A1783="","",DATE(YEAR(A1783),MONTH(A1783),1))</f>
        <v/>
      </c>
      <c r="M1783" s="52">
        <f>IF(OR(A1783="",NOT(ISNUMBER(I1783))),"",IF(G1783=Lists!$B$5,I1783/2,IF(G1783=Lists!$B$6,I1783,0)))</f>
        <v/>
      </c>
      <c r="N1783" s="52">
        <f>IF(OR(A1783="",NOT(ISNUMBER(I1783))),"",IF(G1783=Lists!$B$5,I1783/2,IF(G1783=Lists!$B$7,I1783,0)))</f>
        <v/>
      </c>
      <c r="O1783" s="53">
        <f>IF(COUNTA(A1783:K1783)=0,"",IF(OR(A1783="",B1783="",C1783="",D1783="",E1783="",F1783="",G1783="",NOT(ISNUMBER(I1783))),"Incomplete",IF(COUNTIF(Lists!$H$4:$AA$4,C1783)=0,"Check category",IF(COUNTIF(INDEX(Lists!$H$6:$AA$45,0,MATCH(C1783,Lists!$H$4:$AA$4,0)),D1783)=0,"Check sub-category","OK"))))</f>
        <v/>
      </c>
      <c r="P1783">
        <f>IF(ISNUMBER(I1783),I1783+ROW()/10000000,"")</f>
        <v/>
      </c>
      <c r="Q1783">
        <f>IF(AND(ISNUMBER(P1783),ISNUMBER(A1783)),IF(AND(A1783&gt;=Dashboard!$Q$3,A1783&lt;=Dashboard!$Q$4,OR(J1783&lt;&gt;"Yes",Dashboard!$Q$15="Yes")),P1783,""),"")</f>
        <v/>
      </c>
    </row>
    <row r="1784">
      <c r="A1784" s="47" t="n"/>
      <c r="B1784" s="48" t="n"/>
      <c r="C1784" s="48" t="n"/>
      <c r="D1784" s="48" t="n"/>
      <c r="E1784" s="48" t="n"/>
      <c r="F1784" s="48" t="n"/>
      <c r="G1784" s="48" t="n"/>
      <c r="H1784" s="48" t="n"/>
      <c r="I1784" s="49" t="n"/>
      <c r="J1784" s="50" t="n"/>
      <c r="K1784" s="48" t="n"/>
      <c r="L1784" s="51">
        <f>IF(A1784="","",DATE(YEAR(A1784),MONTH(A1784),1))</f>
        <v/>
      </c>
      <c r="M1784" s="52">
        <f>IF(OR(A1784="",NOT(ISNUMBER(I1784))),"",IF(G1784=Lists!$B$5,I1784/2,IF(G1784=Lists!$B$6,I1784,0)))</f>
        <v/>
      </c>
      <c r="N1784" s="52">
        <f>IF(OR(A1784="",NOT(ISNUMBER(I1784))),"",IF(G1784=Lists!$B$5,I1784/2,IF(G1784=Lists!$B$7,I1784,0)))</f>
        <v/>
      </c>
      <c r="O1784" s="53">
        <f>IF(COUNTA(A1784:K1784)=0,"",IF(OR(A1784="",B1784="",C1784="",D1784="",E1784="",F1784="",G1784="",NOT(ISNUMBER(I1784))),"Incomplete",IF(COUNTIF(Lists!$H$4:$AA$4,C1784)=0,"Check category",IF(COUNTIF(INDEX(Lists!$H$6:$AA$45,0,MATCH(C1784,Lists!$H$4:$AA$4,0)),D1784)=0,"Check sub-category","OK"))))</f>
        <v/>
      </c>
      <c r="P1784">
        <f>IF(ISNUMBER(I1784),I1784+ROW()/10000000,"")</f>
        <v/>
      </c>
      <c r="Q1784">
        <f>IF(AND(ISNUMBER(P1784),ISNUMBER(A1784)),IF(AND(A1784&gt;=Dashboard!$Q$3,A1784&lt;=Dashboard!$Q$4,OR(J1784&lt;&gt;"Yes",Dashboard!$Q$15="Yes")),P1784,""),"")</f>
        <v/>
      </c>
    </row>
    <row r="1785">
      <c r="A1785" s="47" t="n"/>
      <c r="B1785" s="48" t="n"/>
      <c r="C1785" s="48" t="n"/>
      <c r="D1785" s="48" t="n"/>
      <c r="E1785" s="48" t="n"/>
      <c r="F1785" s="48" t="n"/>
      <c r="G1785" s="48" t="n"/>
      <c r="H1785" s="48" t="n"/>
      <c r="I1785" s="49" t="n"/>
      <c r="J1785" s="50" t="n"/>
      <c r="K1785" s="48" t="n"/>
      <c r="L1785" s="51">
        <f>IF(A1785="","",DATE(YEAR(A1785),MONTH(A1785),1))</f>
        <v/>
      </c>
      <c r="M1785" s="52">
        <f>IF(OR(A1785="",NOT(ISNUMBER(I1785))),"",IF(G1785=Lists!$B$5,I1785/2,IF(G1785=Lists!$B$6,I1785,0)))</f>
        <v/>
      </c>
      <c r="N1785" s="52">
        <f>IF(OR(A1785="",NOT(ISNUMBER(I1785))),"",IF(G1785=Lists!$B$5,I1785/2,IF(G1785=Lists!$B$7,I1785,0)))</f>
        <v/>
      </c>
      <c r="O1785" s="53">
        <f>IF(COUNTA(A1785:K1785)=0,"",IF(OR(A1785="",B1785="",C1785="",D1785="",E1785="",F1785="",G1785="",NOT(ISNUMBER(I1785))),"Incomplete",IF(COUNTIF(Lists!$H$4:$AA$4,C1785)=0,"Check category",IF(COUNTIF(INDEX(Lists!$H$6:$AA$45,0,MATCH(C1785,Lists!$H$4:$AA$4,0)),D1785)=0,"Check sub-category","OK"))))</f>
        <v/>
      </c>
      <c r="P1785">
        <f>IF(ISNUMBER(I1785),I1785+ROW()/10000000,"")</f>
        <v/>
      </c>
      <c r="Q1785">
        <f>IF(AND(ISNUMBER(P1785),ISNUMBER(A1785)),IF(AND(A1785&gt;=Dashboard!$Q$3,A1785&lt;=Dashboard!$Q$4,OR(J1785&lt;&gt;"Yes",Dashboard!$Q$15="Yes")),P1785,""),"")</f>
        <v/>
      </c>
    </row>
    <row r="1786">
      <c r="A1786" s="47" t="n"/>
      <c r="B1786" s="48" t="n"/>
      <c r="C1786" s="48" t="n"/>
      <c r="D1786" s="48" t="n"/>
      <c r="E1786" s="48" t="n"/>
      <c r="F1786" s="48" t="n"/>
      <c r="G1786" s="48" t="n"/>
      <c r="H1786" s="48" t="n"/>
      <c r="I1786" s="49" t="n"/>
      <c r="J1786" s="50" t="n"/>
      <c r="K1786" s="48" t="n"/>
      <c r="L1786" s="51">
        <f>IF(A1786="","",DATE(YEAR(A1786),MONTH(A1786),1))</f>
        <v/>
      </c>
      <c r="M1786" s="52">
        <f>IF(OR(A1786="",NOT(ISNUMBER(I1786))),"",IF(G1786=Lists!$B$5,I1786/2,IF(G1786=Lists!$B$6,I1786,0)))</f>
        <v/>
      </c>
      <c r="N1786" s="52">
        <f>IF(OR(A1786="",NOT(ISNUMBER(I1786))),"",IF(G1786=Lists!$B$5,I1786/2,IF(G1786=Lists!$B$7,I1786,0)))</f>
        <v/>
      </c>
      <c r="O1786" s="53">
        <f>IF(COUNTA(A1786:K1786)=0,"",IF(OR(A1786="",B1786="",C1786="",D1786="",E1786="",F1786="",G1786="",NOT(ISNUMBER(I1786))),"Incomplete",IF(COUNTIF(Lists!$H$4:$AA$4,C1786)=0,"Check category",IF(COUNTIF(INDEX(Lists!$H$6:$AA$45,0,MATCH(C1786,Lists!$H$4:$AA$4,0)),D1786)=0,"Check sub-category","OK"))))</f>
        <v/>
      </c>
      <c r="P1786">
        <f>IF(ISNUMBER(I1786),I1786+ROW()/10000000,"")</f>
        <v/>
      </c>
      <c r="Q1786">
        <f>IF(AND(ISNUMBER(P1786),ISNUMBER(A1786)),IF(AND(A1786&gt;=Dashboard!$Q$3,A1786&lt;=Dashboard!$Q$4,OR(J1786&lt;&gt;"Yes",Dashboard!$Q$15="Yes")),P1786,""),"")</f>
        <v/>
      </c>
    </row>
    <row r="1787">
      <c r="A1787" s="47" t="n"/>
      <c r="B1787" s="48" t="n"/>
      <c r="C1787" s="48" t="n"/>
      <c r="D1787" s="48" t="n"/>
      <c r="E1787" s="48" t="n"/>
      <c r="F1787" s="48" t="n"/>
      <c r="G1787" s="48" t="n"/>
      <c r="H1787" s="48" t="n"/>
      <c r="I1787" s="49" t="n"/>
      <c r="J1787" s="50" t="n"/>
      <c r="K1787" s="48" t="n"/>
      <c r="L1787" s="51">
        <f>IF(A1787="","",DATE(YEAR(A1787),MONTH(A1787),1))</f>
        <v/>
      </c>
      <c r="M1787" s="52">
        <f>IF(OR(A1787="",NOT(ISNUMBER(I1787))),"",IF(G1787=Lists!$B$5,I1787/2,IF(G1787=Lists!$B$6,I1787,0)))</f>
        <v/>
      </c>
      <c r="N1787" s="52">
        <f>IF(OR(A1787="",NOT(ISNUMBER(I1787))),"",IF(G1787=Lists!$B$5,I1787/2,IF(G1787=Lists!$B$7,I1787,0)))</f>
        <v/>
      </c>
      <c r="O1787" s="53">
        <f>IF(COUNTA(A1787:K1787)=0,"",IF(OR(A1787="",B1787="",C1787="",D1787="",E1787="",F1787="",G1787="",NOT(ISNUMBER(I1787))),"Incomplete",IF(COUNTIF(Lists!$H$4:$AA$4,C1787)=0,"Check category",IF(COUNTIF(INDEX(Lists!$H$6:$AA$45,0,MATCH(C1787,Lists!$H$4:$AA$4,0)),D1787)=0,"Check sub-category","OK"))))</f>
        <v/>
      </c>
      <c r="P1787">
        <f>IF(ISNUMBER(I1787),I1787+ROW()/10000000,"")</f>
        <v/>
      </c>
      <c r="Q1787">
        <f>IF(AND(ISNUMBER(P1787),ISNUMBER(A1787)),IF(AND(A1787&gt;=Dashboard!$Q$3,A1787&lt;=Dashboard!$Q$4,OR(J1787&lt;&gt;"Yes",Dashboard!$Q$15="Yes")),P1787,""),"")</f>
        <v/>
      </c>
    </row>
    <row r="1788">
      <c r="A1788" s="47" t="n"/>
      <c r="B1788" s="48" t="n"/>
      <c r="C1788" s="48" t="n"/>
      <c r="D1788" s="48" t="n"/>
      <c r="E1788" s="48" t="n"/>
      <c r="F1788" s="48" t="n"/>
      <c r="G1788" s="48" t="n"/>
      <c r="H1788" s="48" t="n"/>
      <c r="I1788" s="49" t="n"/>
      <c r="J1788" s="50" t="n"/>
      <c r="K1788" s="48" t="n"/>
      <c r="L1788" s="51">
        <f>IF(A1788="","",DATE(YEAR(A1788),MONTH(A1788),1))</f>
        <v/>
      </c>
      <c r="M1788" s="52">
        <f>IF(OR(A1788="",NOT(ISNUMBER(I1788))),"",IF(G1788=Lists!$B$5,I1788/2,IF(G1788=Lists!$B$6,I1788,0)))</f>
        <v/>
      </c>
      <c r="N1788" s="52">
        <f>IF(OR(A1788="",NOT(ISNUMBER(I1788))),"",IF(G1788=Lists!$B$5,I1788/2,IF(G1788=Lists!$B$7,I1788,0)))</f>
        <v/>
      </c>
      <c r="O1788" s="53">
        <f>IF(COUNTA(A1788:K1788)=0,"",IF(OR(A1788="",B1788="",C1788="",D1788="",E1788="",F1788="",G1788="",NOT(ISNUMBER(I1788))),"Incomplete",IF(COUNTIF(Lists!$H$4:$AA$4,C1788)=0,"Check category",IF(COUNTIF(INDEX(Lists!$H$6:$AA$45,0,MATCH(C1788,Lists!$H$4:$AA$4,0)),D1788)=0,"Check sub-category","OK"))))</f>
        <v/>
      </c>
      <c r="P1788">
        <f>IF(ISNUMBER(I1788),I1788+ROW()/10000000,"")</f>
        <v/>
      </c>
      <c r="Q1788">
        <f>IF(AND(ISNUMBER(P1788),ISNUMBER(A1788)),IF(AND(A1788&gt;=Dashboard!$Q$3,A1788&lt;=Dashboard!$Q$4,OR(J1788&lt;&gt;"Yes",Dashboard!$Q$15="Yes")),P1788,""),"")</f>
        <v/>
      </c>
    </row>
    <row r="1789">
      <c r="A1789" s="47" t="n"/>
      <c r="B1789" s="48" t="n"/>
      <c r="C1789" s="48" t="n"/>
      <c r="D1789" s="48" t="n"/>
      <c r="E1789" s="48" t="n"/>
      <c r="F1789" s="48" t="n"/>
      <c r="G1789" s="48" t="n"/>
      <c r="H1789" s="48" t="n"/>
      <c r="I1789" s="49" t="n"/>
      <c r="J1789" s="50" t="n"/>
      <c r="K1789" s="48" t="n"/>
      <c r="L1789" s="51">
        <f>IF(A1789="","",DATE(YEAR(A1789),MONTH(A1789),1))</f>
        <v/>
      </c>
      <c r="M1789" s="52">
        <f>IF(OR(A1789="",NOT(ISNUMBER(I1789))),"",IF(G1789=Lists!$B$5,I1789/2,IF(G1789=Lists!$B$6,I1789,0)))</f>
        <v/>
      </c>
      <c r="N1789" s="52">
        <f>IF(OR(A1789="",NOT(ISNUMBER(I1789))),"",IF(G1789=Lists!$B$5,I1789/2,IF(G1789=Lists!$B$7,I1789,0)))</f>
        <v/>
      </c>
      <c r="O1789" s="53">
        <f>IF(COUNTA(A1789:K1789)=0,"",IF(OR(A1789="",B1789="",C1789="",D1789="",E1789="",F1789="",G1789="",NOT(ISNUMBER(I1789))),"Incomplete",IF(COUNTIF(Lists!$H$4:$AA$4,C1789)=0,"Check category",IF(COUNTIF(INDEX(Lists!$H$6:$AA$45,0,MATCH(C1789,Lists!$H$4:$AA$4,0)),D1789)=0,"Check sub-category","OK"))))</f>
        <v/>
      </c>
      <c r="P1789">
        <f>IF(ISNUMBER(I1789),I1789+ROW()/10000000,"")</f>
        <v/>
      </c>
      <c r="Q1789">
        <f>IF(AND(ISNUMBER(P1789),ISNUMBER(A1789)),IF(AND(A1789&gt;=Dashboard!$Q$3,A1789&lt;=Dashboard!$Q$4,OR(J1789&lt;&gt;"Yes",Dashboard!$Q$15="Yes")),P1789,""),"")</f>
        <v/>
      </c>
    </row>
    <row r="1790">
      <c r="A1790" s="47" t="n"/>
      <c r="B1790" s="48" t="n"/>
      <c r="C1790" s="48" t="n"/>
      <c r="D1790" s="48" t="n"/>
      <c r="E1790" s="48" t="n"/>
      <c r="F1790" s="48" t="n"/>
      <c r="G1790" s="48" t="n"/>
      <c r="H1790" s="48" t="n"/>
      <c r="I1790" s="49" t="n"/>
      <c r="J1790" s="50" t="n"/>
      <c r="K1790" s="48" t="n"/>
      <c r="L1790" s="51">
        <f>IF(A1790="","",DATE(YEAR(A1790),MONTH(A1790),1))</f>
        <v/>
      </c>
      <c r="M1790" s="52">
        <f>IF(OR(A1790="",NOT(ISNUMBER(I1790))),"",IF(G1790=Lists!$B$5,I1790/2,IF(G1790=Lists!$B$6,I1790,0)))</f>
        <v/>
      </c>
      <c r="N1790" s="52">
        <f>IF(OR(A1790="",NOT(ISNUMBER(I1790))),"",IF(G1790=Lists!$B$5,I1790/2,IF(G1790=Lists!$B$7,I1790,0)))</f>
        <v/>
      </c>
      <c r="O1790" s="53">
        <f>IF(COUNTA(A1790:K1790)=0,"",IF(OR(A1790="",B1790="",C1790="",D1790="",E1790="",F1790="",G1790="",NOT(ISNUMBER(I1790))),"Incomplete",IF(COUNTIF(Lists!$H$4:$AA$4,C1790)=0,"Check category",IF(COUNTIF(INDEX(Lists!$H$6:$AA$45,0,MATCH(C1790,Lists!$H$4:$AA$4,0)),D1790)=0,"Check sub-category","OK"))))</f>
        <v/>
      </c>
      <c r="P1790">
        <f>IF(ISNUMBER(I1790),I1790+ROW()/10000000,"")</f>
        <v/>
      </c>
      <c r="Q1790">
        <f>IF(AND(ISNUMBER(P1790),ISNUMBER(A1790)),IF(AND(A1790&gt;=Dashboard!$Q$3,A1790&lt;=Dashboard!$Q$4,OR(J1790&lt;&gt;"Yes",Dashboard!$Q$15="Yes")),P1790,""),"")</f>
        <v/>
      </c>
    </row>
    <row r="1791">
      <c r="A1791" s="47" t="n"/>
      <c r="B1791" s="48" t="n"/>
      <c r="C1791" s="48" t="n"/>
      <c r="D1791" s="48" t="n"/>
      <c r="E1791" s="48" t="n"/>
      <c r="F1791" s="48" t="n"/>
      <c r="G1791" s="48" t="n"/>
      <c r="H1791" s="48" t="n"/>
      <c r="I1791" s="49" t="n"/>
      <c r="J1791" s="50" t="n"/>
      <c r="K1791" s="48" t="n"/>
      <c r="L1791" s="51">
        <f>IF(A1791="","",DATE(YEAR(A1791),MONTH(A1791),1))</f>
        <v/>
      </c>
      <c r="M1791" s="52">
        <f>IF(OR(A1791="",NOT(ISNUMBER(I1791))),"",IF(G1791=Lists!$B$5,I1791/2,IF(G1791=Lists!$B$6,I1791,0)))</f>
        <v/>
      </c>
      <c r="N1791" s="52">
        <f>IF(OR(A1791="",NOT(ISNUMBER(I1791))),"",IF(G1791=Lists!$B$5,I1791/2,IF(G1791=Lists!$B$7,I1791,0)))</f>
        <v/>
      </c>
      <c r="O1791" s="53">
        <f>IF(COUNTA(A1791:K1791)=0,"",IF(OR(A1791="",B1791="",C1791="",D1791="",E1791="",F1791="",G1791="",NOT(ISNUMBER(I1791))),"Incomplete",IF(COUNTIF(Lists!$H$4:$AA$4,C1791)=0,"Check category",IF(COUNTIF(INDEX(Lists!$H$6:$AA$45,0,MATCH(C1791,Lists!$H$4:$AA$4,0)),D1791)=0,"Check sub-category","OK"))))</f>
        <v/>
      </c>
      <c r="P1791">
        <f>IF(ISNUMBER(I1791),I1791+ROW()/10000000,"")</f>
        <v/>
      </c>
      <c r="Q1791">
        <f>IF(AND(ISNUMBER(P1791),ISNUMBER(A1791)),IF(AND(A1791&gt;=Dashboard!$Q$3,A1791&lt;=Dashboard!$Q$4,OR(J1791&lt;&gt;"Yes",Dashboard!$Q$15="Yes")),P1791,""),"")</f>
        <v/>
      </c>
    </row>
    <row r="1792">
      <c r="A1792" s="47" t="n"/>
      <c r="B1792" s="48" t="n"/>
      <c r="C1792" s="48" t="n"/>
      <c r="D1792" s="48" t="n"/>
      <c r="E1792" s="48" t="n"/>
      <c r="F1792" s="48" t="n"/>
      <c r="G1792" s="48" t="n"/>
      <c r="H1792" s="48" t="n"/>
      <c r="I1792" s="49" t="n"/>
      <c r="J1792" s="50" t="n"/>
      <c r="K1792" s="48" t="n"/>
      <c r="L1792" s="51">
        <f>IF(A1792="","",DATE(YEAR(A1792),MONTH(A1792),1))</f>
        <v/>
      </c>
      <c r="M1792" s="52">
        <f>IF(OR(A1792="",NOT(ISNUMBER(I1792))),"",IF(G1792=Lists!$B$5,I1792/2,IF(G1792=Lists!$B$6,I1792,0)))</f>
        <v/>
      </c>
      <c r="N1792" s="52">
        <f>IF(OR(A1792="",NOT(ISNUMBER(I1792))),"",IF(G1792=Lists!$B$5,I1792/2,IF(G1792=Lists!$B$7,I1792,0)))</f>
        <v/>
      </c>
      <c r="O1792" s="53">
        <f>IF(COUNTA(A1792:K1792)=0,"",IF(OR(A1792="",B1792="",C1792="",D1792="",E1792="",F1792="",G1792="",NOT(ISNUMBER(I1792))),"Incomplete",IF(COUNTIF(Lists!$H$4:$AA$4,C1792)=0,"Check category",IF(COUNTIF(INDEX(Lists!$H$6:$AA$45,0,MATCH(C1792,Lists!$H$4:$AA$4,0)),D1792)=0,"Check sub-category","OK"))))</f>
        <v/>
      </c>
      <c r="P1792">
        <f>IF(ISNUMBER(I1792),I1792+ROW()/10000000,"")</f>
        <v/>
      </c>
      <c r="Q1792">
        <f>IF(AND(ISNUMBER(P1792),ISNUMBER(A1792)),IF(AND(A1792&gt;=Dashboard!$Q$3,A1792&lt;=Dashboard!$Q$4,OR(J1792&lt;&gt;"Yes",Dashboard!$Q$15="Yes")),P1792,""),"")</f>
        <v/>
      </c>
    </row>
    <row r="1793">
      <c r="A1793" s="47" t="n"/>
      <c r="B1793" s="48" t="n"/>
      <c r="C1793" s="48" t="n"/>
      <c r="D1793" s="48" t="n"/>
      <c r="E1793" s="48" t="n"/>
      <c r="F1793" s="48" t="n"/>
      <c r="G1793" s="48" t="n"/>
      <c r="H1793" s="48" t="n"/>
      <c r="I1793" s="49" t="n"/>
      <c r="J1793" s="50" t="n"/>
      <c r="K1793" s="48" t="n"/>
      <c r="L1793" s="51">
        <f>IF(A1793="","",DATE(YEAR(A1793),MONTH(A1793),1))</f>
        <v/>
      </c>
      <c r="M1793" s="52">
        <f>IF(OR(A1793="",NOT(ISNUMBER(I1793))),"",IF(G1793=Lists!$B$5,I1793/2,IF(G1793=Lists!$B$6,I1793,0)))</f>
        <v/>
      </c>
      <c r="N1793" s="52">
        <f>IF(OR(A1793="",NOT(ISNUMBER(I1793))),"",IF(G1793=Lists!$B$5,I1793/2,IF(G1793=Lists!$B$7,I1793,0)))</f>
        <v/>
      </c>
      <c r="O1793" s="53">
        <f>IF(COUNTA(A1793:K1793)=0,"",IF(OR(A1793="",B1793="",C1793="",D1793="",E1793="",F1793="",G1793="",NOT(ISNUMBER(I1793))),"Incomplete",IF(COUNTIF(Lists!$H$4:$AA$4,C1793)=0,"Check category",IF(COUNTIF(INDEX(Lists!$H$6:$AA$45,0,MATCH(C1793,Lists!$H$4:$AA$4,0)),D1793)=0,"Check sub-category","OK"))))</f>
        <v/>
      </c>
      <c r="P1793">
        <f>IF(ISNUMBER(I1793),I1793+ROW()/10000000,"")</f>
        <v/>
      </c>
      <c r="Q1793">
        <f>IF(AND(ISNUMBER(P1793),ISNUMBER(A1793)),IF(AND(A1793&gt;=Dashboard!$Q$3,A1793&lt;=Dashboard!$Q$4,OR(J1793&lt;&gt;"Yes",Dashboard!$Q$15="Yes")),P1793,""),"")</f>
        <v/>
      </c>
    </row>
    <row r="1794">
      <c r="A1794" s="47" t="n"/>
      <c r="B1794" s="48" t="n"/>
      <c r="C1794" s="48" t="n"/>
      <c r="D1794" s="48" t="n"/>
      <c r="E1794" s="48" t="n"/>
      <c r="F1794" s="48" t="n"/>
      <c r="G1794" s="48" t="n"/>
      <c r="H1794" s="48" t="n"/>
      <c r="I1794" s="49" t="n"/>
      <c r="J1794" s="50" t="n"/>
      <c r="K1794" s="48" t="n"/>
      <c r="L1794" s="51">
        <f>IF(A1794="","",DATE(YEAR(A1794),MONTH(A1794),1))</f>
        <v/>
      </c>
      <c r="M1794" s="52">
        <f>IF(OR(A1794="",NOT(ISNUMBER(I1794))),"",IF(G1794=Lists!$B$5,I1794/2,IF(G1794=Lists!$B$6,I1794,0)))</f>
        <v/>
      </c>
      <c r="N1794" s="52">
        <f>IF(OR(A1794="",NOT(ISNUMBER(I1794))),"",IF(G1794=Lists!$B$5,I1794/2,IF(G1794=Lists!$B$7,I1794,0)))</f>
        <v/>
      </c>
      <c r="O1794" s="53">
        <f>IF(COUNTA(A1794:K1794)=0,"",IF(OR(A1794="",B1794="",C1794="",D1794="",E1794="",F1794="",G1794="",NOT(ISNUMBER(I1794))),"Incomplete",IF(COUNTIF(Lists!$H$4:$AA$4,C1794)=0,"Check category",IF(COUNTIF(INDEX(Lists!$H$6:$AA$45,0,MATCH(C1794,Lists!$H$4:$AA$4,0)),D1794)=0,"Check sub-category","OK"))))</f>
        <v/>
      </c>
      <c r="P1794">
        <f>IF(ISNUMBER(I1794),I1794+ROW()/10000000,"")</f>
        <v/>
      </c>
      <c r="Q1794">
        <f>IF(AND(ISNUMBER(P1794),ISNUMBER(A1794)),IF(AND(A1794&gt;=Dashboard!$Q$3,A1794&lt;=Dashboard!$Q$4,OR(J1794&lt;&gt;"Yes",Dashboard!$Q$15="Yes")),P1794,""),"")</f>
        <v/>
      </c>
    </row>
    <row r="1795">
      <c r="A1795" s="47" t="n"/>
      <c r="B1795" s="48" t="n"/>
      <c r="C1795" s="48" t="n"/>
      <c r="D1795" s="48" t="n"/>
      <c r="E1795" s="48" t="n"/>
      <c r="F1795" s="48" t="n"/>
      <c r="G1795" s="48" t="n"/>
      <c r="H1795" s="48" t="n"/>
      <c r="I1795" s="49" t="n"/>
      <c r="J1795" s="50" t="n"/>
      <c r="K1795" s="48" t="n"/>
      <c r="L1795" s="51">
        <f>IF(A1795="","",DATE(YEAR(A1795),MONTH(A1795),1))</f>
        <v/>
      </c>
      <c r="M1795" s="52">
        <f>IF(OR(A1795="",NOT(ISNUMBER(I1795))),"",IF(G1795=Lists!$B$5,I1795/2,IF(G1795=Lists!$B$6,I1795,0)))</f>
        <v/>
      </c>
      <c r="N1795" s="52">
        <f>IF(OR(A1795="",NOT(ISNUMBER(I1795))),"",IF(G1795=Lists!$B$5,I1795/2,IF(G1795=Lists!$B$7,I1795,0)))</f>
        <v/>
      </c>
      <c r="O1795" s="53">
        <f>IF(COUNTA(A1795:K1795)=0,"",IF(OR(A1795="",B1795="",C1795="",D1795="",E1795="",F1795="",G1795="",NOT(ISNUMBER(I1795))),"Incomplete",IF(COUNTIF(Lists!$H$4:$AA$4,C1795)=0,"Check category",IF(COUNTIF(INDEX(Lists!$H$6:$AA$45,0,MATCH(C1795,Lists!$H$4:$AA$4,0)),D1795)=0,"Check sub-category","OK"))))</f>
        <v/>
      </c>
      <c r="P1795">
        <f>IF(ISNUMBER(I1795),I1795+ROW()/10000000,"")</f>
        <v/>
      </c>
      <c r="Q1795">
        <f>IF(AND(ISNUMBER(P1795),ISNUMBER(A1795)),IF(AND(A1795&gt;=Dashboard!$Q$3,A1795&lt;=Dashboard!$Q$4,OR(J1795&lt;&gt;"Yes",Dashboard!$Q$15="Yes")),P1795,""),"")</f>
        <v/>
      </c>
    </row>
    <row r="1796">
      <c r="A1796" s="47" t="n"/>
      <c r="B1796" s="48" t="n"/>
      <c r="C1796" s="48" t="n"/>
      <c r="D1796" s="48" t="n"/>
      <c r="E1796" s="48" t="n"/>
      <c r="F1796" s="48" t="n"/>
      <c r="G1796" s="48" t="n"/>
      <c r="H1796" s="48" t="n"/>
      <c r="I1796" s="49" t="n"/>
      <c r="J1796" s="50" t="n"/>
      <c r="K1796" s="48" t="n"/>
      <c r="L1796" s="51">
        <f>IF(A1796="","",DATE(YEAR(A1796),MONTH(A1796),1))</f>
        <v/>
      </c>
      <c r="M1796" s="52">
        <f>IF(OR(A1796="",NOT(ISNUMBER(I1796))),"",IF(G1796=Lists!$B$5,I1796/2,IF(G1796=Lists!$B$6,I1796,0)))</f>
        <v/>
      </c>
      <c r="N1796" s="52">
        <f>IF(OR(A1796="",NOT(ISNUMBER(I1796))),"",IF(G1796=Lists!$B$5,I1796/2,IF(G1796=Lists!$B$7,I1796,0)))</f>
        <v/>
      </c>
      <c r="O1796" s="53">
        <f>IF(COUNTA(A1796:K1796)=0,"",IF(OR(A1796="",B1796="",C1796="",D1796="",E1796="",F1796="",G1796="",NOT(ISNUMBER(I1796))),"Incomplete",IF(COUNTIF(Lists!$H$4:$AA$4,C1796)=0,"Check category",IF(COUNTIF(INDEX(Lists!$H$6:$AA$45,0,MATCH(C1796,Lists!$H$4:$AA$4,0)),D1796)=0,"Check sub-category","OK"))))</f>
        <v/>
      </c>
      <c r="P1796">
        <f>IF(ISNUMBER(I1796),I1796+ROW()/10000000,"")</f>
        <v/>
      </c>
      <c r="Q1796">
        <f>IF(AND(ISNUMBER(P1796),ISNUMBER(A1796)),IF(AND(A1796&gt;=Dashboard!$Q$3,A1796&lt;=Dashboard!$Q$4,OR(J1796&lt;&gt;"Yes",Dashboard!$Q$15="Yes")),P1796,""),"")</f>
        <v/>
      </c>
    </row>
    <row r="1797">
      <c r="A1797" s="47" t="n"/>
      <c r="B1797" s="48" t="n"/>
      <c r="C1797" s="48" t="n"/>
      <c r="D1797" s="48" t="n"/>
      <c r="E1797" s="48" t="n"/>
      <c r="F1797" s="48" t="n"/>
      <c r="G1797" s="48" t="n"/>
      <c r="H1797" s="48" t="n"/>
      <c r="I1797" s="49" t="n"/>
      <c r="J1797" s="50" t="n"/>
      <c r="K1797" s="48" t="n"/>
      <c r="L1797" s="51">
        <f>IF(A1797="","",DATE(YEAR(A1797),MONTH(A1797),1))</f>
        <v/>
      </c>
      <c r="M1797" s="52">
        <f>IF(OR(A1797="",NOT(ISNUMBER(I1797))),"",IF(G1797=Lists!$B$5,I1797/2,IF(G1797=Lists!$B$6,I1797,0)))</f>
        <v/>
      </c>
      <c r="N1797" s="52">
        <f>IF(OR(A1797="",NOT(ISNUMBER(I1797))),"",IF(G1797=Lists!$B$5,I1797/2,IF(G1797=Lists!$B$7,I1797,0)))</f>
        <v/>
      </c>
      <c r="O1797" s="53">
        <f>IF(COUNTA(A1797:K1797)=0,"",IF(OR(A1797="",B1797="",C1797="",D1797="",E1797="",F1797="",G1797="",NOT(ISNUMBER(I1797))),"Incomplete",IF(COUNTIF(Lists!$H$4:$AA$4,C1797)=0,"Check category",IF(COUNTIF(INDEX(Lists!$H$6:$AA$45,0,MATCH(C1797,Lists!$H$4:$AA$4,0)),D1797)=0,"Check sub-category","OK"))))</f>
        <v/>
      </c>
      <c r="P1797">
        <f>IF(ISNUMBER(I1797),I1797+ROW()/10000000,"")</f>
        <v/>
      </c>
      <c r="Q1797">
        <f>IF(AND(ISNUMBER(P1797),ISNUMBER(A1797)),IF(AND(A1797&gt;=Dashboard!$Q$3,A1797&lt;=Dashboard!$Q$4,OR(J1797&lt;&gt;"Yes",Dashboard!$Q$15="Yes")),P1797,""),"")</f>
        <v/>
      </c>
    </row>
    <row r="1798">
      <c r="A1798" s="47" t="n"/>
      <c r="B1798" s="48" t="n"/>
      <c r="C1798" s="48" t="n"/>
      <c r="D1798" s="48" t="n"/>
      <c r="E1798" s="48" t="n"/>
      <c r="F1798" s="48" t="n"/>
      <c r="G1798" s="48" t="n"/>
      <c r="H1798" s="48" t="n"/>
      <c r="I1798" s="49" t="n"/>
      <c r="J1798" s="50" t="n"/>
      <c r="K1798" s="48" t="n"/>
      <c r="L1798" s="51">
        <f>IF(A1798="","",DATE(YEAR(A1798),MONTH(A1798),1))</f>
        <v/>
      </c>
      <c r="M1798" s="52">
        <f>IF(OR(A1798="",NOT(ISNUMBER(I1798))),"",IF(G1798=Lists!$B$5,I1798/2,IF(G1798=Lists!$B$6,I1798,0)))</f>
        <v/>
      </c>
      <c r="N1798" s="52">
        <f>IF(OR(A1798="",NOT(ISNUMBER(I1798))),"",IF(G1798=Lists!$B$5,I1798/2,IF(G1798=Lists!$B$7,I1798,0)))</f>
        <v/>
      </c>
      <c r="O1798" s="53">
        <f>IF(COUNTA(A1798:K1798)=0,"",IF(OR(A1798="",B1798="",C1798="",D1798="",E1798="",F1798="",G1798="",NOT(ISNUMBER(I1798))),"Incomplete",IF(COUNTIF(Lists!$H$4:$AA$4,C1798)=0,"Check category",IF(COUNTIF(INDEX(Lists!$H$6:$AA$45,0,MATCH(C1798,Lists!$H$4:$AA$4,0)),D1798)=0,"Check sub-category","OK"))))</f>
        <v/>
      </c>
      <c r="P1798">
        <f>IF(ISNUMBER(I1798),I1798+ROW()/10000000,"")</f>
        <v/>
      </c>
      <c r="Q1798">
        <f>IF(AND(ISNUMBER(P1798),ISNUMBER(A1798)),IF(AND(A1798&gt;=Dashboard!$Q$3,A1798&lt;=Dashboard!$Q$4,OR(J1798&lt;&gt;"Yes",Dashboard!$Q$15="Yes")),P1798,""),"")</f>
        <v/>
      </c>
    </row>
    <row r="1799">
      <c r="A1799" s="47" t="n"/>
      <c r="B1799" s="48" t="n"/>
      <c r="C1799" s="48" t="n"/>
      <c r="D1799" s="48" t="n"/>
      <c r="E1799" s="48" t="n"/>
      <c r="F1799" s="48" t="n"/>
      <c r="G1799" s="48" t="n"/>
      <c r="H1799" s="48" t="n"/>
      <c r="I1799" s="49" t="n"/>
      <c r="J1799" s="50" t="n"/>
      <c r="K1799" s="48" t="n"/>
      <c r="L1799" s="51">
        <f>IF(A1799="","",DATE(YEAR(A1799),MONTH(A1799),1))</f>
        <v/>
      </c>
      <c r="M1799" s="52">
        <f>IF(OR(A1799="",NOT(ISNUMBER(I1799))),"",IF(G1799=Lists!$B$5,I1799/2,IF(G1799=Lists!$B$6,I1799,0)))</f>
        <v/>
      </c>
      <c r="N1799" s="52">
        <f>IF(OR(A1799="",NOT(ISNUMBER(I1799))),"",IF(G1799=Lists!$B$5,I1799/2,IF(G1799=Lists!$B$7,I1799,0)))</f>
        <v/>
      </c>
      <c r="O1799" s="53">
        <f>IF(COUNTA(A1799:K1799)=0,"",IF(OR(A1799="",B1799="",C1799="",D1799="",E1799="",F1799="",G1799="",NOT(ISNUMBER(I1799))),"Incomplete",IF(COUNTIF(Lists!$H$4:$AA$4,C1799)=0,"Check category",IF(COUNTIF(INDEX(Lists!$H$6:$AA$45,0,MATCH(C1799,Lists!$H$4:$AA$4,0)),D1799)=0,"Check sub-category","OK"))))</f>
        <v/>
      </c>
      <c r="P1799">
        <f>IF(ISNUMBER(I1799),I1799+ROW()/10000000,"")</f>
        <v/>
      </c>
      <c r="Q1799">
        <f>IF(AND(ISNUMBER(P1799),ISNUMBER(A1799)),IF(AND(A1799&gt;=Dashboard!$Q$3,A1799&lt;=Dashboard!$Q$4,OR(J1799&lt;&gt;"Yes",Dashboard!$Q$15="Yes")),P1799,""),"")</f>
        <v/>
      </c>
    </row>
    <row r="1800">
      <c r="A1800" s="47" t="n"/>
      <c r="B1800" s="48" t="n"/>
      <c r="C1800" s="48" t="n"/>
      <c r="D1800" s="48" t="n"/>
      <c r="E1800" s="48" t="n"/>
      <c r="F1800" s="48" t="n"/>
      <c r="G1800" s="48" t="n"/>
      <c r="H1800" s="48" t="n"/>
      <c r="I1800" s="49" t="n"/>
      <c r="J1800" s="50" t="n"/>
      <c r="K1800" s="48" t="n"/>
      <c r="L1800" s="51">
        <f>IF(A1800="","",DATE(YEAR(A1800),MONTH(A1800),1))</f>
        <v/>
      </c>
      <c r="M1800" s="52">
        <f>IF(OR(A1800="",NOT(ISNUMBER(I1800))),"",IF(G1800=Lists!$B$5,I1800/2,IF(G1800=Lists!$B$6,I1800,0)))</f>
        <v/>
      </c>
      <c r="N1800" s="52">
        <f>IF(OR(A1800="",NOT(ISNUMBER(I1800))),"",IF(G1800=Lists!$B$5,I1800/2,IF(G1800=Lists!$B$7,I1800,0)))</f>
        <v/>
      </c>
      <c r="O1800" s="53">
        <f>IF(COUNTA(A1800:K1800)=0,"",IF(OR(A1800="",B1800="",C1800="",D1800="",E1800="",F1800="",G1800="",NOT(ISNUMBER(I1800))),"Incomplete",IF(COUNTIF(Lists!$H$4:$AA$4,C1800)=0,"Check category",IF(COUNTIF(INDEX(Lists!$H$6:$AA$45,0,MATCH(C1800,Lists!$H$4:$AA$4,0)),D1800)=0,"Check sub-category","OK"))))</f>
        <v/>
      </c>
      <c r="P1800">
        <f>IF(ISNUMBER(I1800),I1800+ROW()/10000000,"")</f>
        <v/>
      </c>
      <c r="Q1800">
        <f>IF(AND(ISNUMBER(P1800),ISNUMBER(A1800)),IF(AND(A1800&gt;=Dashboard!$Q$3,A1800&lt;=Dashboard!$Q$4,OR(J1800&lt;&gt;"Yes",Dashboard!$Q$15="Yes")),P1800,""),"")</f>
        <v/>
      </c>
    </row>
    <row r="1801">
      <c r="A1801" s="47" t="n"/>
      <c r="B1801" s="48" t="n"/>
      <c r="C1801" s="48" t="n"/>
      <c r="D1801" s="48" t="n"/>
      <c r="E1801" s="48" t="n"/>
      <c r="F1801" s="48" t="n"/>
      <c r="G1801" s="48" t="n"/>
      <c r="H1801" s="48" t="n"/>
      <c r="I1801" s="49" t="n"/>
      <c r="J1801" s="50" t="n"/>
      <c r="K1801" s="48" t="n"/>
      <c r="L1801" s="51">
        <f>IF(A1801="","",DATE(YEAR(A1801),MONTH(A1801),1))</f>
        <v/>
      </c>
      <c r="M1801" s="52">
        <f>IF(OR(A1801="",NOT(ISNUMBER(I1801))),"",IF(G1801=Lists!$B$5,I1801/2,IF(G1801=Lists!$B$6,I1801,0)))</f>
        <v/>
      </c>
      <c r="N1801" s="52">
        <f>IF(OR(A1801="",NOT(ISNUMBER(I1801))),"",IF(G1801=Lists!$B$5,I1801/2,IF(G1801=Lists!$B$7,I1801,0)))</f>
        <v/>
      </c>
      <c r="O1801" s="53">
        <f>IF(COUNTA(A1801:K1801)=0,"",IF(OR(A1801="",B1801="",C1801="",D1801="",E1801="",F1801="",G1801="",NOT(ISNUMBER(I1801))),"Incomplete",IF(COUNTIF(Lists!$H$4:$AA$4,C1801)=0,"Check category",IF(COUNTIF(INDEX(Lists!$H$6:$AA$45,0,MATCH(C1801,Lists!$H$4:$AA$4,0)),D1801)=0,"Check sub-category","OK"))))</f>
        <v/>
      </c>
      <c r="P1801">
        <f>IF(ISNUMBER(I1801),I1801+ROW()/10000000,"")</f>
        <v/>
      </c>
      <c r="Q1801">
        <f>IF(AND(ISNUMBER(P1801),ISNUMBER(A1801)),IF(AND(A1801&gt;=Dashboard!$Q$3,A1801&lt;=Dashboard!$Q$4,OR(J1801&lt;&gt;"Yes",Dashboard!$Q$15="Yes")),P1801,""),"")</f>
        <v/>
      </c>
    </row>
    <row r="1802">
      <c r="A1802" s="47" t="n"/>
      <c r="B1802" s="48" t="n"/>
      <c r="C1802" s="48" t="n"/>
      <c r="D1802" s="48" t="n"/>
      <c r="E1802" s="48" t="n"/>
      <c r="F1802" s="48" t="n"/>
      <c r="G1802" s="48" t="n"/>
      <c r="H1802" s="48" t="n"/>
      <c r="I1802" s="49" t="n"/>
      <c r="J1802" s="50" t="n"/>
      <c r="K1802" s="48" t="n"/>
      <c r="L1802" s="51">
        <f>IF(A1802="","",DATE(YEAR(A1802),MONTH(A1802),1))</f>
        <v/>
      </c>
      <c r="M1802" s="52">
        <f>IF(OR(A1802="",NOT(ISNUMBER(I1802))),"",IF(G1802=Lists!$B$5,I1802/2,IF(G1802=Lists!$B$6,I1802,0)))</f>
        <v/>
      </c>
      <c r="N1802" s="52">
        <f>IF(OR(A1802="",NOT(ISNUMBER(I1802))),"",IF(G1802=Lists!$B$5,I1802/2,IF(G1802=Lists!$B$7,I1802,0)))</f>
        <v/>
      </c>
      <c r="O1802" s="53">
        <f>IF(COUNTA(A1802:K1802)=0,"",IF(OR(A1802="",B1802="",C1802="",D1802="",E1802="",F1802="",G1802="",NOT(ISNUMBER(I1802))),"Incomplete",IF(COUNTIF(Lists!$H$4:$AA$4,C1802)=0,"Check category",IF(COUNTIF(INDEX(Lists!$H$6:$AA$45,0,MATCH(C1802,Lists!$H$4:$AA$4,0)),D1802)=0,"Check sub-category","OK"))))</f>
        <v/>
      </c>
      <c r="P1802">
        <f>IF(ISNUMBER(I1802),I1802+ROW()/10000000,"")</f>
        <v/>
      </c>
      <c r="Q1802">
        <f>IF(AND(ISNUMBER(P1802),ISNUMBER(A1802)),IF(AND(A1802&gt;=Dashboard!$Q$3,A1802&lt;=Dashboard!$Q$4,OR(J1802&lt;&gt;"Yes",Dashboard!$Q$15="Yes")),P1802,""),"")</f>
        <v/>
      </c>
    </row>
    <row r="1803">
      <c r="A1803" s="47" t="n"/>
      <c r="B1803" s="48" t="n"/>
      <c r="C1803" s="48" t="n"/>
      <c r="D1803" s="48" t="n"/>
      <c r="E1803" s="48" t="n"/>
      <c r="F1803" s="48" t="n"/>
      <c r="G1803" s="48" t="n"/>
      <c r="H1803" s="48" t="n"/>
      <c r="I1803" s="49" t="n"/>
      <c r="J1803" s="50" t="n"/>
      <c r="K1803" s="48" t="n"/>
      <c r="L1803" s="51">
        <f>IF(A1803="","",DATE(YEAR(A1803),MONTH(A1803),1))</f>
        <v/>
      </c>
      <c r="M1803" s="52">
        <f>IF(OR(A1803="",NOT(ISNUMBER(I1803))),"",IF(G1803=Lists!$B$5,I1803/2,IF(G1803=Lists!$B$6,I1803,0)))</f>
        <v/>
      </c>
      <c r="N1803" s="52">
        <f>IF(OR(A1803="",NOT(ISNUMBER(I1803))),"",IF(G1803=Lists!$B$5,I1803/2,IF(G1803=Lists!$B$7,I1803,0)))</f>
        <v/>
      </c>
      <c r="O1803" s="53">
        <f>IF(COUNTA(A1803:K1803)=0,"",IF(OR(A1803="",B1803="",C1803="",D1803="",E1803="",F1803="",G1803="",NOT(ISNUMBER(I1803))),"Incomplete",IF(COUNTIF(Lists!$H$4:$AA$4,C1803)=0,"Check category",IF(COUNTIF(INDEX(Lists!$H$6:$AA$45,0,MATCH(C1803,Lists!$H$4:$AA$4,0)),D1803)=0,"Check sub-category","OK"))))</f>
        <v/>
      </c>
      <c r="P1803">
        <f>IF(ISNUMBER(I1803),I1803+ROW()/10000000,"")</f>
        <v/>
      </c>
      <c r="Q1803">
        <f>IF(AND(ISNUMBER(P1803),ISNUMBER(A1803)),IF(AND(A1803&gt;=Dashboard!$Q$3,A1803&lt;=Dashboard!$Q$4,OR(J1803&lt;&gt;"Yes",Dashboard!$Q$15="Yes")),P1803,""),"")</f>
        <v/>
      </c>
    </row>
    <row r="1804">
      <c r="A1804" s="47" t="n"/>
      <c r="B1804" s="48" t="n"/>
      <c r="C1804" s="48" t="n"/>
      <c r="D1804" s="48" t="n"/>
      <c r="E1804" s="48" t="n"/>
      <c r="F1804" s="48" t="n"/>
      <c r="G1804" s="48" t="n"/>
      <c r="H1804" s="48" t="n"/>
      <c r="I1804" s="49" t="n"/>
      <c r="J1804" s="50" t="n"/>
      <c r="K1804" s="48" t="n"/>
      <c r="L1804" s="51">
        <f>IF(A1804="","",DATE(YEAR(A1804),MONTH(A1804),1))</f>
        <v/>
      </c>
      <c r="M1804" s="52">
        <f>IF(OR(A1804="",NOT(ISNUMBER(I1804))),"",IF(G1804=Lists!$B$5,I1804/2,IF(G1804=Lists!$B$6,I1804,0)))</f>
        <v/>
      </c>
      <c r="N1804" s="52">
        <f>IF(OR(A1804="",NOT(ISNUMBER(I1804))),"",IF(G1804=Lists!$B$5,I1804/2,IF(G1804=Lists!$B$7,I1804,0)))</f>
        <v/>
      </c>
      <c r="O1804" s="53">
        <f>IF(COUNTA(A1804:K1804)=0,"",IF(OR(A1804="",B1804="",C1804="",D1804="",E1804="",F1804="",G1804="",NOT(ISNUMBER(I1804))),"Incomplete",IF(COUNTIF(Lists!$H$4:$AA$4,C1804)=0,"Check category",IF(COUNTIF(INDEX(Lists!$H$6:$AA$45,0,MATCH(C1804,Lists!$H$4:$AA$4,0)),D1804)=0,"Check sub-category","OK"))))</f>
        <v/>
      </c>
      <c r="P1804">
        <f>IF(ISNUMBER(I1804),I1804+ROW()/10000000,"")</f>
        <v/>
      </c>
      <c r="Q1804">
        <f>IF(AND(ISNUMBER(P1804),ISNUMBER(A1804)),IF(AND(A1804&gt;=Dashboard!$Q$3,A1804&lt;=Dashboard!$Q$4,OR(J1804&lt;&gt;"Yes",Dashboard!$Q$15="Yes")),P1804,""),"")</f>
        <v/>
      </c>
    </row>
    <row r="1805">
      <c r="A1805" s="47" t="n"/>
      <c r="B1805" s="48" t="n"/>
      <c r="C1805" s="48" t="n"/>
      <c r="D1805" s="48" t="n"/>
      <c r="E1805" s="48" t="n"/>
      <c r="F1805" s="48" t="n"/>
      <c r="G1805" s="48" t="n"/>
      <c r="H1805" s="48" t="n"/>
      <c r="I1805" s="49" t="n"/>
      <c r="J1805" s="50" t="n"/>
      <c r="K1805" s="48" t="n"/>
      <c r="L1805" s="51">
        <f>IF(A1805="","",DATE(YEAR(A1805),MONTH(A1805),1))</f>
        <v/>
      </c>
      <c r="M1805" s="52">
        <f>IF(OR(A1805="",NOT(ISNUMBER(I1805))),"",IF(G1805=Lists!$B$5,I1805/2,IF(G1805=Lists!$B$6,I1805,0)))</f>
        <v/>
      </c>
      <c r="N1805" s="52">
        <f>IF(OR(A1805="",NOT(ISNUMBER(I1805))),"",IF(G1805=Lists!$B$5,I1805/2,IF(G1805=Lists!$B$7,I1805,0)))</f>
        <v/>
      </c>
      <c r="O1805" s="53">
        <f>IF(COUNTA(A1805:K1805)=0,"",IF(OR(A1805="",B1805="",C1805="",D1805="",E1805="",F1805="",G1805="",NOT(ISNUMBER(I1805))),"Incomplete",IF(COUNTIF(Lists!$H$4:$AA$4,C1805)=0,"Check category",IF(COUNTIF(INDEX(Lists!$H$6:$AA$45,0,MATCH(C1805,Lists!$H$4:$AA$4,0)),D1805)=0,"Check sub-category","OK"))))</f>
        <v/>
      </c>
      <c r="P1805">
        <f>IF(ISNUMBER(I1805),I1805+ROW()/10000000,"")</f>
        <v/>
      </c>
      <c r="Q1805">
        <f>IF(AND(ISNUMBER(P1805),ISNUMBER(A1805)),IF(AND(A1805&gt;=Dashboard!$Q$3,A1805&lt;=Dashboard!$Q$4,OR(J1805&lt;&gt;"Yes",Dashboard!$Q$15="Yes")),P1805,""),"")</f>
        <v/>
      </c>
    </row>
    <row r="1806">
      <c r="A1806" s="47" t="n"/>
      <c r="B1806" s="48" t="n"/>
      <c r="C1806" s="48" t="n"/>
      <c r="D1806" s="48" t="n"/>
      <c r="E1806" s="48" t="n"/>
      <c r="F1806" s="48" t="n"/>
      <c r="G1806" s="48" t="n"/>
      <c r="H1806" s="48" t="n"/>
      <c r="I1806" s="49" t="n"/>
      <c r="J1806" s="50" t="n"/>
      <c r="K1806" s="48" t="n"/>
      <c r="L1806" s="51">
        <f>IF(A1806="","",DATE(YEAR(A1806),MONTH(A1806),1))</f>
        <v/>
      </c>
      <c r="M1806" s="52">
        <f>IF(OR(A1806="",NOT(ISNUMBER(I1806))),"",IF(G1806=Lists!$B$5,I1806/2,IF(G1806=Lists!$B$6,I1806,0)))</f>
        <v/>
      </c>
      <c r="N1806" s="52">
        <f>IF(OR(A1806="",NOT(ISNUMBER(I1806))),"",IF(G1806=Lists!$B$5,I1806/2,IF(G1806=Lists!$B$7,I1806,0)))</f>
        <v/>
      </c>
      <c r="O1806" s="53">
        <f>IF(COUNTA(A1806:K1806)=0,"",IF(OR(A1806="",B1806="",C1806="",D1806="",E1806="",F1806="",G1806="",NOT(ISNUMBER(I1806))),"Incomplete",IF(COUNTIF(Lists!$H$4:$AA$4,C1806)=0,"Check category",IF(COUNTIF(INDEX(Lists!$H$6:$AA$45,0,MATCH(C1806,Lists!$H$4:$AA$4,0)),D1806)=0,"Check sub-category","OK"))))</f>
        <v/>
      </c>
      <c r="P1806">
        <f>IF(ISNUMBER(I1806),I1806+ROW()/10000000,"")</f>
        <v/>
      </c>
      <c r="Q1806">
        <f>IF(AND(ISNUMBER(P1806),ISNUMBER(A1806)),IF(AND(A1806&gt;=Dashboard!$Q$3,A1806&lt;=Dashboard!$Q$4,OR(J1806&lt;&gt;"Yes",Dashboard!$Q$15="Yes")),P1806,""),"")</f>
        <v/>
      </c>
    </row>
    <row r="1807">
      <c r="A1807" s="47" t="n"/>
      <c r="B1807" s="48" t="n"/>
      <c r="C1807" s="48" t="n"/>
      <c r="D1807" s="48" t="n"/>
      <c r="E1807" s="48" t="n"/>
      <c r="F1807" s="48" t="n"/>
      <c r="G1807" s="48" t="n"/>
      <c r="H1807" s="48" t="n"/>
      <c r="I1807" s="49" t="n"/>
      <c r="J1807" s="50" t="n"/>
      <c r="K1807" s="48" t="n"/>
      <c r="L1807" s="51">
        <f>IF(A1807="","",DATE(YEAR(A1807),MONTH(A1807),1))</f>
        <v/>
      </c>
      <c r="M1807" s="52">
        <f>IF(OR(A1807="",NOT(ISNUMBER(I1807))),"",IF(G1807=Lists!$B$5,I1807/2,IF(G1807=Lists!$B$6,I1807,0)))</f>
        <v/>
      </c>
      <c r="N1807" s="52">
        <f>IF(OR(A1807="",NOT(ISNUMBER(I1807))),"",IF(G1807=Lists!$B$5,I1807/2,IF(G1807=Lists!$B$7,I1807,0)))</f>
        <v/>
      </c>
      <c r="O1807" s="53">
        <f>IF(COUNTA(A1807:K1807)=0,"",IF(OR(A1807="",B1807="",C1807="",D1807="",E1807="",F1807="",G1807="",NOT(ISNUMBER(I1807))),"Incomplete",IF(COUNTIF(Lists!$H$4:$AA$4,C1807)=0,"Check category",IF(COUNTIF(INDEX(Lists!$H$6:$AA$45,0,MATCH(C1807,Lists!$H$4:$AA$4,0)),D1807)=0,"Check sub-category","OK"))))</f>
        <v/>
      </c>
      <c r="P1807">
        <f>IF(ISNUMBER(I1807),I1807+ROW()/10000000,"")</f>
        <v/>
      </c>
      <c r="Q1807">
        <f>IF(AND(ISNUMBER(P1807),ISNUMBER(A1807)),IF(AND(A1807&gt;=Dashboard!$Q$3,A1807&lt;=Dashboard!$Q$4,OR(J1807&lt;&gt;"Yes",Dashboard!$Q$15="Yes")),P1807,""),"")</f>
        <v/>
      </c>
    </row>
    <row r="1808">
      <c r="A1808" s="47" t="n"/>
      <c r="B1808" s="48" t="n"/>
      <c r="C1808" s="48" t="n"/>
      <c r="D1808" s="48" t="n"/>
      <c r="E1808" s="48" t="n"/>
      <c r="F1808" s="48" t="n"/>
      <c r="G1808" s="48" t="n"/>
      <c r="H1808" s="48" t="n"/>
      <c r="I1808" s="49" t="n"/>
      <c r="J1808" s="50" t="n"/>
      <c r="K1808" s="48" t="n"/>
      <c r="L1808" s="51">
        <f>IF(A1808="","",DATE(YEAR(A1808),MONTH(A1808),1))</f>
        <v/>
      </c>
      <c r="M1808" s="52">
        <f>IF(OR(A1808="",NOT(ISNUMBER(I1808))),"",IF(G1808=Lists!$B$5,I1808/2,IF(G1808=Lists!$B$6,I1808,0)))</f>
        <v/>
      </c>
      <c r="N1808" s="52">
        <f>IF(OR(A1808="",NOT(ISNUMBER(I1808))),"",IF(G1808=Lists!$B$5,I1808/2,IF(G1808=Lists!$B$7,I1808,0)))</f>
        <v/>
      </c>
      <c r="O1808" s="53">
        <f>IF(COUNTA(A1808:K1808)=0,"",IF(OR(A1808="",B1808="",C1808="",D1808="",E1808="",F1808="",G1808="",NOT(ISNUMBER(I1808))),"Incomplete",IF(COUNTIF(Lists!$H$4:$AA$4,C1808)=0,"Check category",IF(COUNTIF(INDEX(Lists!$H$6:$AA$45,0,MATCH(C1808,Lists!$H$4:$AA$4,0)),D1808)=0,"Check sub-category","OK"))))</f>
        <v/>
      </c>
      <c r="P1808">
        <f>IF(ISNUMBER(I1808),I1808+ROW()/10000000,"")</f>
        <v/>
      </c>
      <c r="Q1808">
        <f>IF(AND(ISNUMBER(P1808),ISNUMBER(A1808)),IF(AND(A1808&gt;=Dashboard!$Q$3,A1808&lt;=Dashboard!$Q$4,OR(J1808&lt;&gt;"Yes",Dashboard!$Q$15="Yes")),P1808,""),"")</f>
        <v/>
      </c>
    </row>
    <row r="1809">
      <c r="A1809" s="47" t="n"/>
      <c r="B1809" s="48" t="n"/>
      <c r="C1809" s="48" t="n"/>
      <c r="D1809" s="48" t="n"/>
      <c r="E1809" s="48" t="n"/>
      <c r="F1809" s="48" t="n"/>
      <c r="G1809" s="48" t="n"/>
      <c r="H1809" s="48" t="n"/>
      <c r="I1809" s="49" t="n"/>
      <c r="J1809" s="50" t="n"/>
      <c r="K1809" s="48" t="n"/>
      <c r="L1809" s="51">
        <f>IF(A1809="","",DATE(YEAR(A1809),MONTH(A1809),1))</f>
        <v/>
      </c>
      <c r="M1809" s="52">
        <f>IF(OR(A1809="",NOT(ISNUMBER(I1809))),"",IF(G1809=Lists!$B$5,I1809/2,IF(G1809=Lists!$B$6,I1809,0)))</f>
        <v/>
      </c>
      <c r="N1809" s="52">
        <f>IF(OR(A1809="",NOT(ISNUMBER(I1809))),"",IF(G1809=Lists!$B$5,I1809/2,IF(G1809=Lists!$B$7,I1809,0)))</f>
        <v/>
      </c>
      <c r="O1809" s="53">
        <f>IF(COUNTA(A1809:K1809)=0,"",IF(OR(A1809="",B1809="",C1809="",D1809="",E1809="",F1809="",G1809="",NOT(ISNUMBER(I1809))),"Incomplete",IF(COUNTIF(Lists!$H$4:$AA$4,C1809)=0,"Check category",IF(COUNTIF(INDEX(Lists!$H$6:$AA$45,0,MATCH(C1809,Lists!$H$4:$AA$4,0)),D1809)=0,"Check sub-category","OK"))))</f>
        <v/>
      </c>
      <c r="P1809">
        <f>IF(ISNUMBER(I1809),I1809+ROW()/10000000,"")</f>
        <v/>
      </c>
      <c r="Q1809">
        <f>IF(AND(ISNUMBER(P1809),ISNUMBER(A1809)),IF(AND(A1809&gt;=Dashboard!$Q$3,A1809&lt;=Dashboard!$Q$4,OR(J1809&lt;&gt;"Yes",Dashboard!$Q$15="Yes")),P1809,""),"")</f>
        <v/>
      </c>
    </row>
    <row r="1810">
      <c r="A1810" s="47" t="n"/>
      <c r="B1810" s="48" t="n"/>
      <c r="C1810" s="48" t="n"/>
      <c r="D1810" s="48" t="n"/>
      <c r="E1810" s="48" t="n"/>
      <c r="F1810" s="48" t="n"/>
      <c r="G1810" s="48" t="n"/>
      <c r="H1810" s="48" t="n"/>
      <c r="I1810" s="49" t="n"/>
      <c r="J1810" s="50" t="n"/>
      <c r="K1810" s="48" t="n"/>
      <c r="L1810" s="51">
        <f>IF(A1810="","",DATE(YEAR(A1810),MONTH(A1810),1))</f>
        <v/>
      </c>
      <c r="M1810" s="52">
        <f>IF(OR(A1810="",NOT(ISNUMBER(I1810))),"",IF(G1810=Lists!$B$5,I1810/2,IF(G1810=Lists!$B$6,I1810,0)))</f>
        <v/>
      </c>
      <c r="N1810" s="52">
        <f>IF(OR(A1810="",NOT(ISNUMBER(I1810))),"",IF(G1810=Lists!$B$5,I1810/2,IF(G1810=Lists!$B$7,I1810,0)))</f>
        <v/>
      </c>
      <c r="O1810" s="53">
        <f>IF(COUNTA(A1810:K1810)=0,"",IF(OR(A1810="",B1810="",C1810="",D1810="",E1810="",F1810="",G1810="",NOT(ISNUMBER(I1810))),"Incomplete",IF(COUNTIF(Lists!$H$4:$AA$4,C1810)=0,"Check category",IF(COUNTIF(INDEX(Lists!$H$6:$AA$45,0,MATCH(C1810,Lists!$H$4:$AA$4,0)),D1810)=0,"Check sub-category","OK"))))</f>
        <v/>
      </c>
      <c r="P1810">
        <f>IF(ISNUMBER(I1810),I1810+ROW()/10000000,"")</f>
        <v/>
      </c>
      <c r="Q1810">
        <f>IF(AND(ISNUMBER(P1810),ISNUMBER(A1810)),IF(AND(A1810&gt;=Dashboard!$Q$3,A1810&lt;=Dashboard!$Q$4,OR(J1810&lt;&gt;"Yes",Dashboard!$Q$15="Yes")),P1810,""),"")</f>
        <v/>
      </c>
    </row>
    <row r="1811">
      <c r="A1811" s="47" t="n"/>
      <c r="B1811" s="48" t="n"/>
      <c r="C1811" s="48" t="n"/>
      <c r="D1811" s="48" t="n"/>
      <c r="E1811" s="48" t="n"/>
      <c r="F1811" s="48" t="n"/>
      <c r="G1811" s="48" t="n"/>
      <c r="H1811" s="48" t="n"/>
      <c r="I1811" s="49" t="n"/>
      <c r="J1811" s="50" t="n"/>
      <c r="K1811" s="48" t="n"/>
      <c r="L1811" s="51">
        <f>IF(A1811="","",DATE(YEAR(A1811),MONTH(A1811),1))</f>
        <v/>
      </c>
      <c r="M1811" s="52">
        <f>IF(OR(A1811="",NOT(ISNUMBER(I1811))),"",IF(G1811=Lists!$B$5,I1811/2,IF(G1811=Lists!$B$6,I1811,0)))</f>
        <v/>
      </c>
      <c r="N1811" s="52">
        <f>IF(OR(A1811="",NOT(ISNUMBER(I1811))),"",IF(G1811=Lists!$B$5,I1811/2,IF(G1811=Lists!$B$7,I1811,0)))</f>
        <v/>
      </c>
      <c r="O1811" s="53">
        <f>IF(COUNTA(A1811:K1811)=0,"",IF(OR(A1811="",B1811="",C1811="",D1811="",E1811="",F1811="",G1811="",NOT(ISNUMBER(I1811))),"Incomplete",IF(COUNTIF(Lists!$H$4:$AA$4,C1811)=0,"Check category",IF(COUNTIF(INDEX(Lists!$H$6:$AA$45,0,MATCH(C1811,Lists!$H$4:$AA$4,0)),D1811)=0,"Check sub-category","OK"))))</f>
        <v/>
      </c>
      <c r="P1811">
        <f>IF(ISNUMBER(I1811),I1811+ROW()/10000000,"")</f>
        <v/>
      </c>
      <c r="Q1811">
        <f>IF(AND(ISNUMBER(P1811),ISNUMBER(A1811)),IF(AND(A1811&gt;=Dashboard!$Q$3,A1811&lt;=Dashboard!$Q$4,OR(J1811&lt;&gt;"Yes",Dashboard!$Q$15="Yes")),P1811,""),"")</f>
        <v/>
      </c>
    </row>
    <row r="1812">
      <c r="A1812" s="47" t="n"/>
      <c r="B1812" s="48" t="n"/>
      <c r="C1812" s="48" t="n"/>
      <c r="D1812" s="48" t="n"/>
      <c r="E1812" s="48" t="n"/>
      <c r="F1812" s="48" t="n"/>
      <c r="G1812" s="48" t="n"/>
      <c r="H1812" s="48" t="n"/>
      <c r="I1812" s="49" t="n"/>
      <c r="J1812" s="50" t="n"/>
      <c r="K1812" s="48" t="n"/>
      <c r="L1812" s="51">
        <f>IF(A1812="","",DATE(YEAR(A1812),MONTH(A1812),1))</f>
        <v/>
      </c>
      <c r="M1812" s="52">
        <f>IF(OR(A1812="",NOT(ISNUMBER(I1812))),"",IF(G1812=Lists!$B$5,I1812/2,IF(G1812=Lists!$B$6,I1812,0)))</f>
        <v/>
      </c>
      <c r="N1812" s="52">
        <f>IF(OR(A1812="",NOT(ISNUMBER(I1812))),"",IF(G1812=Lists!$B$5,I1812/2,IF(G1812=Lists!$B$7,I1812,0)))</f>
        <v/>
      </c>
      <c r="O1812" s="53">
        <f>IF(COUNTA(A1812:K1812)=0,"",IF(OR(A1812="",B1812="",C1812="",D1812="",E1812="",F1812="",G1812="",NOT(ISNUMBER(I1812))),"Incomplete",IF(COUNTIF(Lists!$H$4:$AA$4,C1812)=0,"Check category",IF(COUNTIF(INDEX(Lists!$H$6:$AA$45,0,MATCH(C1812,Lists!$H$4:$AA$4,0)),D1812)=0,"Check sub-category","OK"))))</f>
        <v/>
      </c>
      <c r="P1812">
        <f>IF(ISNUMBER(I1812),I1812+ROW()/10000000,"")</f>
        <v/>
      </c>
      <c r="Q1812">
        <f>IF(AND(ISNUMBER(P1812),ISNUMBER(A1812)),IF(AND(A1812&gt;=Dashboard!$Q$3,A1812&lt;=Dashboard!$Q$4,OR(J1812&lt;&gt;"Yes",Dashboard!$Q$15="Yes")),P1812,""),"")</f>
        <v/>
      </c>
    </row>
    <row r="1813">
      <c r="A1813" s="47" t="n"/>
      <c r="B1813" s="48" t="n"/>
      <c r="C1813" s="48" t="n"/>
      <c r="D1813" s="48" t="n"/>
      <c r="E1813" s="48" t="n"/>
      <c r="F1813" s="48" t="n"/>
      <c r="G1813" s="48" t="n"/>
      <c r="H1813" s="48" t="n"/>
      <c r="I1813" s="49" t="n"/>
      <c r="J1813" s="50" t="n"/>
      <c r="K1813" s="48" t="n"/>
      <c r="L1813" s="51">
        <f>IF(A1813="","",DATE(YEAR(A1813),MONTH(A1813),1))</f>
        <v/>
      </c>
      <c r="M1813" s="52">
        <f>IF(OR(A1813="",NOT(ISNUMBER(I1813))),"",IF(G1813=Lists!$B$5,I1813/2,IF(G1813=Lists!$B$6,I1813,0)))</f>
        <v/>
      </c>
      <c r="N1813" s="52">
        <f>IF(OR(A1813="",NOT(ISNUMBER(I1813))),"",IF(G1813=Lists!$B$5,I1813/2,IF(G1813=Lists!$B$7,I1813,0)))</f>
        <v/>
      </c>
      <c r="O1813" s="53">
        <f>IF(COUNTA(A1813:K1813)=0,"",IF(OR(A1813="",B1813="",C1813="",D1813="",E1813="",F1813="",G1813="",NOT(ISNUMBER(I1813))),"Incomplete",IF(COUNTIF(Lists!$H$4:$AA$4,C1813)=0,"Check category",IF(COUNTIF(INDEX(Lists!$H$6:$AA$45,0,MATCH(C1813,Lists!$H$4:$AA$4,0)),D1813)=0,"Check sub-category","OK"))))</f>
        <v/>
      </c>
      <c r="P1813">
        <f>IF(ISNUMBER(I1813),I1813+ROW()/10000000,"")</f>
        <v/>
      </c>
      <c r="Q1813">
        <f>IF(AND(ISNUMBER(P1813),ISNUMBER(A1813)),IF(AND(A1813&gt;=Dashboard!$Q$3,A1813&lt;=Dashboard!$Q$4,OR(J1813&lt;&gt;"Yes",Dashboard!$Q$15="Yes")),P1813,""),"")</f>
        <v/>
      </c>
    </row>
    <row r="1814">
      <c r="A1814" s="47" t="n"/>
      <c r="B1814" s="48" t="n"/>
      <c r="C1814" s="48" t="n"/>
      <c r="D1814" s="48" t="n"/>
      <c r="E1814" s="48" t="n"/>
      <c r="F1814" s="48" t="n"/>
      <c r="G1814" s="48" t="n"/>
      <c r="H1814" s="48" t="n"/>
      <c r="I1814" s="49" t="n"/>
      <c r="J1814" s="50" t="n"/>
      <c r="K1814" s="48" t="n"/>
      <c r="L1814" s="51">
        <f>IF(A1814="","",DATE(YEAR(A1814),MONTH(A1814),1))</f>
        <v/>
      </c>
      <c r="M1814" s="52">
        <f>IF(OR(A1814="",NOT(ISNUMBER(I1814))),"",IF(G1814=Lists!$B$5,I1814/2,IF(G1814=Lists!$B$6,I1814,0)))</f>
        <v/>
      </c>
      <c r="N1814" s="52">
        <f>IF(OR(A1814="",NOT(ISNUMBER(I1814))),"",IF(G1814=Lists!$B$5,I1814/2,IF(G1814=Lists!$B$7,I1814,0)))</f>
        <v/>
      </c>
      <c r="O1814" s="53">
        <f>IF(COUNTA(A1814:K1814)=0,"",IF(OR(A1814="",B1814="",C1814="",D1814="",E1814="",F1814="",G1814="",NOT(ISNUMBER(I1814))),"Incomplete",IF(COUNTIF(Lists!$H$4:$AA$4,C1814)=0,"Check category",IF(COUNTIF(INDEX(Lists!$H$6:$AA$45,0,MATCH(C1814,Lists!$H$4:$AA$4,0)),D1814)=0,"Check sub-category","OK"))))</f>
        <v/>
      </c>
      <c r="P1814">
        <f>IF(ISNUMBER(I1814),I1814+ROW()/10000000,"")</f>
        <v/>
      </c>
      <c r="Q1814">
        <f>IF(AND(ISNUMBER(P1814),ISNUMBER(A1814)),IF(AND(A1814&gt;=Dashboard!$Q$3,A1814&lt;=Dashboard!$Q$4,OR(J1814&lt;&gt;"Yes",Dashboard!$Q$15="Yes")),P1814,""),"")</f>
        <v/>
      </c>
    </row>
    <row r="1815">
      <c r="A1815" s="47" t="n"/>
      <c r="B1815" s="48" t="n"/>
      <c r="C1815" s="48" t="n"/>
      <c r="D1815" s="48" t="n"/>
      <c r="E1815" s="48" t="n"/>
      <c r="F1815" s="48" t="n"/>
      <c r="G1815" s="48" t="n"/>
      <c r="H1815" s="48" t="n"/>
      <c r="I1815" s="49" t="n"/>
      <c r="J1815" s="50" t="n"/>
      <c r="K1815" s="48" t="n"/>
      <c r="L1815" s="51">
        <f>IF(A1815="","",DATE(YEAR(A1815),MONTH(A1815),1))</f>
        <v/>
      </c>
      <c r="M1815" s="52">
        <f>IF(OR(A1815="",NOT(ISNUMBER(I1815))),"",IF(G1815=Lists!$B$5,I1815/2,IF(G1815=Lists!$B$6,I1815,0)))</f>
        <v/>
      </c>
      <c r="N1815" s="52">
        <f>IF(OR(A1815="",NOT(ISNUMBER(I1815))),"",IF(G1815=Lists!$B$5,I1815/2,IF(G1815=Lists!$B$7,I1815,0)))</f>
        <v/>
      </c>
      <c r="O1815" s="53">
        <f>IF(COUNTA(A1815:K1815)=0,"",IF(OR(A1815="",B1815="",C1815="",D1815="",E1815="",F1815="",G1815="",NOT(ISNUMBER(I1815))),"Incomplete",IF(COUNTIF(Lists!$H$4:$AA$4,C1815)=0,"Check category",IF(COUNTIF(INDEX(Lists!$H$6:$AA$45,0,MATCH(C1815,Lists!$H$4:$AA$4,0)),D1815)=0,"Check sub-category","OK"))))</f>
        <v/>
      </c>
      <c r="P1815">
        <f>IF(ISNUMBER(I1815),I1815+ROW()/10000000,"")</f>
        <v/>
      </c>
      <c r="Q1815">
        <f>IF(AND(ISNUMBER(P1815),ISNUMBER(A1815)),IF(AND(A1815&gt;=Dashboard!$Q$3,A1815&lt;=Dashboard!$Q$4,OR(J1815&lt;&gt;"Yes",Dashboard!$Q$15="Yes")),P1815,""),"")</f>
        <v/>
      </c>
    </row>
    <row r="1816">
      <c r="A1816" s="47" t="n"/>
      <c r="B1816" s="48" t="n"/>
      <c r="C1816" s="48" t="n"/>
      <c r="D1816" s="48" t="n"/>
      <c r="E1816" s="48" t="n"/>
      <c r="F1816" s="48" t="n"/>
      <c r="G1816" s="48" t="n"/>
      <c r="H1816" s="48" t="n"/>
      <c r="I1816" s="49" t="n"/>
      <c r="J1816" s="50" t="n"/>
      <c r="K1816" s="48" t="n"/>
      <c r="L1816" s="51">
        <f>IF(A1816="","",DATE(YEAR(A1816),MONTH(A1816),1))</f>
        <v/>
      </c>
      <c r="M1816" s="52">
        <f>IF(OR(A1816="",NOT(ISNUMBER(I1816))),"",IF(G1816=Lists!$B$5,I1816/2,IF(G1816=Lists!$B$6,I1816,0)))</f>
        <v/>
      </c>
      <c r="N1816" s="52">
        <f>IF(OR(A1816="",NOT(ISNUMBER(I1816))),"",IF(G1816=Lists!$B$5,I1816/2,IF(G1816=Lists!$B$7,I1816,0)))</f>
        <v/>
      </c>
      <c r="O1816" s="53">
        <f>IF(COUNTA(A1816:K1816)=0,"",IF(OR(A1816="",B1816="",C1816="",D1816="",E1816="",F1816="",G1816="",NOT(ISNUMBER(I1816))),"Incomplete",IF(COUNTIF(Lists!$H$4:$AA$4,C1816)=0,"Check category",IF(COUNTIF(INDEX(Lists!$H$6:$AA$45,0,MATCH(C1816,Lists!$H$4:$AA$4,0)),D1816)=0,"Check sub-category","OK"))))</f>
        <v/>
      </c>
      <c r="P1816">
        <f>IF(ISNUMBER(I1816),I1816+ROW()/10000000,"")</f>
        <v/>
      </c>
      <c r="Q1816">
        <f>IF(AND(ISNUMBER(P1816),ISNUMBER(A1816)),IF(AND(A1816&gt;=Dashboard!$Q$3,A1816&lt;=Dashboard!$Q$4,OR(J1816&lt;&gt;"Yes",Dashboard!$Q$15="Yes")),P1816,""),"")</f>
        <v/>
      </c>
    </row>
    <row r="1817">
      <c r="A1817" s="47" t="n"/>
      <c r="B1817" s="48" t="n"/>
      <c r="C1817" s="48" t="n"/>
      <c r="D1817" s="48" t="n"/>
      <c r="E1817" s="48" t="n"/>
      <c r="F1817" s="48" t="n"/>
      <c r="G1817" s="48" t="n"/>
      <c r="H1817" s="48" t="n"/>
      <c r="I1817" s="49" t="n"/>
      <c r="J1817" s="50" t="n"/>
      <c r="K1817" s="48" t="n"/>
      <c r="L1817" s="51">
        <f>IF(A1817="","",DATE(YEAR(A1817),MONTH(A1817),1))</f>
        <v/>
      </c>
      <c r="M1817" s="52">
        <f>IF(OR(A1817="",NOT(ISNUMBER(I1817))),"",IF(G1817=Lists!$B$5,I1817/2,IF(G1817=Lists!$B$6,I1817,0)))</f>
        <v/>
      </c>
      <c r="N1817" s="52">
        <f>IF(OR(A1817="",NOT(ISNUMBER(I1817))),"",IF(G1817=Lists!$B$5,I1817/2,IF(G1817=Lists!$B$7,I1817,0)))</f>
        <v/>
      </c>
      <c r="O1817" s="53">
        <f>IF(COUNTA(A1817:K1817)=0,"",IF(OR(A1817="",B1817="",C1817="",D1817="",E1817="",F1817="",G1817="",NOT(ISNUMBER(I1817))),"Incomplete",IF(COUNTIF(Lists!$H$4:$AA$4,C1817)=0,"Check category",IF(COUNTIF(INDEX(Lists!$H$6:$AA$45,0,MATCH(C1817,Lists!$H$4:$AA$4,0)),D1817)=0,"Check sub-category","OK"))))</f>
        <v/>
      </c>
      <c r="P1817">
        <f>IF(ISNUMBER(I1817),I1817+ROW()/10000000,"")</f>
        <v/>
      </c>
      <c r="Q1817">
        <f>IF(AND(ISNUMBER(P1817),ISNUMBER(A1817)),IF(AND(A1817&gt;=Dashboard!$Q$3,A1817&lt;=Dashboard!$Q$4,OR(J1817&lt;&gt;"Yes",Dashboard!$Q$15="Yes")),P1817,""),"")</f>
        <v/>
      </c>
    </row>
    <row r="1818">
      <c r="A1818" s="47" t="n"/>
      <c r="B1818" s="48" t="n"/>
      <c r="C1818" s="48" t="n"/>
      <c r="D1818" s="48" t="n"/>
      <c r="E1818" s="48" t="n"/>
      <c r="F1818" s="48" t="n"/>
      <c r="G1818" s="48" t="n"/>
      <c r="H1818" s="48" t="n"/>
      <c r="I1818" s="49" t="n"/>
      <c r="J1818" s="50" t="n"/>
      <c r="K1818" s="48" t="n"/>
      <c r="L1818" s="51">
        <f>IF(A1818="","",DATE(YEAR(A1818),MONTH(A1818),1))</f>
        <v/>
      </c>
      <c r="M1818" s="52">
        <f>IF(OR(A1818="",NOT(ISNUMBER(I1818))),"",IF(G1818=Lists!$B$5,I1818/2,IF(G1818=Lists!$B$6,I1818,0)))</f>
        <v/>
      </c>
      <c r="N1818" s="52">
        <f>IF(OR(A1818="",NOT(ISNUMBER(I1818))),"",IF(G1818=Lists!$B$5,I1818/2,IF(G1818=Lists!$B$7,I1818,0)))</f>
        <v/>
      </c>
      <c r="O1818" s="53">
        <f>IF(COUNTA(A1818:K1818)=0,"",IF(OR(A1818="",B1818="",C1818="",D1818="",E1818="",F1818="",G1818="",NOT(ISNUMBER(I1818))),"Incomplete",IF(COUNTIF(Lists!$H$4:$AA$4,C1818)=0,"Check category",IF(COUNTIF(INDEX(Lists!$H$6:$AA$45,0,MATCH(C1818,Lists!$H$4:$AA$4,0)),D1818)=0,"Check sub-category","OK"))))</f>
        <v/>
      </c>
      <c r="P1818">
        <f>IF(ISNUMBER(I1818),I1818+ROW()/10000000,"")</f>
        <v/>
      </c>
      <c r="Q1818">
        <f>IF(AND(ISNUMBER(P1818),ISNUMBER(A1818)),IF(AND(A1818&gt;=Dashboard!$Q$3,A1818&lt;=Dashboard!$Q$4,OR(J1818&lt;&gt;"Yes",Dashboard!$Q$15="Yes")),P1818,""),"")</f>
        <v/>
      </c>
    </row>
    <row r="1819">
      <c r="A1819" s="47" t="n"/>
      <c r="B1819" s="48" t="n"/>
      <c r="C1819" s="48" t="n"/>
      <c r="D1819" s="48" t="n"/>
      <c r="E1819" s="48" t="n"/>
      <c r="F1819" s="48" t="n"/>
      <c r="G1819" s="48" t="n"/>
      <c r="H1819" s="48" t="n"/>
      <c r="I1819" s="49" t="n"/>
      <c r="J1819" s="50" t="n"/>
      <c r="K1819" s="48" t="n"/>
      <c r="L1819" s="51">
        <f>IF(A1819="","",DATE(YEAR(A1819),MONTH(A1819),1))</f>
        <v/>
      </c>
      <c r="M1819" s="52">
        <f>IF(OR(A1819="",NOT(ISNUMBER(I1819))),"",IF(G1819=Lists!$B$5,I1819/2,IF(G1819=Lists!$B$6,I1819,0)))</f>
        <v/>
      </c>
      <c r="N1819" s="52">
        <f>IF(OR(A1819="",NOT(ISNUMBER(I1819))),"",IF(G1819=Lists!$B$5,I1819/2,IF(G1819=Lists!$B$7,I1819,0)))</f>
        <v/>
      </c>
      <c r="O1819" s="53">
        <f>IF(COUNTA(A1819:K1819)=0,"",IF(OR(A1819="",B1819="",C1819="",D1819="",E1819="",F1819="",G1819="",NOT(ISNUMBER(I1819))),"Incomplete",IF(COUNTIF(Lists!$H$4:$AA$4,C1819)=0,"Check category",IF(COUNTIF(INDEX(Lists!$H$6:$AA$45,0,MATCH(C1819,Lists!$H$4:$AA$4,0)),D1819)=0,"Check sub-category","OK"))))</f>
        <v/>
      </c>
      <c r="P1819">
        <f>IF(ISNUMBER(I1819),I1819+ROW()/10000000,"")</f>
        <v/>
      </c>
      <c r="Q1819">
        <f>IF(AND(ISNUMBER(P1819),ISNUMBER(A1819)),IF(AND(A1819&gt;=Dashboard!$Q$3,A1819&lt;=Dashboard!$Q$4,OR(J1819&lt;&gt;"Yes",Dashboard!$Q$15="Yes")),P1819,""),"")</f>
        <v/>
      </c>
    </row>
    <row r="1820">
      <c r="A1820" s="47" t="n"/>
      <c r="B1820" s="48" t="n"/>
      <c r="C1820" s="48" t="n"/>
      <c r="D1820" s="48" t="n"/>
      <c r="E1820" s="48" t="n"/>
      <c r="F1820" s="48" t="n"/>
      <c r="G1820" s="48" t="n"/>
      <c r="H1820" s="48" t="n"/>
      <c r="I1820" s="49" t="n"/>
      <c r="J1820" s="50" t="n"/>
      <c r="K1820" s="48" t="n"/>
      <c r="L1820" s="51">
        <f>IF(A1820="","",DATE(YEAR(A1820),MONTH(A1820),1))</f>
        <v/>
      </c>
      <c r="M1820" s="52">
        <f>IF(OR(A1820="",NOT(ISNUMBER(I1820))),"",IF(G1820=Lists!$B$5,I1820/2,IF(G1820=Lists!$B$6,I1820,0)))</f>
        <v/>
      </c>
      <c r="N1820" s="52">
        <f>IF(OR(A1820="",NOT(ISNUMBER(I1820))),"",IF(G1820=Lists!$B$5,I1820/2,IF(G1820=Lists!$B$7,I1820,0)))</f>
        <v/>
      </c>
      <c r="O1820" s="53">
        <f>IF(COUNTA(A1820:K1820)=0,"",IF(OR(A1820="",B1820="",C1820="",D1820="",E1820="",F1820="",G1820="",NOT(ISNUMBER(I1820))),"Incomplete",IF(COUNTIF(Lists!$H$4:$AA$4,C1820)=0,"Check category",IF(COUNTIF(INDEX(Lists!$H$6:$AA$45,0,MATCH(C1820,Lists!$H$4:$AA$4,0)),D1820)=0,"Check sub-category","OK"))))</f>
        <v/>
      </c>
      <c r="P1820">
        <f>IF(ISNUMBER(I1820),I1820+ROW()/10000000,"")</f>
        <v/>
      </c>
      <c r="Q1820">
        <f>IF(AND(ISNUMBER(P1820),ISNUMBER(A1820)),IF(AND(A1820&gt;=Dashboard!$Q$3,A1820&lt;=Dashboard!$Q$4,OR(J1820&lt;&gt;"Yes",Dashboard!$Q$15="Yes")),P1820,""),"")</f>
        <v/>
      </c>
    </row>
    <row r="1821">
      <c r="A1821" s="47" t="n"/>
      <c r="B1821" s="48" t="n"/>
      <c r="C1821" s="48" t="n"/>
      <c r="D1821" s="48" t="n"/>
      <c r="E1821" s="48" t="n"/>
      <c r="F1821" s="48" t="n"/>
      <c r="G1821" s="48" t="n"/>
      <c r="H1821" s="48" t="n"/>
      <c r="I1821" s="49" t="n"/>
      <c r="J1821" s="50" t="n"/>
      <c r="K1821" s="48" t="n"/>
      <c r="L1821" s="51">
        <f>IF(A1821="","",DATE(YEAR(A1821),MONTH(A1821),1))</f>
        <v/>
      </c>
      <c r="M1821" s="52">
        <f>IF(OR(A1821="",NOT(ISNUMBER(I1821))),"",IF(G1821=Lists!$B$5,I1821/2,IF(G1821=Lists!$B$6,I1821,0)))</f>
        <v/>
      </c>
      <c r="N1821" s="52">
        <f>IF(OR(A1821="",NOT(ISNUMBER(I1821))),"",IF(G1821=Lists!$B$5,I1821/2,IF(G1821=Lists!$B$7,I1821,0)))</f>
        <v/>
      </c>
      <c r="O1821" s="53">
        <f>IF(COUNTA(A1821:K1821)=0,"",IF(OR(A1821="",B1821="",C1821="",D1821="",E1821="",F1821="",G1821="",NOT(ISNUMBER(I1821))),"Incomplete",IF(COUNTIF(Lists!$H$4:$AA$4,C1821)=0,"Check category",IF(COUNTIF(INDEX(Lists!$H$6:$AA$45,0,MATCH(C1821,Lists!$H$4:$AA$4,0)),D1821)=0,"Check sub-category","OK"))))</f>
        <v/>
      </c>
      <c r="P1821">
        <f>IF(ISNUMBER(I1821),I1821+ROW()/10000000,"")</f>
        <v/>
      </c>
      <c r="Q1821">
        <f>IF(AND(ISNUMBER(P1821),ISNUMBER(A1821)),IF(AND(A1821&gt;=Dashboard!$Q$3,A1821&lt;=Dashboard!$Q$4,OR(J1821&lt;&gt;"Yes",Dashboard!$Q$15="Yes")),P1821,""),"")</f>
        <v/>
      </c>
    </row>
    <row r="1822">
      <c r="A1822" s="47" t="n"/>
      <c r="B1822" s="48" t="n"/>
      <c r="C1822" s="48" t="n"/>
      <c r="D1822" s="48" t="n"/>
      <c r="E1822" s="48" t="n"/>
      <c r="F1822" s="48" t="n"/>
      <c r="G1822" s="48" t="n"/>
      <c r="H1822" s="48" t="n"/>
      <c r="I1822" s="49" t="n"/>
      <c r="J1822" s="50" t="n"/>
      <c r="K1822" s="48" t="n"/>
      <c r="L1822" s="51">
        <f>IF(A1822="","",DATE(YEAR(A1822),MONTH(A1822),1))</f>
        <v/>
      </c>
      <c r="M1822" s="52">
        <f>IF(OR(A1822="",NOT(ISNUMBER(I1822))),"",IF(G1822=Lists!$B$5,I1822/2,IF(G1822=Lists!$B$6,I1822,0)))</f>
        <v/>
      </c>
      <c r="N1822" s="52">
        <f>IF(OR(A1822="",NOT(ISNUMBER(I1822))),"",IF(G1822=Lists!$B$5,I1822/2,IF(G1822=Lists!$B$7,I1822,0)))</f>
        <v/>
      </c>
      <c r="O1822" s="53">
        <f>IF(COUNTA(A1822:K1822)=0,"",IF(OR(A1822="",B1822="",C1822="",D1822="",E1822="",F1822="",G1822="",NOT(ISNUMBER(I1822))),"Incomplete",IF(COUNTIF(Lists!$H$4:$AA$4,C1822)=0,"Check category",IF(COUNTIF(INDEX(Lists!$H$6:$AA$45,0,MATCH(C1822,Lists!$H$4:$AA$4,0)),D1822)=0,"Check sub-category","OK"))))</f>
        <v/>
      </c>
      <c r="P1822">
        <f>IF(ISNUMBER(I1822),I1822+ROW()/10000000,"")</f>
        <v/>
      </c>
      <c r="Q1822">
        <f>IF(AND(ISNUMBER(P1822),ISNUMBER(A1822)),IF(AND(A1822&gt;=Dashboard!$Q$3,A1822&lt;=Dashboard!$Q$4,OR(J1822&lt;&gt;"Yes",Dashboard!$Q$15="Yes")),P1822,""),"")</f>
        <v/>
      </c>
    </row>
    <row r="1823">
      <c r="A1823" s="47" t="n"/>
      <c r="B1823" s="48" t="n"/>
      <c r="C1823" s="48" t="n"/>
      <c r="D1823" s="48" t="n"/>
      <c r="E1823" s="48" t="n"/>
      <c r="F1823" s="48" t="n"/>
      <c r="G1823" s="48" t="n"/>
      <c r="H1823" s="48" t="n"/>
      <c r="I1823" s="49" t="n"/>
      <c r="J1823" s="50" t="n"/>
      <c r="K1823" s="48" t="n"/>
      <c r="L1823" s="51">
        <f>IF(A1823="","",DATE(YEAR(A1823),MONTH(A1823),1))</f>
        <v/>
      </c>
      <c r="M1823" s="52">
        <f>IF(OR(A1823="",NOT(ISNUMBER(I1823))),"",IF(G1823=Lists!$B$5,I1823/2,IF(G1823=Lists!$B$6,I1823,0)))</f>
        <v/>
      </c>
      <c r="N1823" s="52">
        <f>IF(OR(A1823="",NOT(ISNUMBER(I1823))),"",IF(G1823=Lists!$B$5,I1823/2,IF(G1823=Lists!$B$7,I1823,0)))</f>
        <v/>
      </c>
      <c r="O1823" s="53">
        <f>IF(COUNTA(A1823:K1823)=0,"",IF(OR(A1823="",B1823="",C1823="",D1823="",E1823="",F1823="",G1823="",NOT(ISNUMBER(I1823))),"Incomplete",IF(COUNTIF(Lists!$H$4:$AA$4,C1823)=0,"Check category",IF(COUNTIF(INDEX(Lists!$H$6:$AA$45,0,MATCH(C1823,Lists!$H$4:$AA$4,0)),D1823)=0,"Check sub-category","OK"))))</f>
        <v/>
      </c>
      <c r="P1823">
        <f>IF(ISNUMBER(I1823),I1823+ROW()/10000000,"")</f>
        <v/>
      </c>
      <c r="Q1823">
        <f>IF(AND(ISNUMBER(P1823),ISNUMBER(A1823)),IF(AND(A1823&gt;=Dashboard!$Q$3,A1823&lt;=Dashboard!$Q$4,OR(J1823&lt;&gt;"Yes",Dashboard!$Q$15="Yes")),P1823,""),"")</f>
        <v/>
      </c>
    </row>
    <row r="1824">
      <c r="A1824" s="47" t="n"/>
      <c r="B1824" s="48" t="n"/>
      <c r="C1824" s="48" t="n"/>
      <c r="D1824" s="48" t="n"/>
      <c r="E1824" s="48" t="n"/>
      <c r="F1824" s="48" t="n"/>
      <c r="G1824" s="48" t="n"/>
      <c r="H1824" s="48" t="n"/>
      <c r="I1824" s="49" t="n"/>
      <c r="J1824" s="50" t="n"/>
      <c r="K1824" s="48" t="n"/>
      <c r="L1824" s="51">
        <f>IF(A1824="","",DATE(YEAR(A1824),MONTH(A1824),1))</f>
        <v/>
      </c>
      <c r="M1824" s="52">
        <f>IF(OR(A1824="",NOT(ISNUMBER(I1824))),"",IF(G1824=Lists!$B$5,I1824/2,IF(G1824=Lists!$B$6,I1824,0)))</f>
        <v/>
      </c>
      <c r="N1824" s="52">
        <f>IF(OR(A1824="",NOT(ISNUMBER(I1824))),"",IF(G1824=Lists!$B$5,I1824/2,IF(G1824=Lists!$B$7,I1824,0)))</f>
        <v/>
      </c>
      <c r="O1824" s="53">
        <f>IF(COUNTA(A1824:K1824)=0,"",IF(OR(A1824="",B1824="",C1824="",D1824="",E1824="",F1824="",G1824="",NOT(ISNUMBER(I1824))),"Incomplete",IF(COUNTIF(Lists!$H$4:$AA$4,C1824)=0,"Check category",IF(COUNTIF(INDEX(Lists!$H$6:$AA$45,0,MATCH(C1824,Lists!$H$4:$AA$4,0)),D1824)=0,"Check sub-category","OK"))))</f>
        <v/>
      </c>
      <c r="P1824">
        <f>IF(ISNUMBER(I1824),I1824+ROW()/10000000,"")</f>
        <v/>
      </c>
      <c r="Q1824">
        <f>IF(AND(ISNUMBER(P1824),ISNUMBER(A1824)),IF(AND(A1824&gt;=Dashboard!$Q$3,A1824&lt;=Dashboard!$Q$4,OR(J1824&lt;&gt;"Yes",Dashboard!$Q$15="Yes")),P1824,""),"")</f>
        <v/>
      </c>
    </row>
    <row r="1825">
      <c r="A1825" s="47" t="n"/>
      <c r="B1825" s="48" t="n"/>
      <c r="C1825" s="48" t="n"/>
      <c r="D1825" s="48" t="n"/>
      <c r="E1825" s="48" t="n"/>
      <c r="F1825" s="48" t="n"/>
      <c r="G1825" s="48" t="n"/>
      <c r="H1825" s="48" t="n"/>
      <c r="I1825" s="49" t="n"/>
      <c r="J1825" s="50" t="n"/>
      <c r="K1825" s="48" t="n"/>
      <c r="L1825" s="51">
        <f>IF(A1825="","",DATE(YEAR(A1825),MONTH(A1825),1))</f>
        <v/>
      </c>
      <c r="M1825" s="52">
        <f>IF(OR(A1825="",NOT(ISNUMBER(I1825))),"",IF(G1825=Lists!$B$5,I1825/2,IF(G1825=Lists!$B$6,I1825,0)))</f>
        <v/>
      </c>
      <c r="N1825" s="52">
        <f>IF(OR(A1825="",NOT(ISNUMBER(I1825))),"",IF(G1825=Lists!$B$5,I1825/2,IF(G1825=Lists!$B$7,I1825,0)))</f>
        <v/>
      </c>
      <c r="O1825" s="53">
        <f>IF(COUNTA(A1825:K1825)=0,"",IF(OR(A1825="",B1825="",C1825="",D1825="",E1825="",F1825="",G1825="",NOT(ISNUMBER(I1825))),"Incomplete",IF(COUNTIF(Lists!$H$4:$AA$4,C1825)=0,"Check category",IF(COUNTIF(INDEX(Lists!$H$6:$AA$45,0,MATCH(C1825,Lists!$H$4:$AA$4,0)),D1825)=0,"Check sub-category","OK"))))</f>
        <v/>
      </c>
      <c r="P1825">
        <f>IF(ISNUMBER(I1825),I1825+ROW()/10000000,"")</f>
        <v/>
      </c>
      <c r="Q1825">
        <f>IF(AND(ISNUMBER(P1825),ISNUMBER(A1825)),IF(AND(A1825&gt;=Dashboard!$Q$3,A1825&lt;=Dashboard!$Q$4,OR(J1825&lt;&gt;"Yes",Dashboard!$Q$15="Yes")),P1825,""),"")</f>
        <v/>
      </c>
    </row>
    <row r="1826">
      <c r="A1826" s="47" t="n"/>
      <c r="B1826" s="48" t="n"/>
      <c r="C1826" s="48" t="n"/>
      <c r="D1826" s="48" t="n"/>
      <c r="E1826" s="48" t="n"/>
      <c r="F1826" s="48" t="n"/>
      <c r="G1826" s="48" t="n"/>
      <c r="H1826" s="48" t="n"/>
      <c r="I1826" s="49" t="n"/>
      <c r="J1826" s="50" t="n"/>
      <c r="K1826" s="48" t="n"/>
      <c r="L1826" s="51">
        <f>IF(A1826="","",DATE(YEAR(A1826),MONTH(A1826),1))</f>
        <v/>
      </c>
      <c r="M1826" s="52">
        <f>IF(OR(A1826="",NOT(ISNUMBER(I1826))),"",IF(G1826=Lists!$B$5,I1826/2,IF(G1826=Lists!$B$6,I1826,0)))</f>
        <v/>
      </c>
      <c r="N1826" s="52">
        <f>IF(OR(A1826="",NOT(ISNUMBER(I1826))),"",IF(G1826=Lists!$B$5,I1826/2,IF(G1826=Lists!$B$7,I1826,0)))</f>
        <v/>
      </c>
      <c r="O1826" s="53">
        <f>IF(COUNTA(A1826:K1826)=0,"",IF(OR(A1826="",B1826="",C1826="",D1826="",E1826="",F1826="",G1826="",NOT(ISNUMBER(I1826))),"Incomplete",IF(COUNTIF(Lists!$H$4:$AA$4,C1826)=0,"Check category",IF(COUNTIF(INDEX(Lists!$H$6:$AA$45,0,MATCH(C1826,Lists!$H$4:$AA$4,0)),D1826)=0,"Check sub-category","OK"))))</f>
        <v/>
      </c>
      <c r="P1826">
        <f>IF(ISNUMBER(I1826),I1826+ROW()/10000000,"")</f>
        <v/>
      </c>
      <c r="Q1826">
        <f>IF(AND(ISNUMBER(P1826),ISNUMBER(A1826)),IF(AND(A1826&gt;=Dashboard!$Q$3,A1826&lt;=Dashboard!$Q$4,OR(J1826&lt;&gt;"Yes",Dashboard!$Q$15="Yes")),P1826,""),"")</f>
        <v/>
      </c>
    </row>
    <row r="1827">
      <c r="A1827" s="47" t="n"/>
      <c r="B1827" s="48" t="n"/>
      <c r="C1827" s="48" t="n"/>
      <c r="D1827" s="48" t="n"/>
      <c r="E1827" s="48" t="n"/>
      <c r="F1827" s="48" t="n"/>
      <c r="G1827" s="48" t="n"/>
      <c r="H1827" s="48" t="n"/>
      <c r="I1827" s="49" t="n"/>
      <c r="J1827" s="50" t="n"/>
      <c r="K1827" s="48" t="n"/>
      <c r="L1827" s="51">
        <f>IF(A1827="","",DATE(YEAR(A1827),MONTH(A1827),1))</f>
        <v/>
      </c>
      <c r="M1827" s="52">
        <f>IF(OR(A1827="",NOT(ISNUMBER(I1827))),"",IF(G1827=Lists!$B$5,I1827/2,IF(G1827=Lists!$B$6,I1827,0)))</f>
        <v/>
      </c>
      <c r="N1827" s="52">
        <f>IF(OR(A1827="",NOT(ISNUMBER(I1827))),"",IF(G1827=Lists!$B$5,I1827/2,IF(G1827=Lists!$B$7,I1827,0)))</f>
        <v/>
      </c>
      <c r="O1827" s="53">
        <f>IF(COUNTA(A1827:K1827)=0,"",IF(OR(A1827="",B1827="",C1827="",D1827="",E1827="",F1827="",G1827="",NOT(ISNUMBER(I1827))),"Incomplete",IF(COUNTIF(Lists!$H$4:$AA$4,C1827)=0,"Check category",IF(COUNTIF(INDEX(Lists!$H$6:$AA$45,0,MATCH(C1827,Lists!$H$4:$AA$4,0)),D1827)=0,"Check sub-category","OK"))))</f>
        <v/>
      </c>
      <c r="P1827">
        <f>IF(ISNUMBER(I1827),I1827+ROW()/10000000,"")</f>
        <v/>
      </c>
      <c r="Q1827">
        <f>IF(AND(ISNUMBER(P1827),ISNUMBER(A1827)),IF(AND(A1827&gt;=Dashboard!$Q$3,A1827&lt;=Dashboard!$Q$4,OR(J1827&lt;&gt;"Yes",Dashboard!$Q$15="Yes")),P1827,""),"")</f>
        <v/>
      </c>
    </row>
    <row r="1828">
      <c r="A1828" s="47" t="n"/>
      <c r="B1828" s="48" t="n"/>
      <c r="C1828" s="48" t="n"/>
      <c r="D1828" s="48" t="n"/>
      <c r="E1828" s="48" t="n"/>
      <c r="F1828" s="48" t="n"/>
      <c r="G1828" s="48" t="n"/>
      <c r="H1828" s="48" t="n"/>
      <c r="I1828" s="49" t="n"/>
      <c r="J1828" s="50" t="n"/>
      <c r="K1828" s="48" t="n"/>
      <c r="L1828" s="51">
        <f>IF(A1828="","",DATE(YEAR(A1828),MONTH(A1828),1))</f>
        <v/>
      </c>
      <c r="M1828" s="52">
        <f>IF(OR(A1828="",NOT(ISNUMBER(I1828))),"",IF(G1828=Lists!$B$5,I1828/2,IF(G1828=Lists!$B$6,I1828,0)))</f>
        <v/>
      </c>
      <c r="N1828" s="52">
        <f>IF(OR(A1828="",NOT(ISNUMBER(I1828))),"",IF(G1828=Lists!$B$5,I1828/2,IF(G1828=Lists!$B$7,I1828,0)))</f>
        <v/>
      </c>
      <c r="O1828" s="53">
        <f>IF(COUNTA(A1828:K1828)=0,"",IF(OR(A1828="",B1828="",C1828="",D1828="",E1828="",F1828="",G1828="",NOT(ISNUMBER(I1828))),"Incomplete",IF(COUNTIF(Lists!$H$4:$AA$4,C1828)=0,"Check category",IF(COUNTIF(INDEX(Lists!$H$6:$AA$45,0,MATCH(C1828,Lists!$H$4:$AA$4,0)),D1828)=0,"Check sub-category","OK"))))</f>
        <v/>
      </c>
      <c r="P1828">
        <f>IF(ISNUMBER(I1828),I1828+ROW()/10000000,"")</f>
        <v/>
      </c>
      <c r="Q1828">
        <f>IF(AND(ISNUMBER(P1828),ISNUMBER(A1828)),IF(AND(A1828&gt;=Dashboard!$Q$3,A1828&lt;=Dashboard!$Q$4,OR(J1828&lt;&gt;"Yes",Dashboard!$Q$15="Yes")),P1828,""),"")</f>
        <v/>
      </c>
    </row>
    <row r="1829">
      <c r="A1829" s="47" t="n"/>
      <c r="B1829" s="48" t="n"/>
      <c r="C1829" s="48" t="n"/>
      <c r="D1829" s="48" t="n"/>
      <c r="E1829" s="48" t="n"/>
      <c r="F1829" s="48" t="n"/>
      <c r="G1829" s="48" t="n"/>
      <c r="H1829" s="48" t="n"/>
      <c r="I1829" s="49" t="n"/>
      <c r="J1829" s="50" t="n"/>
      <c r="K1829" s="48" t="n"/>
      <c r="L1829" s="51">
        <f>IF(A1829="","",DATE(YEAR(A1829),MONTH(A1829),1))</f>
        <v/>
      </c>
      <c r="M1829" s="52">
        <f>IF(OR(A1829="",NOT(ISNUMBER(I1829))),"",IF(G1829=Lists!$B$5,I1829/2,IF(G1829=Lists!$B$6,I1829,0)))</f>
        <v/>
      </c>
      <c r="N1829" s="52">
        <f>IF(OR(A1829="",NOT(ISNUMBER(I1829))),"",IF(G1829=Lists!$B$5,I1829/2,IF(G1829=Lists!$B$7,I1829,0)))</f>
        <v/>
      </c>
      <c r="O1829" s="53">
        <f>IF(COUNTA(A1829:K1829)=0,"",IF(OR(A1829="",B1829="",C1829="",D1829="",E1829="",F1829="",G1829="",NOT(ISNUMBER(I1829))),"Incomplete",IF(COUNTIF(Lists!$H$4:$AA$4,C1829)=0,"Check category",IF(COUNTIF(INDEX(Lists!$H$6:$AA$45,0,MATCH(C1829,Lists!$H$4:$AA$4,0)),D1829)=0,"Check sub-category","OK"))))</f>
        <v/>
      </c>
      <c r="P1829">
        <f>IF(ISNUMBER(I1829),I1829+ROW()/10000000,"")</f>
        <v/>
      </c>
      <c r="Q1829">
        <f>IF(AND(ISNUMBER(P1829),ISNUMBER(A1829)),IF(AND(A1829&gt;=Dashboard!$Q$3,A1829&lt;=Dashboard!$Q$4,OR(J1829&lt;&gt;"Yes",Dashboard!$Q$15="Yes")),P1829,""),"")</f>
        <v/>
      </c>
    </row>
    <row r="1830">
      <c r="A1830" s="47" t="n"/>
      <c r="B1830" s="48" t="n"/>
      <c r="C1830" s="48" t="n"/>
      <c r="D1830" s="48" t="n"/>
      <c r="E1830" s="48" t="n"/>
      <c r="F1830" s="48" t="n"/>
      <c r="G1830" s="48" t="n"/>
      <c r="H1830" s="48" t="n"/>
      <c r="I1830" s="49" t="n"/>
      <c r="J1830" s="50" t="n"/>
      <c r="K1830" s="48" t="n"/>
      <c r="L1830" s="51">
        <f>IF(A1830="","",DATE(YEAR(A1830),MONTH(A1830),1))</f>
        <v/>
      </c>
      <c r="M1830" s="52">
        <f>IF(OR(A1830="",NOT(ISNUMBER(I1830))),"",IF(G1830=Lists!$B$5,I1830/2,IF(G1830=Lists!$B$6,I1830,0)))</f>
        <v/>
      </c>
      <c r="N1830" s="52">
        <f>IF(OR(A1830="",NOT(ISNUMBER(I1830))),"",IF(G1830=Lists!$B$5,I1830/2,IF(G1830=Lists!$B$7,I1830,0)))</f>
        <v/>
      </c>
      <c r="O1830" s="53">
        <f>IF(COUNTA(A1830:K1830)=0,"",IF(OR(A1830="",B1830="",C1830="",D1830="",E1830="",F1830="",G1830="",NOT(ISNUMBER(I1830))),"Incomplete",IF(COUNTIF(Lists!$H$4:$AA$4,C1830)=0,"Check category",IF(COUNTIF(INDEX(Lists!$H$6:$AA$45,0,MATCH(C1830,Lists!$H$4:$AA$4,0)),D1830)=0,"Check sub-category","OK"))))</f>
        <v/>
      </c>
      <c r="P1830">
        <f>IF(ISNUMBER(I1830),I1830+ROW()/10000000,"")</f>
        <v/>
      </c>
      <c r="Q1830">
        <f>IF(AND(ISNUMBER(P1830),ISNUMBER(A1830)),IF(AND(A1830&gt;=Dashboard!$Q$3,A1830&lt;=Dashboard!$Q$4,OR(J1830&lt;&gt;"Yes",Dashboard!$Q$15="Yes")),P1830,""),"")</f>
        <v/>
      </c>
    </row>
    <row r="1831">
      <c r="A1831" s="47" t="n"/>
      <c r="B1831" s="48" t="n"/>
      <c r="C1831" s="48" t="n"/>
      <c r="D1831" s="48" t="n"/>
      <c r="E1831" s="48" t="n"/>
      <c r="F1831" s="48" t="n"/>
      <c r="G1831" s="48" t="n"/>
      <c r="H1831" s="48" t="n"/>
      <c r="I1831" s="49" t="n"/>
      <c r="J1831" s="50" t="n"/>
      <c r="K1831" s="48" t="n"/>
      <c r="L1831" s="51">
        <f>IF(A1831="","",DATE(YEAR(A1831),MONTH(A1831),1))</f>
        <v/>
      </c>
      <c r="M1831" s="52">
        <f>IF(OR(A1831="",NOT(ISNUMBER(I1831))),"",IF(G1831=Lists!$B$5,I1831/2,IF(G1831=Lists!$B$6,I1831,0)))</f>
        <v/>
      </c>
      <c r="N1831" s="52">
        <f>IF(OR(A1831="",NOT(ISNUMBER(I1831))),"",IF(G1831=Lists!$B$5,I1831/2,IF(G1831=Lists!$B$7,I1831,0)))</f>
        <v/>
      </c>
      <c r="O1831" s="53">
        <f>IF(COUNTA(A1831:K1831)=0,"",IF(OR(A1831="",B1831="",C1831="",D1831="",E1831="",F1831="",G1831="",NOT(ISNUMBER(I1831))),"Incomplete",IF(COUNTIF(Lists!$H$4:$AA$4,C1831)=0,"Check category",IF(COUNTIF(INDEX(Lists!$H$6:$AA$45,0,MATCH(C1831,Lists!$H$4:$AA$4,0)),D1831)=0,"Check sub-category","OK"))))</f>
        <v/>
      </c>
      <c r="P1831">
        <f>IF(ISNUMBER(I1831),I1831+ROW()/10000000,"")</f>
        <v/>
      </c>
      <c r="Q1831">
        <f>IF(AND(ISNUMBER(P1831),ISNUMBER(A1831)),IF(AND(A1831&gt;=Dashboard!$Q$3,A1831&lt;=Dashboard!$Q$4,OR(J1831&lt;&gt;"Yes",Dashboard!$Q$15="Yes")),P1831,""),"")</f>
        <v/>
      </c>
    </row>
    <row r="1832">
      <c r="A1832" s="47" t="n"/>
      <c r="B1832" s="48" t="n"/>
      <c r="C1832" s="48" t="n"/>
      <c r="D1832" s="48" t="n"/>
      <c r="E1832" s="48" t="n"/>
      <c r="F1832" s="48" t="n"/>
      <c r="G1832" s="48" t="n"/>
      <c r="H1832" s="48" t="n"/>
      <c r="I1832" s="49" t="n"/>
      <c r="J1832" s="50" t="n"/>
      <c r="K1832" s="48" t="n"/>
      <c r="L1832" s="51">
        <f>IF(A1832="","",DATE(YEAR(A1832),MONTH(A1832),1))</f>
        <v/>
      </c>
      <c r="M1832" s="52">
        <f>IF(OR(A1832="",NOT(ISNUMBER(I1832))),"",IF(G1832=Lists!$B$5,I1832/2,IF(G1832=Lists!$B$6,I1832,0)))</f>
        <v/>
      </c>
      <c r="N1832" s="52">
        <f>IF(OR(A1832="",NOT(ISNUMBER(I1832))),"",IF(G1832=Lists!$B$5,I1832/2,IF(G1832=Lists!$B$7,I1832,0)))</f>
        <v/>
      </c>
      <c r="O1832" s="53">
        <f>IF(COUNTA(A1832:K1832)=0,"",IF(OR(A1832="",B1832="",C1832="",D1832="",E1832="",F1832="",G1832="",NOT(ISNUMBER(I1832))),"Incomplete",IF(COUNTIF(Lists!$H$4:$AA$4,C1832)=0,"Check category",IF(COUNTIF(INDEX(Lists!$H$6:$AA$45,0,MATCH(C1832,Lists!$H$4:$AA$4,0)),D1832)=0,"Check sub-category","OK"))))</f>
        <v/>
      </c>
      <c r="P1832">
        <f>IF(ISNUMBER(I1832),I1832+ROW()/10000000,"")</f>
        <v/>
      </c>
      <c r="Q1832">
        <f>IF(AND(ISNUMBER(P1832),ISNUMBER(A1832)),IF(AND(A1832&gt;=Dashboard!$Q$3,A1832&lt;=Dashboard!$Q$4,OR(J1832&lt;&gt;"Yes",Dashboard!$Q$15="Yes")),P1832,""),"")</f>
        <v/>
      </c>
    </row>
    <row r="1833">
      <c r="A1833" s="47" t="n"/>
      <c r="B1833" s="48" t="n"/>
      <c r="C1833" s="48" t="n"/>
      <c r="D1833" s="48" t="n"/>
      <c r="E1833" s="48" t="n"/>
      <c r="F1833" s="48" t="n"/>
      <c r="G1833" s="48" t="n"/>
      <c r="H1833" s="48" t="n"/>
      <c r="I1833" s="49" t="n"/>
      <c r="J1833" s="50" t="n"/>
      <c r="K1833" s="48" t="n"/>
      <c r="L1833" s="51">
        <f>IF(A1833="","",DATE(YEAR(A1833),MONTH(A1833),1))</f>
        <v/>
      </c>
      <c r="M1833" s="52">
        <f>IF(OR(A1833="",NOT(ISNUMBER(I1833))),"",IF(G1833=Lists!$B$5,I1833/2,IF(G1833=Lists!$B$6,I1833,0)))</f>
        <v/>
      </c>
      <c r="N1833" s="52">
        <f>IF(OR(A1833="",NOT(ISNUMBER(I1833))),"",IF(G1833=Lists!$B$5,I1833/2,IF(G1833=Lists!$B$7,I1833,0)))</f>
        <v/>
      </c>
      <c r="O1833" s="53">
        <f>IF(COUNTA(A1833:K1833)=0,"",IF(OR(A1833="",B1833="",C1833="",D1833="",E1833="",F1833="",G1833="",NOT(ISNUMBER(I1833))),"Incomplete",IF(COUNTIF(Lists!$H$4:$AA$4,C1833)=0,"Check category",IF(COUNTIF(INDEX(Lists!$H$6:$AA$45,0,MATCH(C1833,Lists!$H$4:$AA$4,0)),D1833)=0,"Check sub-category","OK"))))</f>
        <v/>
      </c>
      <c r="P1833">
        <f>IF(ISNUMBER(I1833),I1833+ROW()/10000000,"")</f>
        <v/>
      </c>
      <c r="Q1833">
        <f>IF(AND(ISNUMBER(P1833),ISNUMBER(A1833)),IF(AND(A1833&gt;=Dashboard!$Q$3,A1833&lt;=Dashboard!$Q$4,OR(J1833&lt;&gt;"Yes",Dashboard!$Q$15="Yes")),P1833,""),"")</f>
        <v/>
      </c>
    </row>
    <row r="1834">
      <c r="A1834" s="47" t="n"/>
      <c r="B1834" s="48" t="n"/>
      <c r="C1834" s="48" t="n"/>
      <c r="D1834" s="48" t="n"/>
      <c r="E1834" s="48" t="n"/>
      <c r="F1834" s="48" t="n"/>
      <c r="G1834" s="48" t="n"/>
      <c r="H1834" s="48" t="n"/>
      <c r="I1834" s="49" t="n"/>
      <c r="J1834" s="50" t="n"/>
      <c r="K1834" s="48" t="n"/>
      <c r="L1834" s="51">
        <f>IF(A1834="","",DATE(YEAR(A1834),MONTH(A1834),1))</f>
        <v/>
      </c>
      <c r="M1834" s="52">
        <f>IF(OR(A1834="",NOT(ISNUMBER(I1834))),"",IF(G1834=Lists!$B$5,I1834/2,IF(G1834=Lists!$B$6,I1834,0)))</f>
        <v/>
      </c>
      <c r="N1834" s="52">
        <f>IF(OR(A1834="",NOT(ISNUMBER(I1834))),"",IF(G1834=Lists!$B$5,I1834/2,IF(G1834=Lists!$B$7,I1834,0)))</f>
        <v/>
      </c>
      <c r="O1834" s="53">
        <f>IF(COUNTA(A1834:K1834)=0,"",IF(OR(A1834="",B1834="",C1834="",D1834="",E1834="",F1834="",G1834="",NOT(ISNUMBER(I1834))),"Incomplete",IF(COUNTIF(Lists!$H$4:$AA$4,C1834)=0,"Check category",IF(COUNTIF(INDEX(Lists!$H$6:$AA$45,0,MATCH(C1834,Lists!$H$4:$AA$4,0)),D1834)=0,"Check sub-category","OK"))))</f>
        <v/>
      </c>
      <c r="P1834">
        <f>IF(ISNUMBER(I1834),I1834+ROW()/10000000,"")</f>
        <v/>
      </c>
      <c r="Q1834">
        <f>IF(AND(ISNUMBER(P1834),ISNUMBER(A1834)),IF(AND(A1834&gt;=Dashboard!$Q$3,A1834&lt;=Dashboard!$Q$4,OR(J1834&lt;&gt;"Yes",Dashboard!$Q$15="Yes")),P1834,""),"")</f>
        <v/>
      </c>
    </row>
    <row r="1835">
      <c r="A1835" s="47" t="n"/>
      <c r="B1835" s="48" t="n"/>
      <c r="C1835" s="48" t="n"/>
      <c r="D1835" s="48" t="n"/>
      <c r="E1835" s="48" t="n"/>
      <c r="F1835" s="48" t="n"/>
      <c r="G1835" s="48" t="n"/>
      <c r="H1835" s="48" t="n"/>
      <c r="I1835" s="49" t="n"/>
      <c r="J1835" s="50" t="n"/>
      <c r="K1835" s="48" t="n"/>
      <c r="L1835" s="51">
        <f>IF(A1835="","",DATE(YEAR(A1835),MONTH(A1835),1))</f>
        <v/>
      </c>
      <c r="M1835" s="52">
        <f>IF(OR(A1835="",NOT(ISNUMBER(I1835))),"",IF(G1835=Lists!$B$5,I1835/2,IF(G1835=Lists!$B$6,I1835,0)))</f>
        <v/>
      </c>
      <c r="N1835" s="52">
        <f>IF(OR(A1835="",NOT(ISNUMBER(I1835))),"",IF(G1835=Lists!$B$5,I1835/2,IF(G1835=Lists!$B$7,I1835,0)))</f>
        <v/>
      </c>
      <c r="O1835" s="53">
        <f>IF(COUNTA(A1835:K1835)=0,"",IF(OR(A1835="",B1835="",C1835="",D1835="",E1835="",F1835="",G1835="",NOT(ISNUMBER(I1835))),"Incomplete",IF(COUNTIF(Lists!$H$4:$AA$4,C1835)=0,"Check category",IF(COUNTIF(INDEX(Lists!$H$6:$AA$45,0,MATCH(C1835,Lists!$H$4:$AA$4,0)),D1835)=0,"Check sub-category","OK"))))</f>
        <v/>
      </c>
      <c r="P1835">
        <f>IF(ISNUMBER(I1835),I1835+ROW()/10000000,"")</f>
        <v/>
      </c>
      <c r="Q1835">
        <f>IF(AND(ISNUMBER(P1835),ISNUMBER(A1835)),IF(AND(A1835&gt;=Dashboard!$Q$3,A1835&lt;=Dashboard!$Q$4,OR(J1835&lt;&gt;"Yes",Dashboard!$Q$15="Yes")),P1835,""),"")</f>
        <v/>
      </c>
    </row>
    <row r="1836">
      <c r="A1836" s="47" t="n"/>
      <c r="B1836" s="48" t="n"/>
      <c r="C1836" s="48" t="n"/>
      <c r="D1836" s="48" t="n"/>
      <c r="E1836" s="48" t="n"/>
      <c r="F1836" s="48" t="n"/>
      <c r="G1836" s="48" t="n"/>
      <c r="H1836" s="48" t="n"/>
      <c r="I1836" s="49" t="n"/>
      <c r="J1836" s="50" t="n"/>
      <c r="K1836" s="48" t="n"/>
      <c r="L1836" s="51">
        <f>IF(A1836="","",DATE(YEAR(A1836),MONTH(A1836),1))</f>
        <v/>
      </c>
      <c r="M1836" s="52">
        <f>IF(OR(A1836="",NOT(ISNUMBER(I1836))),"",IF(G1836=Lists!$B$5,I1836/2,IF(G1836=Lists!$B$6,I1836,0)))</f>
        <v/>
      </c>
      <c r="N1836" s="52">
        <f>IF(OR(A1836="",NOT(ISNUMBER(I1836))),"",IF(G1836=Lists!$B$5,I1836/2,IF(G1836=Lists!$B$7,I1836,0)))</f>
        <v/>
      </c>
      <c r="O1836" s="53">
        <f>IF(COUNTA(A1836:K1836)=0,"",IF(OR(A1836="",B1836="",C1836="",D1836="",E1836="",F1836="",G1836="",NOT(ISNUMBER(I1836))),"Incomplete",IF(COUNTIF(Lists!$H$4:$AA$4,C1836)=0,"Check category",IF(COUNTIF(INDEX(Lists!$H$6:$AA$45,0,MATCH(C1836,Lists!$H$4:$AA$4,0)),D1836)=0,"Check sub-category","OK"))))</f>
        <v/>
      </c>
      <c r="P1836">
        <f>IF(ISNUMBER(I1836),I1836+ROW()/10000000,"")</f>
        <v/>
      </c>
      <c r="Q1836">
        <f>IF(AND(ISNUMBER(P1836),ISNUMBER(A1836)),IF(AND(A1836&gt;=Dashboard!$Q$3,A1836&lt;=Dashboard!$Q$4,OR(J1836&lt;&gt;"Yes",Dashboard!$Q$15="Yes")),P1836,""),"")</f>
        <v/>
      </c>
    </row>
    <row r="1837">
      <c r="A1837" s="47" t="n"/>
      <c r="B1837" s="48" t="n"/>
      <c r="C1837" s="48" t="n"/>
      <c r="D1837" s="48" t="n"/>
      <c r="E1837" s="48" t="n"/>
      <c r="F1837" s="48" t="n"/>
      <c r="G1837" s="48" t="n"/>
      <c r="H1837" s="48" t="n"/>
      <c r="I1837" s="49" t="n"/>
      <c r="J1837" s="50" t="n"/>
      <c r="K1837" s="48" t="n"/>
      <c r="L1837" s="51">
        <f>IF(A1837="","",DATE(YEAR(A1837),MONTH(A1837),1))</f>
        <v/>
      </c>
      <c r="M1837" s="52">
        <f>IF(OR(A1837="",NOT(ISNUMBER(I1837))),"",IF(G1837=Lists!$B$5,I1837/2,IF(G1837=Lists!$B$6,I1837,0)))</f>
        <v/>
      </c>
      <c r="N1837" s="52">
        <f>IF(OR(A1837="",NOT(ISNUMBER(I1837))),"",IF(G1837=Lists!$B$5,I1837/2,IF(G1837=Lists!$B$7,I1837,0)))</f>
        <v/>
      </c>
      <c r="O1837" s="53">
        <f>IF(COUNTA(A1837:K1837)=0,"",IF(OR(A1837="",B1837="",C1837="",D1837="",E1837="",F1837="",G1837="",NOT(ISNUMBER(I1837))),"Incomplete",IF(COUNTIF(Lists!$H$4:$AA$4,C1837)=0,"Check category",IF(COUNTIF(INDEX(Lists!$H$6:$AA$45,0,MATCH(C1837,Lists!$H$4:$AA$4,0)),D1837)=0,"Check sub-category","OK"))))</f>
        <v/>
      </c>
      <c r="P1837">
        <f>IF(ISNUMBER(I1837),I1837+ROW()/10000000,"")</f>
        <v/>
      </c>
      <c r="Q1837">
        <f>IF(AND(ISNUMBER(P1837),ISNUMBER(A1837)),IF(AND(A1837&gt;=Dashboard!$Q$3,A1837&lt;=Dashboard!$Q$4,OR(J1837&lt;&gt;"Yes",Dashboard!$Q$15="Yes")),P1837,""),"")</f>
        <v/>
      </c>
    </row>
    <row r="1838">
      <c r="A1838" s="47" t="n"/>
      <c r="B1838" s="48" t="n"/>
      <c r="C1838" s="48" t="n"/>
      <c r="D1838" s="48" t="n"/>
      <c r="E1838" s="48" t="n"/>
      <c r="F1838" s="48" t="n"/>
      <c r="G1838" s="48" t="n"/>
      <c r="H1838" s="48" t="n"/>
      <c r="I1838" s="49" t="n"/>
      <c r="J1838" s="50" t="n"/>
      <c r="K1838" s="48" t="n"/>
      <c r="L1838" s="51">
        <f>IF(A1838="","",DATE(YEAR(A1838),MONTH(A1838),1))</f>
        <v/>
      </c>
      <c r="M1838" s="52">
        <f>IF(OR(A1838="",NOT(ISNUMBER(I1838))),"",IF(G1838=Lists!$B$5,I1838/2,IF(G1838=Lists!$B$6,I1838,0)))</f>
        <v/>
      </c>
      <c r="N1838" s="52">
        <f>IF(OR(A1838="",NOT(ISNUMBER(I1838))),"",IF(G1838=Lists!$B$5,I1838/2,IF(G1838=Lists!$B$7,I1838,0)))</f>
        <v/>
      </c>
      <c r="O1838" s="53">
        <f>IF(COUNTA(A1838:K1838)=0,"",IF(OR(A1838="",B1838="",C1838="",D1838="",E1838="",F1838="",G1838="",NOT(ISNUMBER(I1838))),"Incomplete",IF(COUNTIF(Lists!$H$4:$AA$4,C1838)=0,"Check category",IF(COUNTIF(INDEX(Lists!$H$6:$AA$45,0,MATCH(C1838,Lists!$H$4:$AA$4,0)),D1838)=0,"Check sub-category","OK"))))</f>
        <v/>
      </c>
      <c r="P1838">
        <f>IF(ISNUMBER(I1838),I1838+ROW()/10000000,"")</f>
        <v/>
      </c>
      <c r="Q1838">
        <f>IF(AND(ISNUMBER(P1838),ISNUMBER(A1838)),IF(AND(A1838&gt;=Dashboard!$Q$3,A1838&lt;=Dashboard!$Q$4,OR(J1838&lt;&gt;"Yes",Dashboard!$Q$15="Yes")),P1838,""),"")</f>
        <v/>
      </c>
    </row>
    <row r="1839">
      <c r="A1839" s="47" t="n"/>
      <c r="B1839" s="48" t="n"/>
      <c r="C1839" s="48" t="n"/>
      <c r="D1839" s="48" t="n"/>
      <c r="E1839" s="48" t="n"/>
      <c r="F1839" s="48" t="n"/>
      <c r="G1839" s="48" t="n"/>
      <c r="H1839" s="48" t="n"/>
      <c r="I1839" s="49" t="n"/>
      <c r="J1839" s="50" t="n"/>
      <c r="K1839" s="48" t="n"/>
      <c r="L1839" s="51">
        <f>IF(A1839="","",DATE(YEAR(A1839),MONTH(A1839),1))</f>
        <v/>
      </c>
      <c r="M1839" s="52">
        <f>IF(OR(A1839="",NOT(ISNUMBER(I1839))),"",IF(G1839=Lists!$B$5,I1839/2,IF(G1839=Lists!$B$6,I1839,0)))</f>
        <v/>
      </c>
      <c r="N1839" s="52">
        <f>IF(OR(A1839="",NOT(ISNUMBER(I1839))),"",IF(G1839=Lists!$B$5,I1839/2,IF(G1839=Lists!$B$7,I1839,0)))</f>
        <v/>
      </c>
      <c r="O1839" s="53">
        <f>IF(COUNTA(A1839:K1839)=0,"",IF(OR(A1839="",B1839="",C1839="",D1839="",E1839="",F1839="",G1839="",NOT(ISNUMBER(I1839))),"Incomplete",IF(COUNTIF(Lists!$H$4:$AA$4,C1839)=0,"Check category",IF(COUNTIF(INDEX(Lists!$H$6:$AA$45,0,MATCH(C1839,Lists!$H$4:$AA$4,0)),D1839)=0,"Check sub-category","OK"))))</f>
        <v/>
      </c>
      <c r="P1839">
        <f>IF(ISNUMBER(I1839),I1839+ROW()/10000000,"")</f>
        <v/>
      </c>
      <c r="Q1839">
        <f>IF(AND(ISNUMBER(P1839),ISNUMBER(A1839)),IF(AND(A1839&gt;=Dashboard!$Q$3,A1839&lt;=Dashboard!$Q$4,OR(J1839&lt;&gt;"Yes",Dashboard!$Q$15="Yes")),P1839,""),"")</f>
        <v/>
      </c>
    </row>
    <row r="1840">
      <c r="A1840" s="47" t="n"/>
      <c r="B1840" s="48" t="n"/>
      <c r="C1840" s="48" t="n"/>
      <c r="D1840" s="48" t="n"/>
      <c r="E1840" s="48" t="n"/>
      <c r="F1840" s="48" t="n"/>
      <c r="G1840" s="48" t="n"/>
      <c r="H1840" s="48" t="n"/>
      <c r="I1840" s="49" t="n"/>
      <c r="J1840" s="50" t="n"/>
      <c r="K1840" s="48" t="n"/>
      <c r="L1840" s="51">
        <f>IF(A1840="","",DATE(YEAR(A1840),MONTH(A1840),1))</f>
        <v/>
      </c>
      <c r="M1840" s="52">
        <f>IF(OR(A1840="",NOT(ISNUMBER(I1840))),"",IF(G1840=Lists!$B$5,I1840/2,IF(G1840=Lists!$B$6,I1840,0)))</f>
        <v/>
      </c>
      <c r="N1840" s="52">
        <f>IF(OR(A1840="",NOT(ISNUMBER(I1840))),"",IF(G1840=Lists!$B$5,I1840/2,IF(G1840=Lists!$B$7,I1840,0)))</f>
        <v/>
      </c>
      <c r="O1840" s="53">
        <f>IF(COUNTA(A1840:K1840)=0,"",IF(OR(A1840="",B1840="",C1840="",D1840="",E1840="",F1840="",G1840="",NOT(ISNUMBER(I1840))),"Incomplete",IF(COUNTIF(Lists!$H$4:$AA$4,C1840)=0,"Check category",IF(COUNTIF(INDEX(Lists!$H$6:$AA$45,0,MATCH(C1840,Lists!$H$4:$AA$4,0)),D1840)=0,"Check sub-category","OK"))))</f>
        <v/>
      </c>
      <c r="P1840">
        <f>IF(ISNUMBER(I1840),I1840+ROW()/10000000,"")</f>
        <v/>
      </c>
      <c r="Q1840">
        <f>IF(AND(ISNUMBER(P1840),ISNUMBER(A1840)),IF(AND(A1840&gt;=Dashboard!$Q$3,A1840&lt;=Dashboard!$Q$4,OR(J1840&lt;&gt;"Yes",Dashboard!$Q$15="Yes")),P1840,""),"")</f>
        <v/>
      </c>
    </row>
    <row r="1841">
      <c r="A1841" s="47" t="n"/>
      <c r="B1841" s="48" t="n"/>
      <c r="C1841" s="48" t="n"/>
      <c r="D1841" s="48" t="n"/>
      <c r="E1841" s="48" t="n"/>
      <c r="F1841" s="48" t="n"/>
      <c r="G1841" s="48" t="n"/>
      <c r="H1841" s="48" t="n"/>
      <c r="I1841" s="49" t="n"/>
      <c r="J1841" s="50" t="n"/>
      <c r="K1841" s="48" t="n"/>
      <c r="L1841" s="51">
        <f>IF(A1841="","",DATE(YEAR(A1841),MONTH(A1841),1))</f>
        <v/>
      </c>
      <c r="M1841" s="52">
        <f>IF(OR(A1841="",NOT(ISNUMBER(I1841))),"",IF(G1841=Lists!$B$5,I1841/2,IF(G1841=Lists!$B$6,I1841,0)))</f>
        <v/>
      </c>
      <c r="N1841" s="52">
        <f>IF(OR(A1841="",NOT(ISNUMBER(I1841))),"",IF(G1841=Lists!$B$5,I1841/2,IF(G1841=Lists!$B$7,I1841,0)))</f>
        <v/>
      </c>
      <c r="O1841" s="53">
        <f>IF(COUNTA(A1841:K1841)=0,"",IF(OR(A1841="",B1841="",C1841="",D1841="",E1841="",F1841="",G1841="",NOT(ISNUMBER(I1841))),"Incomplete",IF(COUNTIF(Lists!$H$4:$AA$4,C1841)=0,"Check category",IF(COUNTIF(INDEX(Lists!$H$6:$AA$45,0,MATCH(C1841,Lists!$H$4:$AA$4,0)),D1841)=0,"Check sub-category","OK"))))</f>
        <v/>
      </c>
      <c r="P1841">
        <f>IF(ISNUMBER(I1841),I1841+ROW()/10000000,"")</f>
        <v/>
      </c>
      <c r="Q1841">
        <f>IF(AND(ISNUMBER(P1841),ISNUMBER(A1841)),IF(AND(A1841&gt;=Dashboard!$Q$3,A1841&lt;=Dashboard!$Q$4,OR(J1841&lt;&gt;"Yes",Dashboard!$Q$15="Yes")),P1841,""),"")</f>
        <v/>
      </c>
    </row>
    <row r="1842">
      <c r="A1842" s="47" t="n"/>
      <c r="B1842" s="48" t="n"/>
      <c r="C1842" s="48" t="n"/>
      <c r="D1842" s="48" t="n"/>
      <c r="E1842" s="48" t="n"/>
      <c r="F1842" s="48" t="n"/>
      <c r="G1842" s="48" t="n"/>
      <c r="H1842" s="48" t="n"/>
      <c r="I1842" s="49" t="n"/>
      <c r="J1842" s="50" t="n"/>
      <c r="K1842" s="48" t="n"/>
      <c r="L1842" s="51">
        <f>IF(A1842="","",DATE(YEAR(A1842),MONTH(A1842),1))</f>
        <v/>
      </c>
      <c r="M1842" s="52">
        <f>IF(OR(A1842="",NOT(ISNUMBER(I1842))),"",IF(G1842=Lists!$B$5,I1842/2,IF(G1842=Lists!$B$6,I1842,0)))</f>
        <v/>
      </c>
      <c r="N1842" s="52">
        <f>IF(OR(A1842="",NOT(ISNUMBER(I1842))),"",IF(G1842=Lists!$B$5,I1842/2,IF(G1842=Lists!$B$7,I1842,0)))</f>
        <v/>
      </c>
      <c r="O1842" s="53">
        <f>IF(COUNTA(A1842:K1842)=0,"",IF(OR(A1842="",B1842="",C1842="",D1842="",E1842="",F1842="",G1842="",NOT(ISNUMBER(I1842))),"Incomplete",IF(COUNTIF(Lists!$H$4:$AA$4,C1842)=0,"Check category",IF(COUNTIF(INDEX(Lists!$H$6:$AA$45,0,MATCH(C1842,Lists!$H$4:$AA$4,0)),D1842)=0,"Check sub-category","OK"))))</f>
        <v/>
      </c>
      <c r="P1842">
        <f>IF(ISNUMBER(I1842),I1842+ROW()/10000000,"")</f>
        <v/>
      </c>
      <c r="Q1842">
        <f>IF(AND(ISNUMBER(P1842),ISNUMBER(A1842)),IF(AND(A1842&gt;=Dashboard!$Q$3,A1842&lt;=Dashboard!$Q$4,OR(J1842&lt;&gt;"Yes",Dashboard!$Q$15="Yes")),P1842,""),"")</f>
        <v/>
      </c>
    </row>
    <row r="1843">
      <c r="A1843" s="47" t="n"/>
      <c r="B1843" s="48" t="n"/>
      <c r="C1843" s="48" t="n"/>
      <c r="D1843" s="48" t="n"/>
      <c r="E1843" s="48" t="n"/>
      <c r="F1843" s="48" t="n"/>
      <c r="G1843" s="48" t="n"/>
      <c r="H1843" s="48" t="n"/>
      <c r="I1843" s="49" t="n"/>
      <c r="J1843" s="50" t="n"/>
      <c r="K1843" s="48" t="n"/>
      <c r="L1843" s="51">
        <f>IF(A1843="","",DATE(YEAR(A1843),MONTH(A1843),1))</f>
        <v/>
      </c>
      <c r="M1843" s="52">
        <f>IF(OR(A1843="",NOT(ISNUMBER(I1843))),"",IF(G1843=Lists!$B$5,I1843/2,IF(G1843=Lists!$B$6,I1843,0)))</f>
        <v/>
      </c>
      <c r="N1843" s="52">
        <f>IF(OR(A1843="",NOT(ISNUMBER(I1843))),"",IF(G1843=Lists!$B$5,I1843/2,IF(G1843=Lists!$B$7,I1843,0)))</f>
        <v/>
      </c>
      <c r="O1843" s="53">
        <f>IF(COUNTA(A1843:K1843)=0,"",IF(OR(A1843="",B1843="",C1843="",D1843="",E1843="",F1843="",G1843="",NOT(ISNUMBER(I1843))),"Incomplete",IF(COUNTIF(Lists!$H$4:$AA$4,C1843)=0,"Check category",IF(COUNTIF(INDEX(Lists!$H$6:$AA$45,0,MATCH(C1843,Lists!$H$4:$AA$4,0)),D1843)=0,"Check sub-category","OK"))))</f>
        <v/>
      </c>
      <c r="P1843">
        <f>IF(ISNUMBER(I1843),I1843+ROW()/10000000,"")</f>
        <v/>
      </c>
      <c r="Q1843">
        <f>IF(AND(ISNUMBER(P1843),ISNUMBER(A1843)),IF(AND(A1843&gt;=Dashboard!$Q$3,A1843&lt;=Dashboard!$Q$4,OR(J1843&lt;&gt;"Yes",Dashboard!$Q$15="Yes")),P1843,""),"")</f>
        <v/>
      </c>
    </row>
    <row r="1844">
      <c r="A1844" s="47" t="n"/>
      <c r="B1844" s="48" t="n"/>
      <c r="C1844" s="48" t="n"/>
      <c r="D1844" s="48" t="n"/>
      <c r="E1844" s="48" t="n"/>
      <c r="F1844" s="48" t="n"/>
      <c r="G1844" s="48" t="n"/>
      <c r="H1844" s="48" t="n"/>
      <c r="I1844" s="49" t="n"/>
      <c r="J1844" s="50" t="n"/>
      <c r="K1844" s="48" t="n"/>
      <c r="L1844" s="51">
        <f>IF(A1844="","",DATE(YEAR(A1844),MONTH(A1844),1))</f>
        <v/>
      </c>
      <c r="M1844" s="52">
        <f>IF(OR(A1844="",NOT(ISNUMBER(I1844))),"",IF(G1844=Lists!$B$5,I1844/2,IF(G1844=Lists!$B$6,I1844,0)))</f>
        <v/>
      </c>
      <c r="N1844" s="52">
        <f>IF(OR(A1844="",NOT(ISNUMBER(I1844))),"",IF(G1844=Lists!$B$5,I1844/2,IF(G1844=Lists!$B$7,I1844,0)))</f>
        <v/>
      </c>
      <c r="O1844" s="53">
        <f>IF(COUNTA(A1844:K1844)=0,"",IF(OR(A1844="",B1844="",C1844="",D1844="",E1844="",F1844="",G1844="",NOT(ISNUMBER(I1844))),"Incomplete",IF(COUNTIF(Lists!$H$4:$AA$4,C1844)=0,"Check category",IF(COUNTIF(INDEX(Lists!$H$6:$AA$45,0,MATCH(C1844,Lists!$H$4:$AA$4,0)),D1844)=0,"Check sub-category","OK"))))</f>
        <v/>
      </c>
      <c r="P1844">
        <f>IF(ISNUMBER(I1844),I1844+ROW()/10000000,"")</f>
        <v/>
      </c>
      <c r="Q1844">
        <f>IF(AND(ISNUMBER(P1844),ISNUMBER(A1844)),IF(AND(A1844&gt;=Dashboard!$Q$3,A1844&lt;=Dashboard!$Q$4,OR(J1844&lt;&gt;"Yes",Dashboard!$Q$15="Yes")),P1844,""),"")</f>
        <v/>
      </c>
    </row>
    <row r="1845">
      <c r="A1845" s="47" t="n"/>
      <c r="B1845" s="48" t="n"/>
      <c r="C1845" s="48" t="n"/>
      <c r="D1845" s="48" t="n"/>
      <c r="E1845" s="48" t="n"/>
      <c r="F1845" s="48" t="n"/>
      <c r="G1845" s="48" t="n"/>
      <c r="H1845" s="48" t="n"/>
      <c r="I1845" s="49" t="n"/>
      <c r="J1845" s="50" t="n"/>
      <c r="K1845" s="48" t="n"/>
      <c r="L1845" s="51">
        <f>IF(A1845="","",DATE(YEAR(A1845),MONTH(A1845),1))</f>
        <v/>
      </c>
      <c r="M1845" s="52">
        <f>IF(OR(A1845="",NOT(ISNUMBER(I1845))),"",IF(G1845=Lists!$B$5,I1845/2,IF(G1845=Lists!$B$6,I1845,0)))</f>
        <v/>
      </c>
      <c r="N1845" s="52">
        <f>IF(OR(A1845="",NOT(ISNUMBER(I1845))),"",IF(G1845=Lists!$B$5,I1845/2,IF(G1845=Lists!$B$7,I1845,0)))</f>
        <v/>
      </c>
      <c r="O1845" s="53">
        <f>IF(COUNTA(A1845:K1845)=0,"",IF(OR(A1845="",B1845="",C1845="",D1845="",E1845="",F1845="",G1845="",NOT(ISNUMBER(I1845))),"Incomplete",IF(COUNTIF(Lists!$H$4:$AA$4,C1845)=0,"Check category",IF(COUNTIF(INDEX(Lists!$H$6:$AA$45,0,MATCH(C1845,Lists!$H$4:$AA$4,0)),D1845)=0,"Check sub-category","OK"))))</f>
        <v/>
      </c>
      <c r="P1845">
        <f>IF(ISNUMBER(I1845),I1845+ROW()/10000000,"")</f>
        <v/>
      </c>
      <c r="Q1845">
        <f>IF(AND(ISNUMBER(P1845),ISNUMBER(A1845)),IF(AND(A1845&gt;=Dashboard!$Q$3,A1845&lt;=Dashboard!$Q$4,OR(J1845&lt;&gt;"Yes",Dashboard!$Q$15="Yes")),P1845,""),"")</f>
        <v/>
      </c>
    </row>
    <row r="1846">
      <c r="A1846" s="47" t="n"/>
      <c r="B1846" s="48" t="n"/>
      <c r="C1846" s="48" t="n"/>
      <c r="D1846" s="48" t="n"/>
      <c r="E1846" s="48" t="n"/>
      <c r="F1846" s="48" t="n"/>
      <c r="G1846" s="48" t="n"/>
      <c r="H1846" s="48" t="n"/>
      <c r="I1846" s="49" t="n"/>
      <c r="J1846" s="50" t="n"/>
      <c r="K1846" s="48" t="n"/>
      <c r="L1846" s="51">
        <f>IF(A1846="","",DATE(YEAR(A1846),MONTH(A1846),1))</f>
        <v/>
      </c>
      <c r="M1846" s="52">
        <f>IF(OR(A1846="",NOT(ISNUMBER(I1846))),"",IF(G1846=Lists!$B$5,I1846/2,IF(G1846=Lists!$B$6,I1846,0)))</f>
        <v/>
      </c>
      <c r="N1846" s="52">
        <f>IF(OR(A1846="",NOT(ISNUMBER(I1846))),"",IF(G1846=Lists!$B$5,I1846/2,IF(G1846=Lists!$B$7,I1846,0)))</f>
        <v/>
      </c>
      <c r="O1846" s="53">
        <f>IF(COUNTA(A1846:K1846)=0,"",IF(OR(A1846="",B1846="",C1846="",D1846="",E1846="",F1846="",G1846="",NOT(ISNUMBER(I1846))),"Incomplete",IF(COUNTIF(Lists!$H$4:$AA$4,C1846)=0,"Check category",IF(COUNTIF(INDEX(Lists!$H$6:$AA$45,0,MATCH(C1846,Lists!$H$4:$AA$4,0)),D1846)=0,"Check sub-category","OK"))))</f>
        <v/>
      </c>
      <c r="P1846">
        <f>IF(ISNUMBER(I1846),I1846+ROW()/10000000,"")</f>
        <v/>
      </c>
      <c r="Q1846">
        <f>IF(AND(ISNUMBER(P1846),ISNUMBER(A1846)),IF(AND(A1846&gt;=Dashboard!$Q$3,A1846&lt;=Dashboard!$Q$4,OR(J1846&lt;&gt;"Yes",Dashboard!$Q$15="Yes")),P1846,""),"")</f>
        <v/>
      </c>
    </row>
    <row r="1847">
      <c r="A1847" s="47" t="n"/>
      <c r="B1847" s="48" t="n"/>
      <c r="C1847" s="48" t="n"/>
      <c r="D1847" s="48" t="n"/>
      <c r="E1847" s="48" t="n"/>
      <c r="F1847" s="48" t="n"/>
      <c r="G1847" s="48" t="n"/>
      <c r="H1847" s="48" t="n"/>
      <c r="I1847" s="49" t="n"/>
      <c r="J1847" s="50" t="n"/>
      <c r="K1847" s="48" t="n"/>
      <c r="L1847" s="51">
        <f>IF(A1847="","",DATE(YEAR(A1847),MONTH(A1847),1))</f>
        <v/>
      </c>
      <c r="M1847" s="52">
        <f>IF(OR(A1847="",NOT(ISNUMBER(I1847))),"",IF(G1847=Lists!$B$5,I1847/2,IF(G1847=Lists!$B$6,I1847,0)))</f>
        <v/>
      </c>
      <c r="N1847" s="52">
        <f>IF(OR(A1847="",NOT(ISNUMBER(I1847))),"",IF(G1847=Lists!$B$5,I1847/2,IF(G1847=Lists!$B$7,I1847,0)))</f>
        <v/>
      </c>
      <c r="O1847" s="53">
        <f>IF(COUNTA(A1847:K1847)=0,"",IF(OR(A1847="",B1847="",C1847="",D1847="",E1847="",F1847="",G1847="",NOT(ISNUMBER(I1847))),"Incomplete",IF(COUNTIF(Lists!$H$4:$AA$4,C1847)=0,"Check category",IF(COUNTIF(INDEX(Lists!$H$6:$AA$45,0,MATCH(C1847,Lists!$H$4:$AA$4,0)),D1847)=0,"Check sub-category","OK"))))</f>
        <v/>
      </c>
      <c r="P1847">
        <f>IF(ISNUMBER(I1847),I1847+ROW()/10000000,"")</f>
        <v/>
      </c>
      <c r="Q1847">
        <f>IF(AND(ISNUMBER(P1847),ISNUMBER(A1847)),IF(AND(A1847&gt;=Dashboard!$Q$3,A1847&lt;=Dashboard!$Q$4,OR(J1847&lt;&gt;"Yes",Dashboard!$Q$15="Yes")),P1847,""),"")</f>
        <v/>
      </c>
    </row>
    <row r="1848">
      <c r="A1848" s="47" t="n"/>
      <c r="B1848" s="48" t="n"/>
      <c r="C1848" s="48" t="n"/>
      <c r="D1848" s="48" t="n"/>
      <c r="E1848" s="48" t="n"/>
      <c r="F1848" s="48" t="n"/>
      <c r="G1848" s="48" t="n"/>
      <c r="H1848" s="48" t="n"/>
      <c r="I1848" s="49" t="n"/>
      <c r="J1848" s="50" t="n"/>
      <c r="K1848" s="48" t="n"/>
      <c r="L1848" s="51">
        <f>IF(A1848="","",DATE(YEAR(A1848),MONTH(A1848),1))</f>
        <v/>
      </c>
      <c r="M1848" s="52">
        <f>IF(OR(A1848="",NOT(ISNUMBER(I1848))),"",IF(G1848=Lists!$B$5,I1848/2,IF(G1848=Lists!$B$6,I1848,0)))</f>
        <v/>
      </c>
      <c r="N1848" s="52">
        <f>IF(OR(A1848="",NOT(ISNUMBER(I1848))),"",IF(G1848=Lists!$B$5,I1848/2,IF(G1848=Lists!$B$7,I1848,0)))</f>
        <v/>
      </c>
      <c r="O1848" s="53">
        <f>IF(COUNTA(A1848:K1848)=0,"",IF(OR(A1848="",B1848="",C1848="",D1848="",E1848="",F1848="",G1848="",NOT(ISNUMBER(I1848))),"Incomplete",IF(COUNTIF(Lists!$H$4:$AA$4,C1848)=0,"Check category",IF(COUNTIF(INDEX(Lists!$H$6:$AA$45,0,MATCH(C1848,Lists!$H$4:$AA$4,0)),D1848)=0,"Check sub-category","OK"))))</f>
        <v/>
      </c>
      <c r="P1848">
        <f>IF(ISNUMBER(I1848),I1848+ROW()/10000000,"")</f>
        <v/>
      </c>
      <c r="Q1848">
        <f>IF(AND(ISNUMBER(P1848),ISNUMBER(A1848)),IF(AND(A1848&gt;=Dashboard!$Q$3,A1848&lt;=Dashboard!$Q$4,OR(J1848&lt;&gt;"Yes",Dashboard!$Q$15="Yes")),P1848,""),"")</f>
        <v/>
      </c>
    </row>
    <row r="1849">
      <c r="A1849" s="47" t="n"/>
      <c r="B1849" s="48" t="n"/>
      <c r="C1849" s="48" t="n"/>
      <c r="D1849" s="48" t="n"/>
      <c r="E1849" s="48" t="n"/>
      <c r="F1849" s="48" t="n"/>
      <c r="G1849" s="48" t="n"/>
      <c r="H1849" s="48" t="n"/>
      <c r="I1849" s="49" t="n"/>
      <c r="J1849" s="50" t="n"/>
      <c r="K1849" s="48" t="n"/>
      <c r="L1849" s="51">
        <f>IF(A1849="","",DATE(YEAR(A1849),MONTH(A1849),1))</f>
        <v/>
      </c>
      <c r="M1849" s="52">
        <f>IF(OR(A1849="",NOT(ISNUMBER(I1849))),"",IF(G1849=Lists!$B$5,I1849/2,IF(G1849=Lists!$B$6,I1849,0)))</f>
        <v/>
      </c>
      <c r="N1849" s="52">
        <f>IF(OR(A1849="",NOT(ISNUMBER(I1849))),"",IF(G1849=Lists!$B$5,I1849/2,IF(G1849=Lists!$B$7,I1849,0)))</f>
        <v/>
      </c>
      <c r="O1849" s="53">
        <f>IF(COUNTA(A1849:K1849)=0,"",IF(OR(A1849="",B1849="",C1849="",D1849="",E1849="",F1849="",G1849="",NOT(ISNUMBER(I1849))),"Incomplete",IF(COUNTIF(Lists!$H$4:$AA$4,C1849)=0,"Check category",IF(COUNTIF(INDEX(Lists!$H$6:$AA$45,0,MATCH(C1849,Lists!$H$4:$AA$4,0)),D1849)=0,"Check sub-category","OK"))))</f>
        <v/>
      </c>
      <c r="P1849">
        <f>IF(ISNUMBER(I1849),I1849+ROW()/10000000,"")</f>
        <v/>
      </c>
      <c r="Q1849">
        <f>IF(AND(ISNUMBER(P1849),ISNUMBER(A1849)),IF(AND(A1849&gt;=Dashboard!$Q$3,A1849&lt;=Dashboard!$Q$4,OR(J1849&lt;&gt;"Yes",Dashboard!$Q$15="Yes")),P1849,""),"")</f>
        <v/>
      </c>
    </row>
    <row r="1850">
      <c r="A1850" s="47" t="n"/>
      <c r="B1850" s="48" t="n"/>
      <c r="C1850" s="48" t="n"/>
      <c r="D1850" s="48" t="n"/>
      <c r="E1850" s="48" t="n"/>
      <c r="F1850" s="48" t="n"/>
      <c r="G1850" s="48" t="n"/>
      <c r="H1850" s="48" t="n"/>
      <c r="I1850" s="49" t="n"/>
      <c r="J1850" s="50" t="n"/>
      <c r="K1850" s="48" t="n"/>
      <c r="L1850" s="51">
        <f>IF(A1850="","",DATE(YEAR(A1850),MONTH(A1850),1))</f>
        <v/>
      </c>
      <c r="M1850" s="52">
        <f>IF(OR(A1850="",NOT(ISNUMBER(I1850))),"",IF(G1850=Lists!$B$5,I1850/2,IF(G1850=Lists!$B$6,I1850,0)))</f>
        <v/>
      </c>
      <c r="N1850" s="52">
        <f>IF(OR(A1850="",NOT(ISNUMBER(I1850))),"",IF(G1850=Lists!$B$5,I1850/2,IF(G1850=Lists!$B$7,I1850,0)))</f>
        <v/>
      </c>
      <c r="O1850" s="53">
        <f>IF(COUNTA(A1850:K1850)=0,"",IF(OR(A1850="",B1850="",C1850="",D1850="",E1850="",F1850="",G1850="",NOT(ISNUMBER(I1850))),"Incomplete",IF(COUNTIF(Lists!$H$4:$AA$4,C1850)=0,"Check category",IF(COUNTIF(INDEX(Lists!$H$6:$AA$45,0,MATCH(C1850,Lists!$H$4:$AA$4,0)),D1850)=0,"Check sub-category","OK"))))</f>
        <v/>
      </c>
      <c r="P1850">
        <f>IF(ISNUMBER(I1850),I1850+ROW()/10000000,"")</f>
        <v/>
      </c>
      <c r="Q1850">
        <f>IF(AND(ISNUMBER(P1850),ISNUMBER(A1850)),IF(AND(A1850&gt;=Dashboard!$Q$3,A1850&lt;=Dashboard!$Q$4,OR(J1850&lt;&gt;"Yes",Dashboard!$Q$15="Yes")),P1850,""),"")</f>
        <v/>
      </c>
    </row>
    <row r="1851">
      <c r="A1851" s="47" t="n"/>
      <c r="B1851" s="48" t="n"/>
      <c r="C1851" s="48" t="n"/>
      <c r="D1851" s="48" t="n"/>
      <c r="E1851" s="48" t="n"/>
      <c r="F1851" s="48" t="n"/>
      <c r="G1851" s="48" t="n"/>
      <c r="H1851" s="48" t="n"/>
      <c r="I1851" s="49" t="n"/>
      <c r="J1851" s="50" t="n"/>
      <c r="K1851" s="48" t="n"/>
      <c r="L1851" s="51">
        <f>IF(A1851="","",DATE(YEAR(A1851),MONTH(A1851),1))</f>
        <v/>
      </c>
      <c r="M1851" s="52">
        <f>IF(OR(A1851="",NOT(ISNUMBER(I1851))),"",IF(G1851=Lists!$B$5,I1851/2,IF(G1851=Lists!$B$6,I1851,0)))</f>
        <v/>
      </c>
      <c r="N1851" s="52">
        <f>IF(OR(A1851="",NOT(ISNUMBER(I1851))),"",IF(G1851=Lists!$B$5,I1851/2,IF(G1851=Lists!$B$7,I1851,0)))</f>
        <v/>
      </c>
      <c r="O1851" s="53">
        <f>IF(COUNTA(A1851:K1851)=0,"",IF(OR(A1851="",B1851="",C1851="",D1851="",E1851="",F1851="",G1851="",NOT(ISNUMBER(I1851))),"Incomplete",IF(COUNTIF(Lists!$H$4:$AA$4,C1851)=0,"Check category",IF(COUNTIF(INDEX(Lists!$H$6:$AA$45,0,MATCH(C1851,Lists!$H$4:$AA$4,0)),D1851)=0,"Check sub-category","OK"))))</f>
        <v/>
      </c>
      <c r="P1851">
        <f>IF(ISNUMBER(I1851),I1851+ROW()/10000000,"")</f>
        <v/>
      </c>
      <c r="Q1851">
        <f>IF(AND(ISNUMBER(P1851),ISNUMBER(A1851)),IF(AND(A1851&gt;=Dashboard!$Q$3,A1851&lt;=Dashboard!$Q$4,OR(J1851&lt;&gt;"Yes",Dashboard!$Q$15="Yes")),P1851,""),"")</f>
        <v/>
      </c>
    </row>
    <row r="1852">
      <c r="A1852" s="47" t="n"/>
      <c r="B1852" s="48" t="n"/>
      <c r="C1852" s="48" t="n"/>
      <c r="D1852" s="48" t="n"/>
      <c r="E1852" s="48" t="n"/>
      <c r="F1852" s="48" t="n"/>
      <c r="G1852" s="48" t="n"/>
      <c r="H1852" s="48" t="n"/>
      <c r="I1852" s="49" t="n"/>
      <c r="J1852" s="50" t="n"/>
      <c r="K1852" s="48" t="n"/>
      <c r="L1852" s="51">
        <f>IF(A1852="","",DATE(YEAR(A1852),MONTH(A1852),1))</f>
        <v/>
      </c>
      <c r="M1852" s="52">
        <f>IF(OR(A1852="",NOT(ISNUMBER(I1852))),"",IF(G1852=Lists!$B$5,I1852/2,IF(G1852=Lists!$B$6,I1852,0)))</f>
        <v/>
      </c>
      <c r="N1852" s="52">
        <f>IF(OR(A1852="",NOT(ISNUMBER(I1852))),"",IF(G1852=Lists!$B$5,I1852/2,IF(G1852=Lists!$B$7,I1852,0)))</f>
        <v/>
      </c>
      <c r="O1852" s="53">
        <f>IF(COUNTA(A1852:K1852)=0,"",IF(OR(A1852="",B1852="",C1852="",D1852="",E1852="",F1852="",G1852="",NOT(ISNUMBER(I1852))),"Incomplete",IF(COUNTIF(Lists!$H$4:$AA$4,C1852)=0,"Check category",IF(COUNTIF(INDEX(Lists!$H$6:$AA$45,0,MATCH(C1852,Lists!$H$4:$AA$4,0)),D1852)=0,"Check sub-category","OK"))))</f>
        <v/>
      </c>
      <c r="P1852">
        <f>IF(ISNUMBER(I1852),I1852+ROW()/10000000,"")</f>
        <v/>
      </c>
      <c r="Q1852">
        <f>IF(AND(ISNUMBER(P1852),ISNUMBER(A1852)),IF(AND(A1852&gt;=Dashboard!$Q$3,A1852&lt;=Dashboard!$Q$4,OR(J1852&lt;&gt;"Yes",Dashboard!$Q$15="Yes")),P1852,""),"")</f>
        <v/>
      </c>
    </row>
    <row r="1853">
      <c r="A1853" s="47" t="n"/>
      <c r="B1853" s="48" t="n"/>
      <c r="C1853" s="48" t="n"/>
      <c r="D1853" s="48" t="n"/>
      <c r="E1853" s="48" t="n"/>
      <c r="F1853" s="48" t="n"/>
      <c r="G1853" s="48" t="n"/>
      <c r="H1853" s="48" t="n"/>
      <c r="I1853" s="49" t="n"/>
      <c r="J1853" s="50" t="n"/>
      <c r="K1853" s="48" t="n"/>
      <c r="L1853" s="51">
        <f>IF(A1853="","",DATE(YEAR(A1853),MONTH(A1853),1))</f>
        <v/>
      </c>
      <c r="M1853" s="52">
        <f>IF(OR(A1853="",NOT(ISNUMBER(I1853))),"",IF(G1853=Lists!$B$5,I1853/2,IF(G1853=Lists!$B$6,I1853,0)))</f>
        <v/>
      </c>
      <c r="N1853" s="52">
        <f>IF(OR(A1853="",NOT(ISNUMBER(I1853))),"",IF(G1853=Lists!$B$5,I1853/2,IF(G1853=Lists!$B$7,I1853,0)))</f>
        <v/>
      </c>
      <c r="O1853" s="53">
        <f>IF(COUNTA(A1853:K1853)=0,"",IF(OR(A1853="",B1853="",C1853="",D1853="",E1853="",F1853="",G1853="",NOT(ISNUMBER(I1853))),"Incomplete",IF(COUNTIF(Lists!$H$4:$AA$4,C1853)=0,"Check category",IF(COUNTIF(INDEX(Lists!$H$6:$AA$45,0,MATCH(C1853,Lists!$H$4:$AA$4,0)),D1853)=0,"Check sub-category","OK"))))</f>
        <v/>
      </c>
      <c r="P1853">
        <f>IF(ISNUMBER(I1853),I1853+ROW()/10000000,"")</f>
        <v/>
      </c>
      <c r="Q1853">
        <f>IF(AND(ISNUMBER(P1853),ISNUMBER(A1853)),IF(AND(A1853&gt;=Dashboard!$Q$3,A1853&lt;=Dashboard!$Q$4,OR(J1853&lt;&gt;"Yes",Dashboard!$Q$15="Yes")),P1853,""),"")</f>
        <v/>
      </c>
    </row>
    <row r="1854">
      <c r="A1854" s="47" t="n"/>
      <c r="B1854" s="48" t="n"/>
      <c r="C1854" s="48" t="n"/>
      <c r="D1854" s="48" t="n"/>
      <c r="E1854" s="48" t="n"/>
      <c r="F1854" s="48" t="n"/>
      <c r="G1854" s="48" t="n"/>
      <c r="H1854" s="48" t="n"/>
      <c r="I1854" s="49" t="n"/>
      <c r="J1854" s="50" t="n"/>
      <c r="K1854" s="48" t="n"/>
      <c r="L1854" s="51">
        <f>IF(A1854="","",DATE(YEAR(A1854),MONTH(A1854),1))</f>
        <v/>
      </c>
      <c r="M1854" s="52">
        <f>IF(OR(A1854="",NOT(ISNUMBER(I1854))),"",IF(G1854=Lists!$B$5,I1854/2,IF(G1854=Lists!$B$6,I1854,0)))</f>
        <v/>
      </c>
      <c r="N1854" s="52">
        <f>IF(OR(A1854="",NOT(ISNUMBER(I1854))),"",IF(G1854=Lists!$B$5,I1854/2,IF(G1854=Lists!$B$7,I1854,0)))</f>
        <v/>
      </c>
      <c r="O1854" s="53">
        <f>IF(COUNTA(A1854:K1854)=0,"",IF(OR(A1854="",B1854="",C1854="",D1854="",E1854="",F1854="",G1854="",NOT(ISNUMBER(I1854))),"Incomplete",IF(COUNTIF(Lists!$H$4:$AA$4,C1854)=0,"Check category",IF(COUNTIF(INDEX(Lists!$H$6:$AA$45,0,MATCH(C1854,Lists!$H$4:$AA$4,0)),D1854)=0,"Check sub-category","OK"))))</f>
        <v/>
      </c>
      <c r="P1854">
        <f>IF(ISNUMBER(I1854),I1854+ROW()/10000000,"")</f>
        <v/>
      </c>
      <c r="Q1854">
        <f>IF(AND(ISNUMBER(P1854),ISNUMBER(A1854)),IF(AND(A1854&gt;=Dashboard!$Q$3,A1854&lt;=Dashboard!$Q$4,OR(J1854&lt;&gt;"Yes",Dashboard!$Q$15="Yes")),P1854,""),"")</f>
        <v/>
      </c>
    </row>
    <row r="1855">
      <c r="A1855" s="47" t="n"/>
      <c r="B1855" s="48" t="n"/>
      <c r="C1855" s="48" t="n"/>
      <c r="D1855" s="48" t="n"/>
      <c r="E1855" s="48" t="n"/>
      <c r="F1855" s="48" t="n"/>
      <c r="G1855" s="48" t="n"/>
      <c r="H1855" s="48" t="n"/>
      <c r="I1855" s="49" t="n"/>
      <c r="J1855" s="50" t="n"/>
      <c r="K1855" s="48" t="n"/>
      <c r="L1855" s="51">
        <f>IF(A1855="","",DATE(YEAR(A1855),MONTH(A1855),1))</f>
        <v/>
      </c>
      <c r="M1855" s="52">
        <f>IF(OR(A1855="",NOT(ISNUMBER(I1855))),"",IF(G1855=Lists!$B$5,I1855/2,IF(G1855=Lists!$B$6,I1855,0)))</f>
        <v/>
      </c>
      <c r="N1855" s="52">
        <f>IF(OR(A1855="",NOT(ISNUMBER(I1855))),"",IF(G1855=Lists!$B$5,I1855/2,IF(G1855=Lists!$B$7,I1855,0)))</f>
        <v/>
      </c>
      <c r="O1855" s="53">
        <f>IF(COUNTA(A1855:K1855)=0,"",IF(OR(A1855="",B1855="",C1855="",D1855="",E1855="",F1855="",G1855="",NOT(ISNUMBER(I1855))),"Incomplete",IF(COUNTIF(Lists!$H$4:$AA$4,C1855)=0,"Check category",IF(COUNTIF(INDEX(Lists!$H$6:$AA$45,0,MATCH(C1855,Lists!$H$4:$AA$4,0)),D1855)=0,"Check sub-category","OK"))))</f>
        <v/>
      </c>
      <c r="P1855">
        <f>IF(ISNUMBER(I1855),I1855+ROW()/10000000,"")</f>
        <v/>
      </c>
      <c r="Q1855">
        <f>IF(AND(ISNUMBER(P1855),ISNUMBER(A1855)),IF(AND(A1855&gt;=Dashboard!$Q$3,A1855&lt;=Dashboard!$Q$4,OR(J1855&lt;&gt;"Yes",Dashboard!$Q$15="Yes")),P1855,""),"")</f>
        <v/>
      </c>
    </row>
    <row r="1856">
      <c r="A1856" s="47" t="n"/>
      <c r="B1856" s="48" t="n"/>
      <c r="C1856" s="48" t="n"/>
      <c r="D1856" s="48" t="n"/>
      <c r="E1856" s="48" t="n"/>
      <c r="F1856" s="48" t="n"/>
      <c r="G1856" s="48" t="n"/>
      <c r="H1856" s="48" t="n"/>
      <c r="I1856" s="49" t="n"/>
      <c r="J1856" s="50" t="n"/>
      <c r="K1856" s="48" t="n"/>
      <c r="L1856" s="51">
        <f>IF(A1856="","",DATE(YEAR(A1856),MONTH(A1856),1))</f>
        <v/>
      </c>
      <c r="M1856" s="52">
        <f>IF(OR(A1856="",NOT(ISNUMBER(I1856))),"",IF(G1856=Lists!$B$5,I1856/2,IF(G1856=Lists!$B$6,I1856,0)))</f>
        <v/>
      </c>
      <c r="N1856" s="52">
        <f>IF(OR(A1856="",NOT(ISNUMBER(I1856))),"",IF(G1856=Lists!$B$5,I1856/2,IF(G1856=Lists!$B$7,I1856,0)))</f>
        <v/>
      </c>
      <c r="O1856" s="53">
        <f>IF(COUNTA(A1856:K1856)=0,"",IF(OR(A1856="",B1856="",C1856="",D1856="",E1856="",F1856="",G1856="",NOT(ISNUMBER(I1856))),"Incomplete",IF(COUNTIF(Lists!$H$4:$AA$4,C1856)=0,"Check category",IF(COUNTIF(INDEX(Lists!$H$6:$AA$45,0,MATCH(C1856,Lists!$H$4:$AA$4,0)),D1856)=0,"Check sub-category","OK"))))</f>
        <v/>
      </c>
      <c r="P1856">
        <f>IF(ISNUMBER(I1856),I1856+ROW()/10000000,"")</f>
        <v/>
      </c>
      <c r="Q1856">
        <f>IF(AND(ISNUMBER(P1856),ISNUMBER(A1856)),IF(AND(A1856&gt;=Dashboard!$Q$3,A1856&lt;=Dashboard!$Q$4,OR(J1856&lt;&gt;"Yes",Dashboard!$Q$15="Yes")),P1856,""),"")</f>
        <v/>
      </c>
    </row>
    <row r="1857">
      <c r="A1857" s="47" t="n"/>
      <c r="B1857" s="48" t="n"/>
      <c r="C1857" s="48" t="n"/>
      <c r="D1857" s="48" t="n"/>
      <c r="E1857" s="48" t="n"/>
      <c r="F1857" s="48" t="n"/>
      <c r="G1857" s="48" t="n"/>
      <c r="H1857" s="48" t="n"/>
      <c r="I1857" s="49" t="n"/>
      <c r="J1857" s="50" t="n"/>
      <c r="K1857" s="48" t="n"/>
      <c r="L1857" s="51">
        <f>IF(A1857="","",DATE(YEAR(A1857),MONTH(A1857),1))</f>
        <v/>
      </c>
      <c r="M1857" s="52">
        <f>IF(OR(A1857="",NOT(ISNUMBER(I1857))),"",IF(G1857=Lists!$B$5,I1857/2,IF(G1857=Lists!$B$6,I1857,0)))</f>
        <v/>
      </c>
      <c r="N1857" s="52">
        <f>IF(OR(A1857="",NOT(ISNUMBER(I1857))),"",IF(G1857=Lists!$B$5,I1857/2,IF(G1857=Lists!$B$7,I1857,0)))</f>
        <v/>
      </c>
      <c r="O1857" s="53">
        <f>IF(COUNTA(A1857:K1857)=0,"",IF(OR(A1857="",B1857="",C1857="",D1857="",E1857="",F1857="",G1857="",NOT(ISNUMBER(I1857))),"Incomplete",IF(COUNTIF(Lists!$H$4:$AA$4,C1857)=0,"Check category",IF(COUNTIF(INDEX(Lists!$H$6:$AA$45,0,MATCH(C1857,Lists!$H$4:$AA$4,0)),D1857)=0,"Check sub-category","OK"))))</f>
        <v/>
      </c>
      <c r="P1857">
        <f>IF(ISNUMBER(I1857),I1857+ROW()/10000000,"")</f>
        <v/>
      </c>
      <c r="Q1857">
        <f>IF(AND(ISNUMBER(P1857),ISNUMBER(A1857)),IF(AND(A1857&gt;=Dashboard!$Q$3,A1857&lt;=Dashboard!$Q$4,OR(J1857&lt;&gt;"Yes",Dashboard!$Q$15="Yes")),P1857,""),"")</f>
        <v/>
      </c>
    </row>
    <row r="1858">
      <c r="A1858" s="47" t="n"/>
      <c r="B1858" s="48" t="n"/>
      <c r="C1858" s="48" t="n"/>
      <c r="D1858" s="48" t="n"/>
      <c r="E1858" s="48" t="n"/>
      <c r="F1858" s="48" t="n"/>
      <c r="G1858" s="48" t="n"/>
      <c r="H1858" s="48" t="n"/>
      <c r="I1858" s="49" t="n"/>
      <c r="J1858" s="50" t="n"/>
      <c r="K1858" s="48" t="n"/>
      <c r="L1858" s="51">
        <f>IF(A1858="","",DATE(YEAR(A1858),MONTH(A1858),1))</f>
        <v/>
      </c>
      <c r="M1858" s="52">
        <f>IF(OR(A1858="",NOT(ISNUMBER(I1858))),"",IF(G1858=Lists!$B$5,I1858/2,IF(G1858=Lists!$B$6,I1858,0)))</f>
        <v/>
      </c>
      <c r="N1858" s="52">
        <f>IF(OR(A1858="",NOT(ISNUMBER(I1858))),"",IF(G1858=Lists!$B$5,I1858/2,IF(G1858=Lists!$B$7,I1858,0)))</f>
        <v/>
      </c>
      <c r="O1858" s="53">
        <f>IF(COUNTA(A1858:K1858)=0,"",IF(OR(A1858="",B1858="",C1858="",D1858="",E1858="",F1858="",G1858="",NOT(ISNUMBER(I1858))),"Incomplete",IF(COUNTIF(Lists!$H$4:$AA$4,C1858)=0,"Check category",IF(COUNTIF(INDEX(Lists!$H$6:$AA$45,0,MATCH(C1858,Lists!$H$4:$AA$4,0)),D1858)=0,"Check sub-category","OK"))))</f>
        <v/>
      </c>
      <c r="P1858">
        <f>IF(ISNUMBER(I1858),I1858+ROW()/10000000,"")</f>
        <v/>
      </c>
      <c r="Q1858">
        <f>IF(AND(ISNUMBER(P1858),ISNUMBER(A1858)),IF(AND(A1858&gt;=Dashboard!$Q$3,A1858&lt;=Dashboard!$Q$4,OR(J1858&lt;&gt;"Yes",Dashboard!$Q$15="Yes")),P1858,""),"")</f>
        <v/>
      </c>
    </row>
    <row r="1859">
      <c r="A1859" s="47" t="n"/>
      <c r="B1859" s="48" t="n"/>
      <c r="C1859" s="48" t="n"/>
      <c r="D1859" s="48" t="n"/>
      <c r="E1859" s="48" t="n"/>
      <c r="F1859" s="48" t="n"/>
      <c r="G1859" s="48" t="n"/>
      <c r="H1859" s="48" t="n"/>
      <c r="I1859" s="49" t="n"/>
      <c r="J1859" s="50" t="n"/>
      <c r="K1859" s="48" t="n"/>
      <c r="L1859" s="51">
        <f>IF(A1859="","",DATE(YEAR(A1859),MONTH(A1859),1))</f>
        <v/>
      </c>
      <c r="M1859" s="52">
        <f>IF(OR(A1859="",NOT(ISNUMBER(I1859))),"",IF(G1859=Lists!$B$5,I1859/2,IF(G1859=Lists!$B$6,I1859,0)))</f>
        <v/>
      </c>
      <c r="N1859" s="52">
        <f>IF(OR(A1859="",NOT(ISNUMBER(I1859))),"",IF(G1859=Lists!$B$5,I1859/2,IF(G1859=Lists!$B$7,I1859,0)))</f>
        <v/>
      </c>
      <c r="O1859" s="53">
        <f>IF(COUNTA(A1859:K1859)=0,"",IF(OR(A1859="",B1859="",C1859="",D1859="",E1859="",F1859="",G1859="",NOT(ISNUMBER(I1859))),"Incomplete",IF(COUNTIF(Lists!$H$4:$AA$4,C1859)=0,"Check category",IF(COUNTIF(INDEX(Lists!$H$6:$AA$45,0,MATCH(C1859,Lists!$H$4:$AA$4,0)),D1859)=0,"Check sub-category","OK"))))</f>
        <v/>
      </c>
      <c r="P1859">
        <f>IF(ISNUMBER(I1859),I1859+ROW()/10000000,"")</f>
        <v/>
      </c>
      <c r="Q1859">
        <f>IF(AND(ISNUMBER(P1859),ISNUMBER(A1859)),IF(AND(A1859&gt;=Dashboard!$Q$3,A1859&lt;=Dashboard!$Q$4,OR(J1859&lt;&gt;"Yes",Dashboard!$Q$15="Yes")),P1859,""),"")</f>
        <v/>
      </c>
    </row>
    <row r="1860">
      <c r="A1860" s="47" t="n"/>
      <c r="B1860" s="48" t="n"/>
      <c r="C1860" s="48" t="n"/>
      <c r="D1860" s="48" t="n"/>
      <c r="E1860" s="48" t="n"/>
      <c r="F1860" s="48" t="n"/>
      <c r="G1860" s="48" t="n"/>
      <c r="H1860" s="48" t="n"/>
      <c r="I1860" s="49" t="n"/>
      <c r="J1860" s="50" t="n"/>
      <c r="K1860" s="48" t="n"/>
      <c r="L1860" s="51">
        <f>IF(A1860="","",DATE(YEAR(A1860),MONTH(A1860),1))</f>
        <v/>
      </c>
      <c r="M1860" s="52">
        <f>IF(OR(A1860="",NOT(ISNUMBER(I1860))),"",IF(G1860=Lists!$B$5,I1860/2,IF(G1860=Lists!$B$6,I1860,0)))</f>
        <v/>
      </c>
      <c r="N1860" s="52">
        <f>IF(OR(A1860="",NOT(ISNUMBER(I1860))),"",IF(G1860=Lists!$B$5,I1860/2,IF(G1860=Lists!$B$7,I1860,0)))</f>
        <v/>
      </c>
      <c r="O1860" s="53">
        <f>IF(COUNTA(A1860:K1860)=0,"",IF(OR(A1860="",B1860="",C1860="",D1860="",E1860="",F1860="",G1860="",NOT(ISNUMBER(I1860))),"Incomplete",IF(COUNTIF(Lists!$H$4:$AA$4,C1860)=0,"Check category",IF(COUNTIF(INDEX(Lists!$H$6:$AA$45,0,MATCH(C1860,Lists!$H$4:$AA$4,0)),D1860)=0,"Check sub-category","OK"))))</f>
        <v/>
      </c>
      <c r="P1860">
        <f>IF(ISNUMBER(I1860),I1860+ROW()/10000000,"")</f>
        <v/>
      </c>
      <c r="Q1860">
        <f>IF(AND(ISNUMBER(P1860),ISNUMBER(A1860)),IF(AND(A1860&gt;=Dashboard!$Q$3,A1860&lt;=Dashboard!$Q$4,OR(J1860&lt;&gt;"Yes",Dashboard!$Q$15="Yes")),P1860,""),"")</f>
        <v/>
      </c>
    </row>
    <row r="1861">
      <c r="A1861" s="47" t="n"/>
      <c r="B1861" s="48" t="n"/>
      <c r="C1861" s="48" t="n"/>
      <c r="D1861" s="48" t="n"/>
      <c r="E1861" s="48" t="n"/>
      <c r="F1861" s="48" t="n"/>
      <c r="G1861" s="48" t="n"/>
      <c r="H1861" s="48" t="n"/>
      <c r="I1861" s="49" t="n"/>
      <c r="J1861" s="50" t="n"/>
      <c r="K1861" s="48" t="n"/>
      <c r="L1861" s="51">
        <f>IF(A1861="","",DATE(YEAR(A1861),MONTH(A1861),1))</f>
        <v/>
      </c>
      <c r="M1861" s="52">
        <f>IF(OR(A1861="",NOT(ISNUMBER(I1861))),"",IF(G1861=Lists!$B$5,I1861/2,IF(G1861=Lists!$B$6,I1861,0)))</f>
        <v/>
      </c>
      <c r="N1861" s="52">
        <f>IF(OR(A1861="",NOT(ISNUMBER(I1861))),"",IF(G1861=Lists!$B$5,I1861/2,IF(G1861=Lists!$B$7,I1861,0)))</f>
        <v/>
      </c>
      <c r="O1861" s="53">
        <f>IF(COUNTA(A1861:K1861)=0,"",IF(OR(A1861="",B1861="",C1861="",D1861="",E1861="",F1861="",G1861="",NOT(ISNUMBER(I1861))),"Incomplete",IF(COUNTIF(Lists!$H$4:$AA$4,C1861)=0,"Check category",IF(COUNTIF(INDEX(Lists!$H$6:$AA$45,0,MATCH(C1861,Lists!$H$4:$AA$4,0)),D1861)=0,"Check sub-category","OK"))))</f>
        <v/>
      </c>
      <c r="P1861">
        <f>IF(ISNUMBER(I1861),I1861+ROW()/10000000,"")</f>
        <v/>
      </c>
      <c r="Q1861">
        <f>IF(AND(ISNUMBER(P1861),ISNUMBER(A1861)),IF(AND(A1861&gt;=Dashboard!$Q$3,A1861&lt;=Dashboard!$Q$4,OR(J1861&lt;&gt;"Yes",Dashboard!$Q$15="Yes")),P1861,""),"")</f>
        <v/>
      </c>
    </row>
    <row r="1862">
      <c r="A1862" s="47" t="n"/>
      <c r="B1862" s="48" t="n"/>
      <c r="C1862" s="48" t="n"/>
      <c r="D1862" s="48" t="n"/>
      <c r="E1862" s="48" t="n"/>
      <c r="F1862" s="48" t="n"/>
      <c r="G1862" s="48" t="n"/>
      <c r="H1862" s="48" t="n"/>
      <c r="I1862" s="49" t="n"/>
      <c r="J1862" s="50" t="n"/>
      <c r="K1862" s="48" t="n"/>
      <c r="L1862" s="51">
        <f>IF(A1862="","",DATE(YEAR(A1862),MONTH(A1862),1))</f>
        <v/>
      </c>
      <c r="M1862" s="52">
        <f>IF(OR(A1862="",NOT(ISNUMBER(I1862))),"",IF(G1862=Lists!$B$5,I1862/2,IF(G1862=Lists!$B$6,I1862,0)))</f>
        <v/>
      </c>
      <c r="N1862" s="52">
        <f>IF(OR(A1862="",NOT(ISNUMBER(I1862))),"",IF(G1862=Lists!$B$5,I1862/2,IF(G1862=Lists!$B$7,I1862,0)))</f>
        <v/>
      </c>
      <c r="O1862" s="53">
        <f>IF(COUNTA(A1862:K1862)=0,"",IF(OR(A1862="",B1862="",C1862="",D1862="",E1862="",F1862="",G1862="",NOT(ISNUMBER(I1862))),"Incomplete",IF(COUNTIF(Lists!$H$4:$AA$4,C1862)=0,"Check category",IF(COUNTIF(INDEX(Lists!$H$6:$AA$45,0,MATCH(C1862,Lists!$H$4:$AA$4,0)),D1862)=0,"Check sub-category","OK"))))</f>
        <v/>
      </c>
      <c r="P1862">
        <f>IF(ISNUMBER(I1862),I1862+ROW()/10000000,"")</f>
        <v/>
      </c>
      <c r="Q1862">
        <f>IF(AND(ISNUMBER(P1862),ISNUMBER(A1862)),IF(AND(A1862&gt;=Dashboard!$Q$3,A1862&lt;=Dashboard!$Q$4,OR(J1862&lt;&gt;"Yes",Dashboard!$Q$15="Yes")),P1862,""),"")</f>
        <v/>
      </c>
    </row>
    <row r="1863">
      <c r="A1863" s="47" t="n"/>
      <c r="B1863" s="48" t="n"/>
      <c r="C1863" s="48" t="n"/>
      <c r="D1863" s="48" t="n"/>
      <c r="E1863" s="48" t="n"/>
      <c r="F1863" s="48" t="n"/>
      <c r="G1863" s="48" t="n"/>
      <c r="H1863" s="48" t="n"/>
      <c r="I1863" s="49" t="n"/>
      <c r="J1863" s="50" t="n"/>
      <c r="K1863" s="48" t="n"/>
      <c r="L1863" s="51">
        <f>IF(A1863="","",DATE(YEAR(A1863),MONTH(A1863),1))</f>
        <v/>
      </c>
      <c r="M1863" s="52">
        <f>IF(OR(A1863="",NOT(ISNUMBER(I1863))),"",IF(G1863=Lists!$B$5,I1863/2,IF(G1863=Lists!$B$6,I1863,0)))</f>
        <v/>
      </c>
      <c r="N1863" s="52">
        <f>IF(OR(A1863="",NOT(ISNUMBER(I1863))),"",IF(G1863=Lists!$B$5,I1863/2,IF(G1863=Lists!$B$7,I1863,0)))</f>
        <v/>
      </c>
      <c r="O1863" s="53">
        <f>IF(COUNTA(A1863:K1863)=0,"",IF(OR(A1863="",B1863="",C1863="",D1863="",E1863="",F1863="",G1863="",NOT(ISNUMBER(I1863))),"Incomplete",IF(COUNTIF(Lists!$H$4:$AA$4,C1863)=0,"Check category",IF(COUNTIF(INDEX(Lists!$H$6:$AA$45,0,MATCH(C1863,Lists!$H$4:$AA$4,0)),D1863)=0,"Check sub-category","OK"))))</f>
        <v/>
      </c>
      <c r="P1863">
        <f>IF(ISNUMBER(I1863),I1863+ROW()/10000000,"")</f>
        <v/>
      </c>
      <c r="Q1863">
        <f>IF(AND(ISNUMBER(P1863),ISNUMBER(A1863)),IF(AND(A1863&gt;=Dashboard!$Q$3,A1863&lt;=Dashboard!$Q$4,OR(J1863&lt;&gt;"Yes",Dashboard!$Q$15="Yes")),P1863,""),"")</f>
        <v/>
      </c>
    </row>
    <row r="1864">
      <c r="A1864" s="47" t="n"/>
      <c r="B1864" s="48" t="n"/>
      <c r="C1864" s="48" t="n"/>
      <c r="D1864" s="48" t="n"/>
      <c r="E1864" s="48" t="n"/>
      <c r="F1864" s="48" t="n"/>
      <c r="G1864" s="48" t="n"/>
      <c r="H1864" s="48" t="n"/>
      <c r="I1864" s="49" t="n"/>
      <c r="J1864" s="50" t="n"/>
      <c r="K1864" s="48" t="n"/>
      <c r="L1864" s="51">
        <f>IF(A1864="","",DATE(YEAR(A1864),MONTH(A1864),1))</f>
        <v/>
      </c>
      <c r="M1864" s="52">
        <f>IF(OR(A1864="",NOT(ISNUMBER(I1864))),"",IF(G1864=Lists!$B$5,I1864/2,IF(G1864=Lists!$B$6,I1864,0)))</f>
        <v/>
      </c>
      <c r="N1864" s="52">
        <f>IF(OR(A1864="",NOT(ISNUMBER(I1864))),"",IF(G1864=Lists!$B$5,I1864/2,IF(G1864=Lists!$B$7,I1864,0)))</f>
        <v/>
      </c>
      <c r="O1864" s="53">
        <f>IF(COUNTA(A1864:K1864)=0,"",IF(OR(A1864="",B1864="",C1864="",D1864="",E1864="",F1864="",G1864="",NOT(ISNUMBER(I1864))),"Incomplete",IF(COUNTIF(Lists!$H$4:$AA$4,C1864)=0,"Check category",IF(COUNTIF(INDEX(Lists!$H$6:$AA$45,0,MATCH(C1864,Lists!$H$4:$AA$4,0)),D1864)=0,"Check sub-category","OK"))))</f>
        <v/>
      </c>
      <c r="P1864">
        <f>IF(ISNUMBER(I1864),I1864+ROW()/10000000,"")</f>
        <v/>
      </c>
      <c r="Q1864">
        <f>IF(AND(ISNUMBER(P1864),ISNUMBER(A1864)),IF(AND(A1864&gt;=Dashboard!$Q$3,A1864&lt;=Dashboard!$Q$4,OR(J1864&lt;&gt;"Yes",Dashboard!$Q$15="Yes")),P1864,""),"")</f>
        <v/>
      </c>
    </row>
    <row r="1865">
      <c r="A1865" s="47" t="n"/>
      <c r="B1865" s="48" t="n"/>
      <c r="C1865" s="48" t="n"/>
      <c r="D1865" s="48" t="n"/>
      <c r="E1865" s="48" t="n"/>
      <c r="F1865" s="48" t="n"/>
      <c r="G1865" s="48" t="n"/>
      <c r="H1865" s="48" t="n"/>
      <c r="I1865" s="49" t="n"/>
      <c r="J1865" s="50" t="n"/>
      <c r="K1865" s="48" t="n"/>
      <c r="L1865" s="51">
        <f>IF(A1865="","",DATE(YEAR(A1865),MONTH(A1865),1))</f>
        <v/>
      </c>
      <c r="M1865" s="52">
        <f>IF(OR(A1865="",NOT(ISNUMBER(I1865))),"",IF(G1865=Lists!$B$5,I1865/2,IF(G1865=Lists!$B$6,I1865,0)))</f>
        <v/>
      </c>
      <c r="N1865" s="52">
        <f>IF(OR(A1865="",NOT(ISNUMBER(I1865))),"",IF(G1865=Lists!$B$5,I1865/2,IF(G1865=Lists!$B$7,I1865,0)))</f>
        <v/>
      </c>
      <c r="O1865" s="53">
        <f>IF(COUNTA(A1865:K1865)=0,"",IF(OR(A1865="",B1865="",C1865="",D1865="",E1865="",F1865="",G1865="",NOT(ISNUMBER(I1865))),"Incomplete",IF(COUNTIF(Lists!$H$4:$AA$4,C1865)=0,"Check category",IF(COUNTIF(INDEX(Lists!$H$6:$AA$45,0,MATCH(C1865,Lists!$H$4:$AA$4,0)),D1865)=0,"Check sub-category","OK"))))</f>
        <v/>
      </c>
      <c r="P1865">
        <f>IF(ISNUMBER(I1865),I1865+ROW()/10000000,"")</f>
        <v/>
      </c>
      <c r="Q1865">
        <f>IF(AND(ISNUMBER(P1865),ISNUMBER(A1865)),IF(AND(A1865&gt;=Dashboard!$Q$3,A1865&lt;=Dashboard!$Q$4,OR(J1865&lt;&gt;"Yes",Dashboard!$Q$15="Yes")),P1865,""),"")</f>
        <v/>
      </c>
    </row>
    <row r="1866">
      <c r="A1866" s="47" t="n"/>
      <c r="B1866" s="48" t="n"/>
      <c r="C1866" s="48" t="n"/>
      <c r="D1866" s="48" t="n"/>
      <c r="E1866" s="48" t="n"/>
      <c r="F1866" s="48" t="n"/>
      <c r="G1866" s="48" t="n"/>
      <c r="H1866" s="48" t="n"/>
      <c r="I1866" s="49" t="n"/>
      <c r="J1866" s="50" t="n"/>
      <c r="K1866" s="48" t="n"/>
      <c r="L1866" s="51">
        <f>IF(A1866="","",DATE(YEAR(A1866),MONTH(A1866),1))</f>
        <v/>
      </c>
      <c r="M1866" s="52">
        <f>IF(OR(A1866="",NOT(ISNUMBER(I1866))),"",IF(G1866=Lists!$B$5,I1866/2,IF(G1866=Lists!$B$6,I1866,0)))</f>
        <v/>
      </c>
      <c r="N1866" s="52">
        <f>IF(OR(A1866="",NOT(ISNUMBER(I1866))),"",IF(G1866=Lists!$B$5,I1866/2,IF(G1866=Lists!$B$7,I1866,0)))</f>
        <v/>
      </c>
      <c r="O1866" s="53">
        <f>IF(COUNTA(A1866:K1866)=0,"",IF(OR(A1866="",B1866="",C1866="",D1866="",E1866="",F1866="",G1866="",NOT(ISNUMBER(I1866))),"Incomplete",IF(COUNTIF(Lists!$H$4:$AA$4,C1866)=0,"Check category",IF(COUNTIF(INDEX(Lists!$H$6:$AA$45,0,MATCH(C1866,Lists!$H$4:$AA$4,0)),D1866)=0,"Check sub-category","OK"))))</f>
        <v/>
      </c>
      <c r="P1866">
        <f>IF(ISNUMBER(I1866),I1866+ROW()/10000000,"")</f>
        <v/>
      </c>
      <c r="Q1866">
        <f>IF(AND(ISNUMBER(P1866),ISNUMBER(A1866)),IF(AND(A1866&gt;=Dashboard!$Q$3,A1866&lt;=Dashboard!$Q$4,OR(J1866&lt;&gt;"Yes",Dashboard!$Q$15="Yes")),P1866,""),"")</f>
        <v/>
      </c>
    </row>
    <row r="1867">
      <c r="A1867" s="47" t="n"/>
      <c r="B1867" s="48" t="n"/>
      <c r="C1867" s="48" t="n"/>
      <c r="D1867" s="48" t="n"/>
      <c r="E1867" s="48" t="n"/>
      <c r="F1867" s="48" t="n"/>
      <c r="G1867" s="48" t="n"/>
      <c r="H1867" s="48" t="n"/>
      <c r="I1867" s="49" t="n"/>
      <c r="J1867" s="50" t="n"/>
      <c r="K1867" s="48" t="n"/>
      <c r="L1867" s="51">
        <f>IF(A1867="","",DATE(YEAR(A1867),MONTH(A1867),1))</f>
        <v/>
      </c>
      <c r="M1867" s="52">
        <f>IF(OR(A1867="",NOT(ISNUMBER(I1867))),"",IF(G1867=Lists!$B$5,I1867/2,IF(G1867=Lists!$B$6,I1867,0)))</f>
        <v/>
      </c>
      <c r="N1867" s="52">
        <f>IF(OR(A1867="",NOT(ISNUMBER(I1867))),"",IF(G1867=Lists!$B$5,I1867/2,IF(G1867=Lists!$B$7,I1867,0)))</f>
        <v/>
      </c>
      <c r="O1867" s="53">
        <f>IF(COUNTA(A1867:K1867)=0,"",IF(OR(A1867="",B1867="",C1867="",D1867="",E1867="",F1867="",G1867="",NOT(ISNUMBER(I1867))),"Incomplete",IF(COUNTIF(Lists!$H$4:$AA$4,C1867)=0,"Check category",IF(COUNTIF(INDEX(Lists!$H$6:$AA$45,0,MATCH(C1867,Lists!$H$4:$AA$4,0)),D1867)=0,"Check sub-category","OK"))))</f>
        <v/>
      </c>
      <c r="P1867">
        <f>IF(ISNUMBER(I1867),I1867+ROW()/10000000,"")</f>
        <v/>
      </c>
      <c r="Q1867">
        <f>IF(AND(ISNUMBER(P1867),ISNUMBER(A1867)),IF(AND(A1867&gt;=Dashboard!$Q$3,A1867&lt;=Dashboard!$Q$4,OR(J1867&lt;&gt;"Yes",Dashboard!$Q$15="Yes")),P1867,""),"")</f>
        <v/>
      </c>
    </row>
    <row r="1868">
      <c r="A1868" s="47" t="n"/>
      <c r="B1868" s="48" t="n"/>
      <c r="C1868" s="48" t="n"/>
      <c r="D1868" s="48" t="n"/>
      <c r="E1868" s="48" t="n"/>
      <c r="F1868" s="48" t="n"/>
      <c r="G1868" s="48" t="n"/>
      <c r="H1868" s="48" t="n"/>
      <c r="I1868" s="49" t="n"/>
      <c r="J1868" s="50" t="n"/>
      <c r="K1868" s="48" t="n"/>
      <c r="L1868" s="51">
        <f>IF(A1868="","",DATE(YEAR(A1868),MONTH(A1868),1))</f>
        <v/>
      </c>
      <c r="M1868" s="52">
        <f>IF(OR(A1868="",NOT(ISNUMBER(I1868))),"",IF(G1868=Lists!$B$5,I1868/2,IF(G1868=Lists!$B$6,I1868,0)))</f>
        <v/>
      </c>
      <c r="N1868" s="52">
        <f>IF(OR(A1868="",NOT(ISNUMBER(I1868))),"",IF(G1868=Lists!$B$5,I1868/2,IF(G1868=Lists!$B$7,I1868,0)))</f>
        <v/>
      </c>
      <c r="O1868" s="53">
        <f>IF(COUNTA(A1868:K1868)=0,"",IF(OR(A1868="",B1868="",C1868="",D1868="",E1868="",F1868="",G1868="",NOT(ISNUMBER(I1868))),"Incomplete",IF(COUNTIF(Lists!$H$4:$AA$4,C1868)=0,"Check category",IF(COUNTIF(INDEX(Lists!$H$6:$AA$45,0,MATCH(C1868,Lists!$H$4:$AA$4,0)),D1868)=0,"Check sub-category","OK"))))</f>
        <v/>
      </c>
      <c r="P1868">
        <f>IF(ISNUMBER(I1868),I1868+ROW()/10000000,"")</f>
        <v/>
      </c>
      <c r="Q1868">
        <f>IF(AND(ISNUMBER(P1868),ISNUMBER(A1868)),IF(AND(A1868&gt;=Dashboard!$Q$3,A1868&lt;=Dashboard!$Q$4,OR(J1868&lt;&gt;"Yes",Dashboard!$Q$15="Yes")),P1868,""),"")</f>
        <v/>
      </c>
    </row>
    <row r="1869">
      <c r="A1869" s="47" t="n"/>
      <c r="B1869" s="48" t="n"/>
      <c r="C1869" s="48" t="n"/>
      <c r="D1869" s="48" t="n"/>
      <c r="E1869" s="48" t="n"/>
      <c r="F1869" s="48" t="n"/>
      <c r="G1869" s="48" t="n"/>
      <c r="H1869" s="48" t="n"/>
      <c r="I1869" s="49" t="n"/>
      <c r="J1869" s="50" t="n"/>
      <c r="K1869" s="48" t="n"/>
      <c r="L1869" s="51">
        <f>IF(A1869="","",DATE(YEAR(A1869),MONTH(A1869),1))</f>
        <v/>
      </c>
      <c r="M1869" s="52">
        <f>IF(OR(A1869="",NOT(ISNUMBER(I1869))),"",IF(G1869=Lists!$B$5,I1869/2,IF(G1869=Lists!$B$6,I1869,0)))</f>
        <v/>
      </c>
      <c r="N1869" s="52">
        <f>IF(OR(A1869="",NOT(ISNUMBER(I1869))),"",IF(G1869=Lists!$B$5,I1869/2,IF(G1869=Lists!$B$7,I1869,0)))</f>
        <v/>
      </c>
      <c r="O1869" s="53">
        <f>IF(COUNTA(A1869:K1869)=0,"",IF(OR(A1869="",B1869="",C1869="",D1869="",E1869="",F1869="",G1869="",NOT(ISNUMBER(I1869))),"Incomplete",IF(COUNTIF(Lists!$H$4:$AA$4,C1869)=0,"Check category",IF(COUNTIF(INDEX(Lists!$H$6:$AA$45,0,MATCH(C1869,Lists!$H$4:$AA$4,0)),D1869)=0,"Check sub-category","OK"))))</f>
        <v/>
      </c>
      <c r="P1869">
        <f>IF(ISNUMBER(I1869),I1869+ROW()/10000000,"")</f>
        <v/>
      </c>
      <c r="Q1869">
        <f>IF(AND(ISNUMBER(P1869),ISNUMBER(A1869)),IF(AND(A1869&gt;=Dashboard!$Q$3,A1869&lt;=Dashboard!$Q$4,OR(J1869&lt;&gt;"Yes",Dashboard!$Q$15="Yes")),P1869,""),"")</f>
        <v/>
      </c>
    </row>
    <row r="1870">
      <c r="A1870" s="47" t="n"/>
      <c r="B1870" s="48" t="n"/>
      <c r="C1870" s="48" t="n"/>
      <c r="D1870" s="48" t="n"/>
      <c r="E1870" s="48" t="n"/>
      <c r="F1870" s="48" t="n"/>
      <c r="G1870" s="48" t="n"/>
      <c r="H1870" s="48" t="n"/>
      <c r="I1870" s="49" t="n"/>
      <c r="J1870" s="50" t="n"/>
      <c r="K1870" s="48" t="n"/>
      <c r="L1870" s="51">
        <f>IF(A1870="","",DATE(YEAR(A1870),MONTH(A1870),1))</f>
        <v/>
      </c>
      <c r="M1870" s="52">
        <f>IF(OR(A1870="",NOT(ISNUMBER(I1870))),"",IF(G1870=Lists!$B$5,I1870/2,IF(G1870=Lists!$B$6,I1870,0)))</f>
        <v/>
      </c>
      <c r="N1870" s="52">
        <f>IF(OR(A1870="",NOT(ISNUMBER(I1870))),"",IF(G1870=Lists!$B$5,I1870/2,IF(G1870=Lists!$B$7,I1870,0)))</f>
        <v/>
      </c>
      <c r="O1870" s="53">
        <f>IF(COUNTA(A1870:K1870)=0,"",IF(OR(A1870="",B1870="",C1870="",D1870="",E1870="",F1870="",G1870="",NOT(ISNUMBER(I1870))),"Incomplete",IF(COUNTIF(Lists!$H$4:$AA$4,C1870)=0,"Check category",IF(COUNTIF(INDEX(Lists!$H$6:$AA$45,0,MATCH(C1870,Lists!$H$4:$AA$4,0)),D1870)=0,"Check sub-category","OK"))))</f>
        <v/>
      </c>
      <c r="P1870">
        <f>IF(ISNUMBER(I1870),I1870+ROW()/10000000,"")</f>
        <v/>
      </c>
      <c r="Q1870">
        <f>IF(AND(ISNUMBER(P1870),ISNUMBER(A1870)),IF(AND(A1870&gt;=Dashboard!$Q$3,A1870&lt;=Dashboard!$Q$4,OR(J1870&lt;&gt;"Yes",Dashboard!$Q$15="Yes")),P1870,""),"")</f>
        <v/>
      </c>
    </row>
    <row r="1871">
      <c r="A1871" s="47" t="n"/>
      <c r="B1871" s="48" t="n"/>
      <c r="C1871" s="48" t="n"/>
      <c r="D1871" s="48" t="n"/>
      <c r="E1871" s="48" t="n"/>
      <c r="F1871" s="48" t="n"/>
      <c r="G1871" s="48" t="n"/>
      <c r="H1871" s="48" t="n"/>
      <c r="I1871" s="49" t="n"/>
      <c r="J1871" s="50" t="n"/>
      <c r="K1871" s="48" t="n"/>
      <c r="L1871" s="51">
        <f>IF(A1871="","",DATE(YEAR(A1871),MONTH(A1871),1))</f>
        <v/>
      </c>
      <c r="M1871" s="52">
        <f>IF(OR(A1871="",NOT(ISNUMBER(I1871))),"",IF(G1871=Lists!$B$5,I1871/2,IF(G1871=Lists!$B$6,I1871,0)))</f>
        <v/>
      </c>
      <c r="N1871" s="52">
        <f>IF(OR(A1871="",NOT(ISNUMBER(I1871))),"",IF(G1871=Lists!$B$5,I1871/2,IF(G1871=Lists!$B$7,I1871,0)))</f>
        <v/>
      </c>
      <c r="O1871" s="53">
        <f>IF(COUNTA(A1871:K1871)=0,"",IF(OR(A1871="",B1871="",C1871="",D1871="",E1871="",F1871="",G1871="",NOT(ISNUMBER(I1871))),"Incomplete",IF(COUNTIF(Lists!$H$4:$AA$4,C1871)=0,"Check category",IF(COUNTIF(INDEX(Lists!$H$6:$AA$45,0,MATCH(C1871,Lists!$H$4:$AA$4,0)),D1871)=0,"Check sub-category","OK"))))</f>
        <v/>
      </c>
      <c r="P1871">
        <f>IF(ISNUMBER(I1871),I1871+ROW()/10000000,"")</f>
        <v/>
      </c>
      <c r="Q1871">
        <f>IF(AND(ISNUMBER(P1871),ISNUMBER(A1871)),IF(AND(A1871&gt;=Dashboard!$Q$3,A1871&lt;=Dashboard!$Q$4,OR(J1871&lt;&gt;"Yes",Dashboard!$Q$15="Yes")),P1871,""),"")</f>
        <v/>
      </c>
    </row>
    <row r="1872">
      <c r="A1872" s="47" t="n"/>
      <c r="B1872" s="48" t="n"/>
      <c r="C1872" s="48" t="n"/>
      <c r="D1872" s="48" t="n"/>
      <c r="E1872" s="48" t="n"/>
      <c r="F1872" s="48" t="n"/>
      <c r="G1872" s="48" t="n"/>
      <c r="H1872" s="48" t="n"/>
      <c r="I1872" s="49" t="n"/>
      <c r="J1872" s="50" t="n"/>
      <c r="K1872" s="48" t="n"/>
      <c r="L1872" s="51">
        <f>IF(A1872="","",DATE(YEAR(A1872),MONTH(A1872),1))</f>
        <v/>
      </c>
      <c r="M1872" s="52">
        <f>IF(OR(A1872="",NOT(ISNUMBER(I1872))),"",IF(G1872=Lists!$B$5,I1872/2,IF(G1872=Lists!$B$6,I1872,0)))</f>
        <v/>
      </c>
      <c r="N1872" s="52">
        <f>IF(OR(A1872="",NOT(ISNUMBER(I1872))),"",IF(G1872=Lists!$B$5,I1872/2,IF(G1872=Lists!$B$7,I1872,0)))</f>
        <v/>
      </c>
      <c r="O1872" s="53">
        <f>IF(COUNTA(A1872:K1872)=0,"",IF(OR(A1872="",B1872="",C1872="",D1872="",E1872="",F1872="",G1872="",NOT(ISNUMBER(I1872))),"Incomplete",IF(COUNTIF(Lists!$H$4:$AA$4,C1872)=0,"Check category",IF(COUNTIF(INDEX(Lists!$H$6:$AA$45,0,MATCH(C1872,Lists!$H$4:$AA$4,0)),D1872)=0,"Check sub-category","OK"))))</f>
        <v/>
      </c>
      <c r="P1872">
        <f>IF(ISNUMBER(I1872),I1872+ROW()/10000000,"")</f>
        <v/>
      </c>
      <c r="Q1872">
        <f>IF(AND(ISNUMBER(P1872),ISNUMBER(A1872)),IF(AND(A1872&gt;=Dashboard!$Q$3,A1872&lt;=Dashboard!$Q$4,OR(J1872&lt;&gt;"Yes",Dashboard!$Q$15="Yes")),P1872,""),"")</f>
        <v/>
      </c>
    </row>
    <row r="1873">
      <c r="A1873" s="47" t="n"/>
      <c r="B1873" s="48" t="n"/>
      <c r="C1873" s="48" t="n"/>
      <c r="D1873" s="48" t="n"/>
      <c r="E1873" s="48" t="n"/>
      <c r="F1873" s="48" t="n"/>
      <c r="G1873" s="48" t="n"/>
      <c r="H1873" s="48" t="n"/>
      <c r="I1873" s="49" t="n"/>
      <c r="J1873" s="50" t="n"/>
      <c r="K1873" s="48" t="n"/>
      <c r="L1873" s="51">
        <f>IF(A1873="","",DATE(YEAR(A1873),MONTH(A1873),1))</f>
        <v/>
      </c>
      <c r="M1873" s="52">
        <f>IF(OR(A1873="",NOT(ISNUMBER(I1873))),"",IF(G1873=Lists!$B$5,I1873/2,IF(G1873=Lists!$B$6,I1873,0)))</f>
        <v/>
      </c>
      <c r="N1873" s="52">
        <f>IF(OR(A1873="",NOT(ISNUMBER(I1873))),"",IF(G1873=Lists!$B$5,I1873/2,IF(G1873=Lists!$B$7,I1873,0)))</f>
        <v/>
      </c>
      <c r="O1873" s="53">
        <f>IF(COUNTA(A1873:K1873)=0,"",IF(OR(A1873="",B1873="",C1873="",D1873="",E1873="",F1873="",G1873="",NOT(ISNUMBER(I1873))),"Incomplete",IF(COUNTIF(Lists!$H$4:$AA$4,C1873)=0,"Check category",IF(COUNTIF(INDEX(Lists!$H$6:$AA$45,0,MATCH(C1873,Lists!$H$4:$AA$4,0)),D1873)=0,"Check sub-category","OK"))))</f>
        <v/>
      </c>
      <c r="P1873">
        <f>IF(ISNUMBER(I1873),I1873+ROW()/10000000,"")</f>
        <v/>
      </c>
      <c r="Q1873">
        <f>IF(AND(ISNUMBER(P1873),ISNUMBER(A1873)),IF(AND(A1873&gt;=Dashboard!$Q$3,A1873&lt;=Dashboard!$Q$4,OR(J1873&lt;&gt;"Yes",Dashboard!$Q$15="Yes")),P1873,""),"")</f>
        <v/>
      </c>
    </row>
    <row r="1874">
      <c r="A1874" s="47" t="n"/>
      <c r="B1874" s="48" t="n"/>
      <c r="C1874" s="48" t="n"/>
      <c r="D1874" s="48" t="n"/>
      <c r="E1874" s="48" t="n"/>
      <c r="F1874" s="48" t="n"/>
      <c r="G1874" s="48" t="n"/>
      <c r="H1874" s="48" t="n"/>
      <c r="I1874" s="49" t="n"/>
      <c r="J1874" s="50" t="n"/>
      <c r="K1874" s="48" t="n"/>
      <c r="L1874" s="51">
        <f>IF(A1874="","",DATE(YEAR(A1874),MONTH(A1874),1))</f>
        <v/>
      </c>
      <c r="M1874" s="52">
        <f>IF(OR(A1874="",NOT(ISNUMBER(I1874))),"",IF(G1874=Lists!$B$5,I1874/2,IF(G1874=Lists!$B$6,I1874,0)))</f>
        <v/>
      </c>
      <c r="N1874" s="52">
        <f>IF(OR(A1874="",NOT(ISNUMBER(I1874))),"",IF(G1874=Lists!$B$5,I1874/2,IF(G1874=Lists!$B$7,I1874,0)))</f>
        <v/>
      </c>
      <c r="O1874" s="53">
        <f>IF(COUNTA(A1874:K1874)=0,"",IF(OR(A1874="",B1874="",C1874="",D1874="",E1874="",F1874="",G1874="",NOT(ISNUMBER(I1874))),"Incomplete",IF(COUNTIF(Lists!$H$4:$AA$4,C1874)=0,"Check category",IF(COUNTIF(INDEX(Lists!$H$6:$AA$45,0,MATCH(C1874,Lists!$H$4:$AA$4,0)),D1874)=0,"Check sub-category","OK"))))</f>
        <v/>
      </c>
      <c r="P1874">
        <f>IF(ISNUMBER(I1874),I1874+ROW()/10000000,"")</f>
        <v/>
      </c>
      <c r="Q1874">
        <f>IF(AND(ISNUMBER(P1874),ISNUMBER(A1874)),IF(AND(A1874&gt;=Dashboard!$Q$3,A1874&lt;=Dashboard!$Q$4,OR(J1874&lt;&gt;"Yes",Dashboard!$Q$15="Yes")),P1874,""),"")</f>
        <v/>
      </c>
    </row>
    <row r="1875">
      <c r="A1875" s="47" t="n"/>
      <c r="B1875" s="48" t="n"/>
      <c r="C1875" s="48" t="n"/>
      <c r="D1875" s="48" t="n"/>
      <c r="E1875" s="48" t="n"/>
      <c r="F1875" s="48" t="n"/>
      <c r="G1875" s="48" t="n"/>
      <c r="H1875" s="48" t="n"/>
      <c r="I1875" s="49" t="n"/>
      <c r="J1875" s="50" t="n"/>
      <c r="K1875" s="48" t="n"/>
      <c r="L1875" s="51">
        <f>IF(A1875="","",DATE(YEAR(A1875),MONTH(A1875),1))</f>
        <v/>
      </c>
      <c r="M1875" s="52">
        <f>IF(OR(A1875="",NOT(ISNUMBER(I1875))),"",IF(G1875=Lists!$B$5,I1875/2,IF(G1875=Lists!$B$6,I1875,0)))</f>
        <v/>
      </c>
      <c r="N1875" s="52">
        <f>IF(OR(A1875="",NOT(ISNUMBER(I1875))),"",IF(G1875=Lists!$B$5,I1875/2,IF(G1875=Lists!$B$7,I1875,0)))</f>
        <v/>
      </c>
      <c r="O1875" s="53">
        <f>IF(COUNTA(A1875:K1875)=0,"",IF(OR(A1875="",B1875="",C1875="",D1875="",E1875="",F1875="",G1875="",NOT(ISNUMBER(I1875))),"Incomplete",IF(COUNTIF(Lists!$H$4:$AA$4,C1875)=0,"Check category",IF(COUNTIF(INDEX(Lists!$H$6:$AA$45,0,MATCH(C1875,Lists!$H$4:$AA$4,0)),D1875)=0,"Check sub-category","OK"))))</f>
        <v/>
      </c>
      <c r="P1875">
        <f>IF(ISNUMBER(I1875),I1875+ROW()/10000000,"")</f>
        <v/>
      </c>
      <c r="Q1875">
        <f>IF(AND(ISNUMBER(P1875),ISNUMBER(A1875)),IF(AND(A1875&gt;=Dashboard!$Q$3,A1875&lt;=Dashboard!$Q$4,OR(J1875&lt;&gt;"Yes",Dashboard!$Q$15="Yes")),P1875,""),"")</f>
        <v/>
      </c>
    </row>
    <row r="1876">
      <c r="A1876" s="47" t="n"/>
      <c r="B1876" s="48" t="n"/>
      <c r="C1876" s="48" t="n"/>
      <c r="D1876" s="48" t="n"/>
      <c r="E1876" s="48" t="n"/>
      <c r="F1876" s="48" t="n"/>
      <c r="G1876" s="48" t="n"/>
      <c r="H1876" s="48" t="n"/>
      <c r="I1876" s="49" t="n"/>
      <c r="J1876" s="50" t="n"/>
      <c r="K1876" s="48" t="n"/>
      <c r="L1876" s="51">
        <f>IF(A1876="","",DATE(YEAR(A1876),MONTH(A1876),1))</f>
        <v/>
      </c>
      <c r="M1876" s="52">
        <f>IF(OR(A1876="",NOT(ISNUMBER(I1876))),"",IF(G1876=Lists!$B$5,I1876/2,IF(G1876=Lists!$B$6,I1876,0)))</f>
        <v/>
      </c>
      <c r="N1876" s="52">
        <f>IF(OR(A1876="",NOT(ISNUMBER(I1876))),"",IF(G1876=Lists!$B$5,I1876/2,IF(G1876=Lists!$B$7,I1876,0)))</f>
        <v/>
      </c>
      <c r="O1876" s="53">
        <f>IF(COUNTA(A1876:K1876)=0,"",IF(OR(A1876="",B1876="",C1876="",D1876="",E1876="",F1876="",G1876="",NOT(ISNUMBER(I1876))),"Incomplete",IF(COUNTIF(Lists!$H$4:$AA$4,C1876)=0,"Check category",IF(COUNTIF(INDEX(Lists!$H$6:$AA$45,0,MATCH(C1876,Lists!$H$4:$AA$4,0)),D1876)=0,"Check sub-category","OK"))))</f>
        <v/>
      </c>
      <c r="P1876">
        <f>IF(ISNUMBER(I1876),I1876+ROW()/10000000,"")</f>
        <v/>
      </c>
      <c r="Q1876">
        <f>IF(AND(ISNUMBER(P1876),ISNUMBER(A1876)),IF(AND(A1876&gt;=Dashboard!$Q$3,A1876&lt;=Dashboard!$Q$4,OR(J1876&lt;&gt;"Yes",Dashboard!$Q$15="Yes")),P1876,""),"")</f>
        <v/>
      </c>
    </row>
    <row r="1877">
      <c r="A1877" s="47" t="n"/>
      <c r="B1877" s="48" t="n"/>
      <c r="C1877" s="48" t="n"/>
      <c r="D1877" s="48" t="n"/>
      <c r="E1877" s="48" t="n"/>
      <c r="F1877" s="48" t="n"/>
      <c r="G1877" s="48" t="n"/>
      <c r="H1877" s="48" t="n"/>
      <c r="I1877" s="49" t="n"/>
      <c r="J1877" s="50" t="n"/>
      <c r="K1877" s="48" t="n"/>
      <c r="L1877" s="51">
        <f>IF(A1877="","",DATE(YEAR(A1877),MONTH(A1877),1))</f>
        <v/>
      </c>
      <c r="M1877" s="52">
        <f>IF(OR(A1877="",NOT(ISNUMBER(I1877))),"",IF(G1877=Lists!$B$5,I1877/2,IF(G1877=Lists!$B$6,I1877,0)))</f>
        <v/>
      </c>
      <c r="N1877" s="52">
        <f>IF(OR(A1877="",NOT(ISNUMBER(I1877))),"",IF(G1877=Lists!$B$5,I1877/2,IF(G1877=Lists!$B$7,I1877,0)))</f>
        <v/>
      </c>
      <c r="O1877" s="53">
        <f>IF(COUNTA(A1877:K1877)=0,"",IF(OR(A1877="",B1877="",C1877="",D1877="",E1877="",F1877="",G1877="",NOT(ISNUMBER(I1877))),"Incomplete",IF(COUNTIF(Lists!$H$4:$AA$4,C1877)=0,"Check category",IF(COUNTIF(INDEX(Lists!$H$6:$AA$45,0,MATCH(C1877,Lists!$H$4:$AA$4,0)),D1877)=0,"Check sub-category","OK"))))</f>
        <v/>
      </c>
      <c r="P1877">
        <f>IF(ISNUMBER(I1877),I1877+ROW()/10000000,"")</f>
        <v/>
      </c>
      <c r="Q1877">
        <f>IF(AND(ISNUMBER(P1877),ISNUMBER(A1877)),IF(AND(A1877&gt;=Dashboard!$Q$3,A1877&lt;=Dashboard!$Q$4,OR(J1877&lt;&gt;"Yes",Dashboard!$Q$15="Yes")),P1877,""),"")</f>
        <v/>
      </c>
    </row>
    <row r="1878">
      <c r="A1878" s="47" t="n"/>
      <c r="B1878" s="48" t="n"/>
      <c r="C1878" s="48" t="n"/>
      <c r="D1878" s="48" t="n"/>
      <c r="E1878" s="48" t="n"/>
      <c r="F1878" s="48" t="n"/>
      <c r="G1878" s="48" t="n"/>
      <c r="H1878" s="48" t="n"/>
      <c r="I1878" s="49" t="n"/>
      <c r="J1878" s="50" t="n"/>
      <c r="K1878" s="48" t="n"/>
      <c r="L1878" s="51">
        <f>IF(A1878="","",DATE(YEAR(A1878),MONTH(A1878),1))</f>
        <v/>
      </c>
      <c r="M1878" s="52">
        <f>IF(OR(A1878="",NOT(ISNUMBER(I1878))),"",IF(G1878=Lists!$B$5,I1878/2,IF(G1878=Lists!$B$6,I1878,0)))</f>
        <v/>
      </c>
      <c r="N1878" s="52">
        <f>IF(OR(A1878="",NOT(ISNUMBER(I1878))),"",IF(G1878=Lists!$B$5,I1878/2,IF(G1878=Lists!$B$7,I1878,0)))</f>
        <v/>
      </c>
      <c r="O1878" s="53">
        <f>IF(COUNTA(A1878:K1878)=0,"",IF(OR(A1878="",B1878="",C1878="",D1878="",E1878="",F1878="",G1878="",NOT(ISNUMBER(I1878))),"Incomplete",IF(COUNTIF(Lists!$H$4:$AA$4,C1878)=0,"Check category",IF(COUNTIF(INDEX(Lists!$H$6:$AA$45,0,MATCH(C1878,Lists!$H$4:$AA$4,0)),D1878)=0,"Check sub-category","OK"))))</f>
        <v/>
      </c>
      <c r="P1878">
        <f>IF(ISNUMBER(I1878),I1878+ROW()/10000000,"")</f>
        <v/>
      </c>
      <c r="Q1878">
        <f>IF(AND(ISNUMBER(P1878),ISNUMBER(A1878)),IF(AND(A1878&gt;=Dashboard!$Q$3,A1878&lt;=Dashboard!$Q$4,OR(J1878&lt;&gt;"Yes",Dashboard!$Q$15="Yes")),P1878,""),"")</f>
        <v/>
      </c>
    </row>
    <row r="1879">
      <c r="A1879" s="47" t="n"/>
      <c r="B1879" s="48" t="n"/>
      <c r="C1879" s="48" t="n"/>
      <c r="D1879" s="48" t="n"/>
      <c r="E1879" s="48" t="n"/>
      <c r="F1879" s="48" t="n"/>
      <c r="G1879" s="48" t="n"/>
      <c r="H1879" s="48" t="n"/>
      <c r="I1879" s="49" t="n"/>
      <c r="J1879" s="50" t="n"/>
      <c r="K1879" s="48" t="n"/>
      <c r="L1879" s="51">
        <f>IF(A1879="","",DATE(YEAR(A1879),MONTH(A1879),1))</f>
        <v/>
      </c>
      <c r="M1879" s="52">
        <f>IF(OR(A1879="",NOT(ISNUMBER(I1879))),"",IF(G1879=Lists!$B$5,I1879/2,IF(G1879=Lists!$B$6,I1879,0)))</f>
        <v/>
      </c>
      <c r="N1879" s="52">
        <f>IF(OR(A1879="",NOT(ISNUMBER(I1879))),"",IF(G1879=Lists!$B$5,I1879/2,IF(G1879=Lists!$B$7,I1879,0)))</f>
        <v/>
      </c>
      <c r="O1879" s="53">
        <f>IF(COUNTA(A1879:K1879)=0,"",IF(OR(A1879="",B1879="",C1879="",D1879="",E1879="",F1879="",G1879="",NOT(ISNUMBER(I1879))),"Incomplete",IF(COUNTIF(Lists!$H$4:$AA$4,C1879)=0,"Check category",IF(COUNTIF(INDEX(Lists!$H$6:$AA$45,0,MATCH(C1879,Lists!$H$4:$AA$4,0)),D1879)=0,"Check sub-category","OK"))))</f>
        <v/>
      </c>
      <c r="P1879">
        <f>IF(ISNUMBER(I1879),I1879+ROW()/10000000,"")</f>
        <v/>
      </c>
      <c r="Q1879">
        <f>IF(AND(ISNUMBER(P1879),ISNUMBER(A1879)),IF(AND(A1879&gt;=Dashboard!$Q$3,A1879&lt;=Dashboard!$Q$4,OR(J1879&lt;&gt;"Yes",Dashboard!$Q$15="Yes")),P1879,""),"")</f>
        <v/>
      </c>
    </row>
    <row r="1880">
      <c r="A1880" s="47" t="n"/>
      <c r="B1880" s="48" t="n"/>
      <c r="C1880" s="48" t="n"/>
      <c r="D1880" s="48" t="n"/>
      <c r="E1880" s="48" t="n"/>
      <c r="F1880" s="48" t="n"/>
      <c r="G1880" s="48" t="n"/>
      <c r="H1880" s="48" t="n"/>
      <c r="I1880" s="49" t="n"/>
      <c r="J1880" s="50" t="n"/>
      <c r="K1880" s="48" t="n"/>
      <c r="L1880" s="51">
        <f>IF(A1880="","",DATE(YEAR(A1880),MONTH(A1880),1))</f>
        <v/>
      </c>
      <c r="M1880" s="52">
        <f>IF(OR(A1880="",NOT(ISNUMBER(I1880))),"",IF(G1880=Lists!$B$5,I1880/2,IF(G1880=Lists!$B$6,I1880,0)))</f>
        <v/>
      </c>
      <c r="N1880" s="52">
        <f>IF(OR(A1880="",NOT(ISNUMBER(I1880))),"",IF(G1880=Lists!$B$5,I1880/2,IF(G1880=Lists!$B$7,I1880,0)))</f>
        <v/>
      </c>
      <c r="O1880" s="53">
        <f>IF(COUNTA(A1880:K1880)=0,"",IF(OR(A1880="",B1880="",C1880="",D1880="",E1880="",F1880="",G1880="",NOT(ISNUMBER(I1880))),"Incomplete",IF(COUNTIF(Lists!$H$4:$AA$4,C1880)=0,"Check category",IF(COUNTIF(INDEX(Lists!$H$6:$AA$45,0,MATCH(C1880,Lists!$H$4:$AA$4,0)),D1880)=0,"Check sub-category","OK"))))</f>
        <v/>
      </c>
      <c r="P1880">
        <f>IF(ISNUMBER(I1880),I1880+ROW()/10000000,"")</f>
        <v/>
      </c>
      <c r="Q1880">
        <f>IF(AND(ISNUMBER(P1880),ISNUMBER(A1880)),IF(AND(A1880&gt;=Dashboard!$Q$3,A1880&lt;=Dashboard!$Q$4,OR(J1880&lt;&gt;"Yes",Dashboard!$Q$15="Yes")),P1880,""),"")</f>
        <v/>
      </c>
    </row>
    <row r="1881">
      <c r="A1881" s="47" t="n"/>
      <c r="B1881" s="48" t="n"/>
      <c r="C1881" s="48" t="n"/>
      <c r="D1881" s="48" t="n"/>
      <c r="E1881" s="48" t="n"/>
      <c r="F1881" s="48" t="n"/>
      <c r="G1881" s="48" t="n"/>
      <c r="H1881" s="48" t="n"/>
      <c r="I1881" s="49" t="n"/>
      <c r="J1881" s="50" t="n"/>
      <c r="K1881" s="48" t="n"/>
      <c r="L1881" s="51">
        <f>IF(A1881="","",DATE(YEAR(A1881),MONTH(A1881),1))</f>
        <v/>
      </c>
      <c r="M1881" s="52">
        <f>IF(OR(A1881="",NOT(ISNUMBER(I1881))),"",IF(G1881=Lists!$B$5,I1881/2,IF(G1881=Lists!$B$6,I1881,0)))</f>
        <v/>
      </c>
      <c r="N1881" s="52">
        <f>IF(OR(A1881="",NOT(ISNUMBER(I1881))),"",IF(G1881=Lists!$B$5,I1881/2,IF(G1881=Lists!$B$7,I1881,0)))</f>
        <v/>
      </c>
      <c r="O1881" s="53">
        <f>IF(COUNTA(A1881:K1881)=0,"",IF(OR(A1881="",B1881="",C1881="",D1881="",E1881="",F1881="",G1881="",NOT(ISNUMBER(I1881))),"Incomplete",IF(COUNTIF(Lists!$H$4:$AA$4,C1881)=0,"Check category",IF(COUNTIF(INDEX(Lists!$H$6:$AA$45,0,MATCH(C1881,Lists!$H$4:$AA$4,0)),D1881)=0,"Check sub-category","OK"))))</f>
        <v/>
      </c>
      <c r="P1881">
        <f>IF(ISNUMBER(I1881),I1881+ROW()/10000000,"")</f>
        <v/>
      </c>
      <c r="Q1881">
        <f>IF(AND(ISNUMBER(P1881),ISNUMBER(A1881)),IF(AND(A1881&gt;=Dashboard!$Q$3,A1881&lt;=Dashboard!$Q$4,OR(J1881&lt;&gt;"Yes",Dashboard!$Q$15="Yes")),P1881,""),"")</f>
        <v/>
      </c>
    </row>
    <row r="1882">
      <c r="A1882" s="47" t="n"/>
      <c r="B1882" s="48" t="n"/>
      <c r="C1882" s="48" t="n"/>
      <c r="D1882" s="48" t="n"/>
      <c r="E1882" s="48" t="n"/>
      <c r="F1882" s="48" t="n"/>
      <c r="G1882" s="48" t="n"/>
      <c r="H1882" s="48" t="n"/>
      <c r="I1882" s="49" t="n"/>
      <c r="J1882" s="50" t="n"/>
      <c r="K1882" s="48" t="n"/>
      <c r="L1882" s="51">
        <f>IF(A1882="","",DATE(YEAR(A1882),MONTH(A1882),1))</f>
        <v/>
      </c>
      <c r="M1882" s="52">
        <f>IF(OR(A1882="",NOT(ISNUMBER(I1882))),"",IF(G1882=Lists!$B$5,I1882/2,IF(G1882=Lists!$B$6,I1882,0)))</f>
        <v/>
      </c>
      <c r="N1882" s="52">
        <f>IF(OR(A1882="",NOT(ISNUMBER(I1882))),"",IF(G1882=Lists!$B$5,I1882/2,IF(G1882=Lists!$B$7,I1882,0)))</f>
        <v/>
      </c>
      <c r="O1882" s="53">
        <f>IF(COUNTA(A1882:K1882)=0,"",IF(OR(A1882="",B1882="",C1882="",D1882="",E1882="",F1882="",G1882="",NOT(ISNUMBER(I1882))),"Incomplete",IF(COUNTIF(Lists!$H$4:$AA$4,C1882)=0,"Check category",IF(COUNTIF(INDEX(Lists!$H$6:$AA$45,0,MATCH(C1882,Lists!$H$4:$AA$4,0)),D1882)=0,"Check sub-category","OK"))))</f>
        <v/>
      </c>
      <c r="P1882">
        <f>IF(ISNUMBER(I1882),I1882+ROW()/10000000,"")</f>
        <v/>
      </c>
      <c r="Q1882">
        <f>IF(AND(ISNUMBER(P1882),ISNUMBER(A1882)),IF(AND(A1882&gt;=Dashboard!$Q$3,A1882&lt;=Dashboard!$Q$4,OR(J1882&lt;&gt;"Yes",Dashboard!$Q$15="Yes")),P1882,""),"")</f>
        <v/>
      </c>
    </row>
    <row r="1883">
      <c r="A1883" s="47" t="n"/>
      <c r="B1883" s="48" t="n"/>
      <c r="C1883" s="48" t="n"/>
      <c r="D1883" s="48" t="n"/>
      <c r="E1883" s="48" t="n"/>
      <c r="F1883" s="48" t="n"/>
      <c r="G1883" s="48" t="n"/>
      <c r="H1883" s="48" t="n"/>
      <c r="I1883" s="49" t="n"/>
      <c r="J1883" s="50" t="n"/>
      <c r="K1883" s="48" t="n"/>
      <c r="L1883" s="51">
        <f>IF(A1883="","",DATE(YEAR(A1883),MONTH(A1883),1))</f>
        <v/>
      </c>
      <c r="M1883" s="52">
        <f>IF(OR(A1883="",NOT(ISNUMBER(I1883))),"",IF(G1883=Lists!$B$5,I1883/2,IF(G1883=Lists!$B$6,I1883,0)))</f>
        <v/>
      </c>
      <c r="N1883" s="52">
        <f>IF(OR(A1883="",NOT(ISNUMBER(I1883))),"",IF(G1883=Lists!$B$5,I1883/2,IF(G1883=Lists!$B$7,I1883,0)))</f>
        <v/>
      </c>
      <c r="O1883" s="53">
        <f>IF(COUNTA(A1883:K1883)=0,"",IF(OR(A1883="",B1883="",C1883="",D1883="",E1883="",F1883="",G1883="",NOT(ISNUMBER(I1883))),"Incomplete",IF(COUNTIF(Lists!$H$4:$AA$4,C1883)=0,"Check category",IF(COUNTIF(INDEX(Lists!$H$6:$AA$45,0,MATCH(C1883,Lists!$H$4:$AA$4,0)),D1883)=0,"Check sub-category","OK"))))</f>
        <v/>
      </c>
      <c r="P1883">
        <f>IF(ISNUMBER(I1883),I1883+ROW()/10000000,"")</f>
        <v/>
      </c>
      <c r="Q1883">
        <f>IF(AND(ISNUMBER(P1883),ISNUMBER(A1883)),IF(AND(A1883&gt;=Dashboard!$Q$3,A1883&lt;=Dashboard!$Q$4,OR(J1883&lt;&gt;"Yes",Dashboard!$Q$15="Yes")),P1883,""),"")</f>
        <v/>
      </c>
    </row>
    <row r="1884">
      <c r="A1884" s="47" t="n"/>
      <c r="B1884" s="48" t="n"/>
      <c r="C1884" s="48" t="n"/>
      <c r="D1884" s="48" t="n"/>
      <c r="E1884" s="48" t="n"/>
      <c r="F1884" s="48" t="n"/>
      <c r="G1884" s="48" t="n"/>
      <c r="H1884" s="48" t="n"/>
      <c r="I1884" s="49" t="n"/>
      <c r="J1884" s="50" t="n"/>
      <c r="K1884" s="48" t="n"/>
      <c r="L1884" s="51">
        <f>IF(A1884="","",DATE(YEAR(A1884),MONTH(A1884),1))</f>
        <v/>
      </c>
      <c r="M1884" s="52">
        <f>IF(OR(A1884="",NOT(ISNUMBER(I1884))),"",IF(G1884=Lists!$B$5,I1884/2,IF(G1884=Lists!$B$6,I1884,0)))</f>
        <v/>
      </c>
      <c r="N1884" s="52">
        <f>IF(OR(A1884="",NOT(ISNUMBER(I1884))),"",IF(G1884=Lists!$B$5,I1884/2,IF(G1884=Lists!$B$7,I1884,0)))</f>
        <v/>
      </c>
      <c r="O1884" s="53">
        <f>IF(COUNTA(A1884:K1884)=0,"",IF(OR(A1884="",B1884="",C1884="",D1884="",E1884="",F1884="",G1884="",NOT(ISNUMBER(I1884))),"Incomplete",IF(COUNTIF(Lists!$H$4:$AA$4,C1884)=0,"Check category",IF(COUNTIF(INDEX(Lists!$H$6:$AA$45,0,MATCH(C1884,Lists!$H$4:$AA$4,0)),D1884)=0,"Check sub-category","OK"))))</f>
        <v/>
      </c>
      <c r="P1884">
        <f>IF(ISNUMBER(I1884),I1884+ROW()/10000000,"")</f>
        <v/>
      </c>
      <c r="Q1884">
        <f>IF(AND(ISNUMBER(P1884),ISNUMBER(A1884)),IF(AND(A1884&gt;=Dashboard!$Q$3,A1884&lt;=Dashboard!$Q$4,OR(J1884&lt;&gt;"Yes",Dashboard!$Q$15="Yes")),P1884,""),"")</f>
        <v/>
      </c>
    </row>
    <row r="1885">
      <c r="A1885" s="47" t="n"/>
      <c r="B1885" s="48" t="n"/>
      <c r="C1885" s="48" t="n"/>
      <c r="D1885" s="48" t="n"/>
      <c r="E1885" s="48" t="n"/>
      <c r="F1885" s="48" t="n"/>
      <c r="G1885" s="48" t="n"/>
      <c r="H1885" s="48" t="n"/>
      <c r="I1885" s="49" t="n"/>
      <c r="J1885" s="50" t="n"/>
      <c r="K1885" s="48" t="n"/>
      <c r="L1885" s="51">
        <f>IF(A1885="","",DATE(YEAR(A1885),MONTH(A1885),1))</f>
        <v/>
      </c>
      <c r="M1885" s="52">
        <f>IF(OR(A1885="",NOT(ISNUMBER(I1885))),"",IF(G1885=Lists!$B$5,I1885/2,IF(G1885=Lists!$B$6,I1885,0)))</f>
        <v/>
      </c>
      <c r="N1885" s="52">
        <f>IF(OR(A1885="",NOT(ISNUMBER(I1885))),"",IF(G1885=Lists!$B$5,I1885/2,IF(G1885=Lists!$B$7,I1885,0)))</f>
        <v/>
      </c>
      <c r="O1885" s="53">
        <f>IF(COUNTA(A1885:K1885)=0,"",IF(OR(A1885="",B1885="",C1885="",D1885="",E1885="",F1885="",G1885="",NOT(ISNUMBER(I1885))),"Incomplete",IF(COUNTIF(Lists!$H$4:$AA$4,C1885)=0,"Check category",IF(COUNTIF(INDEX(Lists!$H$6:$AA$45,0,MATCH(C1885,Lists!$H$4:$AA$4,0)),D1885)=0,"Check sub-category","OK"))))</f>
        <v/>
      </c>
      <c r="P1885">
        <f>IF(ISNUMBER(I1885),I1885+ROW()/10000000,"")</f>
        <v/>
      </c>
      <c r="Q1885">
        <f>IF(AND(ISNUMBER(P1885),ISNUMBER(A1885)),IF(AND(A1885&gt;=Dashboard!$Q$3,A1885&lt;=Dashboard!$Q$4,OR(J1885&lt;&gt;"Yes",Dashboard!$Q$15="Yes")),P1885,""),"")</f>
        <v/>
      </c>
    </row>
    <row r="1886">
      <c r="A1886" s="47" t="n"/>
      <c r="B1886" s="48" t="n"/>
      <c r="C1886" s="48" t="n"/>
      <c r="D1886" s="48" t="n"/>
      <c r="E1886" s="48" t="n"/>
      <c r="F1886" s="48" t="n"/>
      <c r="G1886" s="48" t="n"/>
      <c r="H1886" s="48" t="n"/>
      <c r="I1886" s="49" t="n"/>
      <c r="J1886" s="50" t="n"/>
      <c r="K1886" s="48" t="n"/>
      <c r="L1886" s="51">
        <f>IF(A1886="","",DATE(YEAR(A1886),MONTH(A1886),1))</f>
        <v/>
      </c>
      <c r="M1886" s="52">
        <f>IF(OR(A1886="",NOT(ISNUMBER(I1886))),"",IF(G1886=Lists!$B$5,I1886/2,IF(G1886=Lists!$B$6,I1886,0)))</f>
        <v/>
      </c>
      <c r="N1886" s="52">
        <f>IF(OR(A1886="",NOT(ISNUMBER(I1886))),"",IF(G1886=Lists!$B$5,I1886/2,IF(G1886=Lists!$B$7,I1886,0)))</f>
        <v/>
      </c>
      <c r="O1886" s="53">
        <f>IF(COUNTA(A1886:K1886)=0,"",IF(OR(A1886="",B1886="",C1886="",D1886="",E1886="",F1886="",G1886="",NOT(ISNUMBER(I1886))),"Incomplete",IF(COUNTIF(Lists!$H$4:$AA$4,C1886)=0,"Check category",IF(COUNTIF(INDEX(Lists!$H$6:$AA$45,0,MATCH(C1886,Lists!$H$4:$AA$4,0)),D1886)=0,"Check sub-category","OK"))))</f>
        <v/>
      </c>
      <c r="P1886">
        <f>IF(ISNUMBER(I1886),I1886+ROW()/10000000,"")</f>
        <v/>
      </c>
      <c r="Q1886">
        <f>IF(AND(ISNUMBER(P1886),ISNUMBER(A1886)),IF(AND(A1886&gt;=Dashboard!$Q$3,A1886&lt;=Dashboard!$Q$4,OR(J1886&lt;&gt;"Yes",Dashboard!$Q$15="Yes")),P1886,""),"")</f>
        <v/>
      </c>
    </row>
    <row r="1887">
      <c r="A1887" s="47" t="n"/>
      <c r="B1887" s="48" t="n"/>
      <c r="C1887" s="48" t="n"/>
      <c r="D1887" s="48" t="n"/>
      <c r="E1887" s="48" t="n"/>
      <c r="F1887" s="48" t="n"/>
      <c r="G1887" s="48" t="n"/>
      <c r="H1887" s="48" t="n"/>
      <c r="I1887" s="49" t="n"/>
      <c r="J1887" s="50" t="n"/>
      <c r="K1887" s="48" t="n"/>
      <c r="L1887" s="51">
        <f>IF(A1887="","",DATE(YEAR(A1887),MONTH(A1887),1))</f>
        <v/>
      </c>
      <c r="M1887" s="52">
        <f>IF(OR(A1887="",NOT(ISNUMBER(I1887))),"",IF(G1887=Lists!$B$5,I1887/2,IF(G1887=Lists!$B$6,I1887,0)))</f>
        <v/>
      </c>
      <c r="N1887" s="52">
        <f>IF(OR(A1887="",NOT(ISNUMBER(I1887))),"",IF(G1887=Lists!$B$5,I1887/2,IF(G1887=Lists!$B$7,I1887,0)))</f>
        <v/>
      </c>
      <c r="O1887" s="53">
        <f>IF(COUNTA(A1887:K1887)=0,"",IF(OR(A1887="",B1887="",C1887="",D1887="",E1887="",F1887="",G1887="",NOT(ISNUMBER(I1887))),"Incomplete",IF(COUNTIF(Lists!$H$4:$AA$4,C1887)=0,"Check category",IF(COUNTIF(INDEX(Lists!$H$6:$AA$45,0,MATCH(C1887,Lists!$H$4:$AA$4,0)),D1887)=0,"Check sub-category","OK"))))</f>
        <v/>
      </c>
      <c r="P1887">
        <f>IF(ISNUMBER(I1887),I1887+ROW()/10000000,"")</f>
        <v/>
      </c>
      <c r="Q1887">
        <f>IF(AND(ISNUMBER(P1887),ISNUMBER(A1887)),IF(AND(A1887&gt;=Dashboard!$Q$3,A1887&lt;=Dashboard!$Q$4,OR(J1887&lt;&gt;"Yes",Dashboard!$Q$15="Yes")),P1887,""),"")</f>
        <v/>
      </c>
    </row>
    <row r="1888">
      <c r="A1888" s="47" t="n"/>
      <c r="B1888" s="48" t="n"/>
      <c r="C1888" s="48" t="n"/>
      <c r="D1888" s="48" t="n"/>
      <c r="E1888" s="48" t="n"/>
      <c r="F1888" s="48" t="n"/>
      <c r="G1888" s="48" t="n"/>
      <c r="H1888" s="48" t="n"/>
      <c r="I1888" s="49" t="n"/>
      <c r="J1888" s="50" t="n"/>
      <c r="K1888" s="48" t="n"/>
      <c r="L1888" s="51">
        <f>IF(A1888="","",DATE(YEAR(A1888),MONTH(A1888),1))</f>
        <v/>
      </c>
      <c r="M1888" s="52">
        <f>IF(OR(A1888="",NOT(ISNUMBER(I1888))),"",IF(G1888=Lists!$B$5,I1888/2,IF(G1888=Lists!$B$6,I1888,0)))</f>
        <v/>
      </c>
      <c r="N1888" s="52">
        <f>IF(OR(A1888="",NOT(ISNUMBER(I1888))),"",IF(G1888=Lists!$B$5,I1888/2,IF(G1888=Lists!$B$7,I1888,0)))</f>
        <v/>
      </c>
      <c r="O1888" s="53">
        <f>IF(COUNTA(A1888:K1888)=0,"",IF(OR(A1888="",B1888="",C1888="",D1888="",E1888="",F1888="",G1888="",NOT(ISNUMBER(I1888))),"Incomplete",IF(COUNTIF(Lists!$H$4:$AA$4,C1888)=0,"Check category",IF(COUNTIF(INDEX(Lists!$H$6:$AA$45,0,MATCH(C1888,Lists!$H$4:$AA$4,0)),D1888)=0,"Check sub-category","OK"))))</f>
        <v/>
      </c>
      <c r="P1888">
        <f>IF(ISNUMBER(I1888),I1888+ROW()/10000000,"")</f>
        <v/>
      </c>
      <c r="Q1888">
        <f>IF(AND(ISNUMBER(P1888),ISNUMBER(A1888)),IF(AND(A1888&gt;=Dashboard!$Q$3,A1888&lt;=Dashboard!$Q$4,OR(J1888&lt;&gt;"Yes",Dashboard!$Q$15="Yes")),P1888,""),"")</f>
        <v/>
      </c>
    </row>
    <row r="1889">
      <c r="A1889" s="47" t="n"/>
      <c r="B1889" s="48" t="n"/>
      <c r="C1889" s="48" t="n"/>
      <c r="D1889" s="48" t="n"/>
      <c r="E1889" s="48" t="n"/>
      <c r="F1889" s="48" t="n"/>
      <c r="G1889" s="48" t="n"/>
      <c r="H1889" s="48" t="n"/>
      <c r="I1889" s="49" t="n"/>
      <c r="J1889" s="50" t="n"/>
      <c r="K1889" s="48" t="n"/>
      <c r="L1889" s="51">
        <f>IF(A1889="","",DATE(YEAR(A1889),MONTH(A1889),1))</f>
        <v/>
      </c>
      <c r="M1889" s="52">
        <f>IF(OR(A1889="",NOT(ISNUMBER(I1889))),"",IF(G1889=Lists!$B$5,I1889/2,IF(G1889=Lists!$B$6,I1889,0)))</f>
        <v/>
      </c>
      <c r="N1889" s="52">
        <f>IF(OR(A1889="",NOT(ISNUMBER(I1889))),"",IF(G1889=Lists!$B$5,I1889/2,IF(G1889=Lists!$B$7,I1889,0)))</f>
        <v/>
      </c>
      <c r="O1889" s="53">
        <f>IF(COUNTA(A1889:K1889)=0,"",IF(OR(A1889="",B1889="",C1889="",D1889="",E1889="",F1889="",G1889="",NOT(ISNUMBER(I1889))),"Incomplete",IF(COUNTIF(Lists!$H$4:$AA$4,C1889)=0,"Check category",IF(COUNTIF(INDEX(Lists!$H$6:$AA$45,0,MATCH(C1889,Lists!$H$4:$AA$4,0)),D1889)=0,"Check sub-category","OK"))))</f>
        <v/>
      </c>
      <c r="P1889">
        <f>IF(ISNUMBER(I1889),I1889+ROW()/10000000,"")</f>
        <v/>
      </c>
      <c r="Q1889">
        <f>IF(AND(ISNUMBER(P1889),ISNUMBER(A1889)),IF(AND(A1889&gt;=Dashboard!$Q$3,A1889&lt;=Dashboard!$Q$4,OR(J1889&lt;&gt;"Yes",Dashboard!$Q$15="Yes")),P1889,""),"")</f>
        <v/>
      </c>
    </row>
    <row r="1890">
      <c r="A1890" s="47" t="n"/>
      <c r="B1890" s="48" t="n"/>
      <c r="C1890" s="48" t="n"/>
      <c r="D1890" s="48" t="n"/>
      <c r="E1890" s="48" t="n"/>
      <c r="F1890" s="48" t="n"/>
      <c r="G1890" s="48" t="n"/>
      <c r="H1890" s="48" t="n"/>
      <c r="I1890" s="49" t="n"/>
      <c r="J1890" s="50" t="n"/>
      <c r="K1890" s="48" t="n"/>
      <c r="L1890" s="51">
        <f>IF(A1890="","",DATE(YEAR(A1890),MONTH(A1890),1))</f>
        <v/>
      </c>
      <c r="M1890" s="52">
        <f>IF(OR(A1890="",NOT(ISNUMBER(I1890))),"",IF(G1890=Lists!$B$5,I1890/2,IF(G1890=Lists!$B$6,I1890,0)))</f>
        <v/>
      </c>
      <c r="N1890" s="52">
        <f>IF(OR(A1890="",NOT(ISNUMBER(I1890))),"",IF(G1890=Lists!$B$5,I1890/2,IF(G1890=Lists!$B$7,I1890,0)))</f>
        <v/>
      </c>
      <c r="O1890" s="53">
        <f>IF(COUNTA(A1890:K1890)=0,"",IF(OR(A1890="",B1890="",C1890="",D1890="",E1890="",F1890="",G1890="",NOT(ISNUMBER(I1890))),"Incomplete",IF(COUNTIF(Lists!$H$4:$AA$4,C1890)=0,"Check category",IF(COUNTIF(INDEX(Lists!$H$6:$AA$45,0,MATCH(C1890,Lists!$H$4:$AA$4,0)),D1890)=0,"Check sub-category","OK"))))</f>
        <v/>
      </c>
      <c r="P1890">
        <f>IF(ISNUMBER(I1890),I1890+ROW()/10000000,"")</f>
        <v/>
      </c>
      <c r="Q1890">
        <f>IF(AND(ISNUMBER(P1890),ISNUMBER(A1890)),IF(AND(A1890&gt;=Dashboard!$Q$3,A1890&lt;=Dashboard!$Q$4,OR(J1890&lt;&gt;"Yes",Dashboard!$Q$15="Yes")),P1890,""),"")</f>
        <v/>
      </c>
    </row>
    <row r="1891">
      <c r="A1891" s="47" t="n"/>
      <c r="B1891" s="48" t="n"/>
      <c r="C1891" s="48" t="n"/>
      <c r="D1891" s="48" t="n"/>
      <c r="E1891" s="48" t="n"/>
      <c r="F1891" s="48" t="n"/>
      <c r="G1891" s="48" t="n"/>
      <c r="H1891" s="48" t="n"/>
      <c r="I1891" s="49" t="n"/>
      <c r="J1891" s="50" t="n"/>
      <c r="K1891" s="48" t="n"/>
      <c r="L1891" s="51">
        <f>IF(A1891="","",DATE(YEAR(A1891),MONTH(A1891),1))</f>
        <v/>
      </c>
      <c r="M1891" s="52">
        <f>IF(OR(A1891="",NOT(ISNUMBER(I1891))),"",IF(G1891=Lists!$B$5,I1891/2,IF(G1891=Lists!$B$6,I1891,0)))</f>
        <v/>
      </c>
      <c r="N1891" s="52">
        <f>IF(OR(A1891="",NOT(ISNUMBER(I1891))),"",IF(G1891=Lists!$B$5,I1891/2,IF(G1891=Lists!$B$7,I1891,0)))</f>
        <v/>
      </c>
      <c r="O1891" s="53">
        <f>IF(COUNTA(A1891:K1891)=0,"",IF(OR(A1891="",B1891="",C1891="",D1891="",E1891="",F1891="",G1891="",NOT(ISNUMBER(I1891))),"Incomplete",IF(COUNTIF(Lists!$H$4:$AA$4,C1891)=0,"Check category",IF(COUNTIF(INDEX(Lists!$H$6:$AA$45,0,MATCH(C1891,Lists!$H$4:$AA$4,0)),D1891)=0,"Check sub-category","OK"))))</f>
        <v/>
      </c>
      <c r="P1891">
        <f>IF(ISNUMBER(I1891),I1891+ROW()/10000000,"")</f>
        <v/>
      </c>
      <c r="Q1891">
        <f>IF(AND(ISNUMBER(P1891),ISNUMBER(A1891)),IF(AND(A1891&gt;=Dashboard!$Q$3,A1891&lt;=Dashboard!$Q$4,OR(J1891&lt;&gt;"Yes",Dashboard!$Q$15="Yes")),P1891,""),"")</f>
        <v/>
      </c>
    </row>
    <row r="1892">
      <c r="A1892" s="47" t="n"/>
      <c r="B1892" s="48" t="n"/>
      <c r="C1892" s="48" t="n"/>
      <c r="D1892" s="48" t="n"/>
      <c r="E1892" s="48" t="n"/>
      <c r="F1892" s="48" t="n"/>
      <c r="G1892" s="48" t="n"/>
      <c r="H1892" s="48" t="n"/>
      <c r="I1892" s="49" t="n"/>
      <c r="J1892" s="50" t="n"/>
      <c r="K1892" s="48" t="n"/>
      <c r="L1892" s="51">
        <f>IF(A1892="","",DATE(YEAR(A1892),MONTH(A1892),1))</f>
        <v/>
      </c>
      <c r="M1892" s="52">
        <f>IF(OR(A1892="",NOT(ISNUMBER(I1892))),"",IF(G1892=Lists!$B$5,I1892/2,IF(G1892=Lists!$B$6,I1892,0)))</f>
        <v/>
      </c>
      <c r="N1892" s="52">
        <f>IF(OR(A1892="",NOT(ISNUMBER(I1892))),"",IF(G1892=Lists!$B$5,I1892/2,IF(G1892=Lists!$B$7,I1892,0)))</f>
        <v/>
      </c>
      <c r="O1892" s="53">
        <f>IF(COUNTA(A1892:K1892)=0,"",IF(OR(A1892="",B1892="",C1892="",D1892="",E1892="",F1892="",G1892="",NOT(ISNUMBER(I1892))),"Incomplete",IF(COUNTIF(Lists!$H$4:$AA$4,C1892)=0,"Check category",IF(COUNTIF(INDEX(Lists!$H$6:$AA$45,0,MATCH(C1892,Lists!$H$4:$AA$4,0)),D1892)=0,"Check sub-category","OK"))))</f>
        <v/>
      </c>
      <c r="P1892">
        <f>IF(ISNUMBER(I1892),I1892+ROW()/10000000,"")</f>
        <v/>
      </c>
      <c r="Q1892">
        <f>IF(AND(ISNUMBER(P1892),ISNUMBER(A1892)),IF(AND(A1892&gt;=Dashboard!$Q$3,A1892&lt;=Dashboard!$Q$4,OR(J1892&lt;&gt;"Yes",Dashboard!$Q$15="Yes")),P1892,""),"")</f>
        <v/>
      </c>
    </row>
    <row r="1893">
      <c r="A1893" s="47" t="n"/>
      <c r="B1893" s="48" t="n"/>
      <c r="C1893" s="48" t="n"/>
      <c r="D1893" s="48" t="n"/>
      <c r="E1893" s="48" t="n"/>
      <c r="F1893" s="48" t="n"/>
      <c r="G1893" s="48" t="n"/>
      <c r="H1893" s="48" t="n"/>
      <c r="I1893" s="49" t="n"/>
      <c r="J1893" s="50" t="n"/>
      <c r="K1893" s="48" t="n"/>
      <c r="L1893" s="51">
        <f>IF(A1893="","",DATE(YEAR(A1893),MONTH(A1893),1))</f>
        <v/>
      </c>
      <c r="M1893" s="52">
        <f>IF(OR(A1893="",NOT(ISNUMBER(I1893))),"",IF(G1893=Lists!$B$5,I1893/2,IF(G1893=Lists!$B$6,I1893,0)))</f>
        <v/>
      </c>
      <c r="N1893" s="52">
        <f>IF(OR(A1893="",NOT(ISNUMBER(I1893))),"",IF(G1893=Lists!$B$5,I1893/2,IF(G1893=Lists!$B$7,I1893,0)))</f>
        <v/>
      </c>
      <c r="O1893" s="53">
        <f>IF(COUNTA(A1893:K1893)=0,"",IF(OR(A1893="",B1893="",C1893="",D1893="",E1893="",F1893="",G1893="",NOT(ISNUMBER(I1893))),"Incomplete",IF(COUNTIF(Lists!$H$4:$AA$4,C1893)=0,"Check category",IF(COUNTIF(INDEX(Lists!$H$6:$AA$45,0,MATCH(C1893,Lists!$H$4:$AA$4,0)),D1893)=0,"Check sub-category","OK"))))</f>
        <v/>
      </c>
      <c r="P1893">
        <f>IF(ISNUMBER(I1893),I1893+ROW()/10000000,"")</f>
        <v/>
      </c>
      <c r="Q1893">
        <f>IF(AND(ISNUMBER(P1893),ISNUMBER(A1893)),IF(AND(A1893&gt;=Dashboard!$Q$3,A1893&lt;=Dashboard!$Q$4,OR(J1893&lt;&gt;"Yes",Dashboard!$Q$15="Yes")),P1893,""),"")</f>
        <v/>
      </c>
    </row>
    <row r="1894">
      <c r="A1894" s="47" t="n"/>
      <c r="B1894" s="48" t="n"/>
      <c r="C1894" s="48" t="n"/>
      <c r="D1894" s="48" t="n"/>
      <c r="E1894" s="48" t="n"/>
      <c r="F1894" s="48" t="n"/>
      <c r="G1894" s="48" t="n"/>
      <c r="H1894" s="48" t="n"/>
      <c r="I1894" s="49" t="n"/>
      <c r="J1894" s="50" t="n"/>
      <c r="K1894" s="48" t="n"/>
      <c r="L1894" s="51">
        <f>IF(A1894="","",DATE(YEAR(A1894),MONTH(A1894),1))</f>
        <v/>
      </c>
      <c r="M1894" s="52">
        <f>IF(OR(A1894="",NOT(ISNUMBER(I1894))),"",IF(G1894=Lists!$B$5,I1894/2,IF(G1894=Lists!$B$6,I1894,0)))</f>
        <v/>
      </c>
      <c r="N1894" s="52">
        <f>IF(OR(A1894="",NOT(ISNUMBER(I1894))),"",IF(G1894=Lists!$B$5,I1894/2,IF(G1894=Lists!$B$7,I1894,0)))</f>
        <v/>
      </c>
      <c r="O1894" s="53">
        <f>IF(COUNTA(A1894:K1894)=0,"",IF(OR(A1894="",B1894="",C1894="",D1894="",E1894="",F1894="",G1894="",NOT(ISNUMBER(I1894))),"Incomplete",IF(COUNTIF(Lists!$H$4:$AA$4,C1894)=0,"Check category",IF(COUNTIF(INDEX(Lists!$H$6:$AA$45,0,MATCH(C1894,Lists!$H$4:$AA$4,0)),D1894)=0,"Check sub-category","OK"))))</f>
        <v/>
      </c>
      <c r="P1894">
        <f>IF(ISNUMBER(I1894),I1894+ROW()/10000000,"")</f>
        <v/>
      </c>
      <c r="Q1894">
        <f>IF(AND(ISNUMBER(P1894),ISNUMBER(A1894)),IF(AND(A1894&gt;=Dashboard!$Q$3,A1894&lt;=Dashboard!$Q$4,OR(J1894&lt;&gt;"Yes",Dashboard!$Q$15="Yes")),P1894,""),"")</f>
        <v/>
      </c>
    </row>
    <row r="1895">
      <c r="A1895" s="47" t="n"/>
      <c r="B1895" s="48" t="n"/>
      <c r="C1895" s="48" t="n"/>
      <c r="D1895" s="48" t="n"/>
      <c r="E1895" s="48" t="n"/>
      <c r="F1895" s="48" t="n"/>
      <c r="G1895" s="48" t="n"/>
      <c r="H1895" s="48" t="n"/>
      <c r="I1895" s="49" t="n"/>
      <c r="J1895" s="50" t="n"/>
      <c r="K1895" s="48" t="n"/>
      <c r="L1895" s="51">
        <f>IF(A1895="","",DATE(YEAR(A1895),MONTH(A1895),1))</f>
        <v/>
      </c>
      <c r="M1895" s="52">
        <f>IF(OR(A1895="",NOT(ISNUMBER(I1895))),"",IF(G1895=Lists!$B$5,I1895/2,IF(G1895=Lists!$B$6,I1895,0)))</f>
        <v/>
      </c>
      <c r="N1895" s="52">
        <f>IF(OR(A1895="",NOT(ISNUMBER(I1895))),"",IF(G1895=Lists!$B$5,I1895/2,IF(G1895=Lists!$B$7,I1895,0)))</f>
        <v/>
      </c>
      <c r="O1895" s="53">
        <f>IF(COUNTA(A1895:K1895)=0,"",IF(OR(A1895="",B1895="",C1895="",D1895="",E1895="",F1895="",G1895="",NOT(ISNUMBER(I1895))),"Incomplete",IF(COUNTIF(Lists!$H$4:$AA$4,C1895)=0,"Check category",IF(COUNTIF(INDEX(Lists!$H$6:$AA$45,0,MATCH(C1895,Lists!$H$4:$AA$4,0)),D1895)=0,"Check sub-category","OK"))))</f>
        <v/>
      </c>
      <c r="P1895">
        <f>IF(ISNUMBER(I1895),I1895+ROW()/10000000,"")</f>
        <v/>
      </c>
      <c r="Q1895">
        <f>IF(AND(ISNUMBER(P1895),ISNUMBER(A1895)),IF(AND(A1895&gt;=Dashboard!$Q$3,A1895&lt;=Dashboard!$Q$4,OR(J1895&lt;&gt;"Yes",Dashboard!$Q$15="Yes")),P1895,""),"")</f>
        <v/>
      </c>
    </row>
    <row r="1896">
      <c r="A1896" s="47" t="n"/>
      <c r="B1896" s="48" t="n"/>
      <c r="C1896" s="48" t="n"/>
      <c r="D1896" s="48" t="n"/>
      <c r="E1896" s="48" t="n"/>
      <c r="F1896" s="48" t="n"/>
      <c r="G1896" s="48" t="n"/>
      <c r="H1896" s="48" t="n"/>
      <c r="I1896" s="49" t="n"/>
      <c r="J1896" s="50" t="n"/>
      <c r="K1896" s="48" t="n"/>
      <c r="L1896" s="51">
        <f>IF(A1896="","",DATE(YEAR(A1896),MONTH(A1896),1))</f>
        <v/>
      </c>
      <c r="M1896" s="52">
        <f>IF(OR(A1896="",NOT(ISNUMBER(I1896))),"",IF(G1896=Lists!$B$5,I1896/2,IF(G1896=Lists!$B$6,I1896,0)))</f>
        <v/>
      </c>
      <c r="N1896" s="52">
        <f>IF(OR(A1896="",NOT(ISNUMBER(I1896))),"",IF(G1896=Lists!$B$5,I1896/2,IF(G1896=Lists!$B$7,I1896,0)))</f>
        <v/>
      </c>
      <c r="O1896" s="53">
        <f>IF(COUNTA(A1896:K1896)=0,"",IF(OR(A1896="",B1896="",C1896="",D1896="",E1896="",F1896="",G1896="",NOT(ISNUMBER(I1896))),"Incomplete",IF(COUNTIF(Lists!$H$4:$AA$4,C1896)=0,"Check category",IF(COUNTIF(INDEX(Lists!$H$6:$AA$45,0,MATCH(C1896,Lists!$H$4:$AA$4,0)),D1896)=0,"Check sub-category","OK"))))</f>
        <v/>
      </c>
      <c r="P1896">
        <f>IF(ISNUMBER(I1896),I1896+ROW()/10000000,"")</f>
        <v/>
      </c>
      <c r="Q1896">
        <f>IF(AND(ISNUMBER(P1896),ISNUMBER(A1896)),IF(AND(A1896&gt;=Dashboard!$Q$3,A1896&lt;=Dashboard!$Q$4,OR(J1896&lt;&gt;"Yes",Dashboard!$Q$15="Yes")),P1896,""),"")</f>
        <v/>
      </c>
    </row>
    <row r="1897">
      <c r="A1897" s="47" t="n"/>
      <c r="B1897" s="48" t="n"/>
      <c r="C1897" s="48" t="n"/>
      <c r="D1897" s="48" t="n"/>
      <c r="E1897" s="48" t="n"/>
      <c r="F1897" s="48" t="n"/>
      <c r="G1897" s="48" t="n"/>
      <c r="H1897" s="48" t="n"/>
      <c r="I1897" s="49" t="n"/>
      <c r="J1897" s="50" t="n"/>
      <c r="K1897" s="48" t="n"/>
      <c r="L1897" s="51">
        <f>IF(A1897="","",DATE(YEAR(A1897),MONTH(A1897),1))</f>
        <v/>
      </c>
      <c r="M1897" s="52">
        <f>IF(OR(A1897="",NOT(ISNUMBER(I1897))),"",IF(G1897=Lists!$B$5,I1897/2,IF(G1897=Lists!$B$6,I1897,0)))</f>
        <v/>
      </c>
      <c r="N1897" s="52">
        <f>IF(OR(A1897="",NOT(ISNUMBER(I1897))),"",IF(G1897=Lists!$B$5,I1897/2,IF(G1897=Lists!$B$7,I1897,0)))</f>
        <v/>
      </c>
      <c r="O1897" s="53">
        <f>IF(COUNTA(A1897:K1897)=0,"",IF(OR(A1897="",B1897="",C1897="",D1897="",E1897="",F1897="",G1897="",NOT(ISNUMBER(I1897))),"Incomplete",IF(COUNTIF(Lists!$H$4:$AA$4,C1897)=0,"Check category",IF(COUNTIF(INDEX(Lists!$H$6:$AA$45,0,MATCH(C1897,Lists!$H$4:$AA$4,0)),D1897)=0,"Check sub-category","OK"))))</f>
        <v/>
      </c>
      <c r="P1897">
        <f>IF(ISNUMBER(I1897),I1897+ROW()/10000000,"")</f>
        <v/>
      </c>
      <c r="Q1897">
        <f>IF(AND(ISNUMBER(P1897),ISNUMBER(A1897)),IF(AND(A1897&gt;=Dashboard!$Q$3,A1897&lt;=Dashboard!$Q$4,OR(J1897&lt;&gt;"Yes",Dashboard!$Q$15="Yes")),P1897,""),"")</f>
        <v/>
      </c>
    </row>
    <row r="1898">
      <c r="A1898" s="47" t="n"/>
      <c r="B1898" s="48" t="n"/>
      <c r="C1898" s="48" t="n"/>
      <c r="D1898" s="48" t="n"/>
      <c r="E1898" s="48" t="n"/>
      <c r="F1898" s="48" t="n"/>
      <c r="G1898" s="48" t="n"/>
      <c r="H1898" s="48" t="n"/>
      <c r="I1898" s="49" t="n"/>
      <c r="J1898" s="50" t="n"/>
      <c r="K1898" s="48" t="n"/>
      <c r="L1898" s="51">
        <f>IF(A1898="","",DATE(YEAR(A1898),MONTH(A1898),1))</f>
        <v/>
      </c>
      <c r="M1898" s="52">
        <f>IF(OR(A1898="",NOT(ISNUMBER(I1898))),"",IF(G1898=Lists!$B$5,I1898/2,IF(G1898=Lists!$B$6,I1898,0)))</f>
        <v/>
      </c>
      <c r="N1898" s="52">
        <f>IF(OR(A1898="",NOT(ISNUMBER(I1898))),"",IF(G1898=Lists!$B$5,I1898/2,IF(G1898=Lists!$B$7,I1898,0)))</f>
        <v/>
      </c>
      <c r="O1898" s="53">
        <f>IF(COUNTA(A1898:K1898)=0,"",IF(OR(A1898="",B1898="",C1898="",D1898="",E1898="",F1898="",G1898="",NOT(ISNUMBER(I1898))),"Incomplete",IF(COUNTIF(Lists!$H$4:$AA$4,C1898)=0,"Check category",IF(COUNTIF(INDEX(Lists!$H$6:$AA$45,0,MATCH(C1898,Lists!$H$4:$AA$4,0)),D1898)=0,"Check sub-category","OK"))))</f>
        <v/>
      </c>
      <c r="P1898">
        <f>IF(ISNUMBER(I1898),I1898+ROW()/10000000,"")</f>
        <v/>
      </c>
      <c r="Q1898">
        <f>IF(AND(ISNUMBER(P1898),ISNUMBER(A1898)),IF(AND(A1898&gt;=Dashboard!$Q$3,A1898&lt;=Dashboard!$Q$4,OR(J1898&lt;&gt;"Yes",Dashboard!$Q$15="Yes")),P1898,""),"")</f>
        <v/>
      </c>
    </row>
    <row r="1899">
      <c r="A1899" s="47" t="n"/>
      <c r="B1899" s="48" t="n"/>
      <c r="C1899" s="48" t="n"/>
      <c r="D1899" s="48" t="n"/>
      <c r="E1899" s="48" t="n"/>
      <c r="F1899" s="48" t="n"/>
      <c r="G1899" s="48" t="n"/>
      <c r="H1899" s="48" t="n"/>
      <c r="I1899" s="49" t="n"/>
      <c r="J1899" s="50" t="n"/>
      <c r="K1899" s="48" t="n"/>
      <c r="L1899" s="51">
        <f>IF(A1899="","",DATE(YEAR(A1899),MONTH(A1899),1))</f>
        <v/>
      </c>
      <c r="M1899" s="52">
        <f>IF(OR(A1899="",NOT(ISNUMBER(I1899))),"",IF(G1899=Lists!$B$5,I1899/2,IF(G1899=Lists!$B$6,I1899,0)))</f>
        <v/>
      </c>
      <c r="N1899" s="52">
        <f>IF(OR(A1899="",NOT(ISNUMBER(I1899))),"",IF(G1899=Lists!$B$5,I1899/2,IF(G1899=Lists!$B$7,I1899,0)))</f>
        <v/>
      </c>
      <c r="O1899" s="53">
        <f>IF(COUNTA(A1899:K1899)=0,"",IF(OR(A1899="",B1899="",C1899="",D1899="",E1899="",F1899="",G1899="",NOT(ISNUMBER(I1899))),"Incomplete",IF(COUNTIF(Lists!$H$4:$AA$4,C1899)=0,"Check category",IF(COUNTIF(INDEX(Lists!$H$6:$AA$45,0,MATCH(C1899,Lists!$H$4:$AA$4,0)),D1899)=0,"Check sub-category","OK"))))</f>
        <v/>
      </c>
      <c r="P1899">
        <f>IF(ISNUMBER(I1899),I1899+ROW()/10000000,"")</f>
        <v/>
      </c>
      <c r="Q1899">
        <f>IF(AND(ISNUMBER(P1899),ISNUMBER(A1899)),IF(AND(A1899&gt;=Dashboard!$Q$3,A1899&lt;=Dashboard!$Q$4,OR(J1899&lt;&gt;"Yes",Dashboard!$Q$15="Yes")),P1899,""),"")</f>
        <v/>
      </c>
    </row>
    <row r="1900">
      <c r="A1900" s="47" t="n"/>
      <c r="B1900" s="48" t="n"/>
      <c r="C1900" s="48" t="n"/>
      <c r="D1900" s="48" t="n"/>
      <c r="E1900" s="48" t="n"/>
      <c r="F1900" s="48" t="n"/>
      <c r="G1900" s="48" t="n"/>
      <c r="H1900" s="48" t="n"/>
      <c r="I1900" s="49" t="n"/>
      <c r="J1900" s="50" t="n"/>
      <c r="K1900" s="48" t="n"/>
      <c r="L1900" s="51">
        <f>IF(A1900="","",DATE(YEAR(A1900),MONTH(A1900),1))</f>
        <v/>
      </c>
      <c r="M1900" s="52">
        <f>IF(OR(A1900="",NOT(ISNUMBER(I1900))),"",IF(G1900=Lists!$B$5,I1900/2,IF(G1900=Lists!$B$6,I1900,0)))</f>
        <v/>
      </c>
      <c r="N1900" s="52">
        <f>IF(OR(A1900="",NOT(ISNUMBER(I1900))),"",IF(G1900=Lists!$B$5,I1900/2,IF(G1900=Lists!$B$7,I1900,0)))</f>
        <v/>
      </c>
      <c r="O1900" s="53">
        <f>IF(COUNTA(A1900:K1900)=0,"",IF(OR(A1900="",B1900="",C1900="",D1900="",E1900="",F1900="",G1900="",NOT(ISNUMBER(I1900))),"Incomplete",IF(COUNTIF(Lists!$H$4:$AA$4,C1900)=0,"Check category",IF(COUNTIF(INDEX(Lists!$H$6:$AA$45,0,MATCH(C1900,Lists!$H$4:$AA$4,0)),D1900)=0,"Check sub-category","OK"))))</f>
        <v/>
      </c>
      <c r="P1900">
        <f>IF(ISNUMBER(I1900),I1900+ROW()/10000000,"")</f>
        <v/>
      </c>
      <c r="Q1900">
        <f>IF(AND(ISNUMBER(P1900),ISNUMBER(A1900)),IF(AND(A1900&gt;=Dashboard!$Q$3,A1900&lt;=Dashboard!$Q$4,OR(J1900&lt;&gt;"Yes",Dashboard!$Q$15="Yes")),P1900,""),"")</f>
        <v/>
      </c>
    </row>
    <row r="1901">
      <c r="A1901" s="47" t="n"/>
      <c r="B1901" s="48" t="n"/>
      <c r="C1901" s="48" t="n"/>
      <c r="D1901" s="48" t="n"/>
      <c r="E1901" s="48" t="n"/>
      <c r="F1901" s="48" t="n"/>
      <c r="G1901" s="48" t="n"/>
      <c r="H1901" s="48" t="n"/>
      <c r="I1901" s="49" t="n"/>
      <c r="J1901" s="50" t="n"/>
      <c r="K1901" s="48" t="n"/>
      <c r="L1901" s="51">
        <f>IF(A1901="","",DATE(YEAR(A1901),MONTH(A1901),1))</f>
        <v/>
      </c>
      <c r="M1901" s="52">
        <f>IF(OR(A1901="",NOT(ISNUMBER(I1901))),"",IF(G1901=Lists!$B$5,I1901/2,IF(G1901=Lists!$B$6,I1901,0)))</f>
        <v/>
      </c>
      <c r="N1901" s="52">
        <f>IF(OR(A1901="",NOT(ISNUMBER(I1901))),"",IF(G1901=Lists!$B$5,I1901/2,IF(G1901=Lists!$B$7,I1901,0)))</f>
        <v/>
      </c>
      <c r="O1901" s="53">
        <f>IF(COUNTA(A1901:K1901)=0,"",IF(OR(A1901="",B1901="",C1901="",D1901="",E1901="",F1901="",G1901="",NOT(ISNUMBER(I1901))),"Incomplete",IF(COUNTIF(Lists!$H$4:$AA$4,C1901)=0,"Check category",IF(COUNTIF(INDEX(Lists!$H$6:$AA$45,0,MATCH(C1901,Lists!$H$4:$AA$4,0)),D1901)=0,"Check sub-category","OK"))))</f>
        <v/>
      </c>
      <c r="P1901">
        <f>IF(ISNUMBER(I1901),I1901+ROW()/10000000,"")</f>
        <v/>
      </c>
      <c r="Q1901">
        <f>IF(AND(ISNUMBER(P1901),ISNUMBER(A1901)),IF(AND(A1901&gt;=Dashboard!$Q$3,A1901&lt;=Dashboard!$Q$4,OR(J1901&lt;&gt;"Yes",Dashboard!$Q$15="Yes")),P1901,""),"")</f>
        <v/>
      </c>
    </row>
    <row r="1902">
      <c r="A1902" s="47" t="n"/>
      <c r="B1902" s="48" t="n"/>
      <c r="C1902" s="48" t="n"/>
      <c r="D1902" s="48" t="n"/>
      <c r="E1902" s="48" t="n"/>
      <c r="F1902" s="48" t="n"/>
      <c r="G1902" s="48" t="n"/>
      <c r="H1902" s="48" t="n"/>
      <c r="I1902" s="49" t="n"/>
      <c r="J1902" s="50" t="n"/>
      <c r="K1902" s="48" t="n"/>
      <c r="L1902" s="51">
        <f>IF(A1902="","",DATE(YEAR(A1902),MONTH(A1902),1))</f>
        <v/>
      </c>
      <c r="M1902" s="52">
        <f>IF(OR(A1902="",NOT(ISNUMBER(I1902))),"",IF(G1902=Lists!$B$5,I1902/2,IF(G1902=Lists!$B$6,I1902,0)))</f>
        <v/>
      </c>
      <c r="N1902" s="52">
        <f>IF(OR(A1902="",NOT(ISNUMBER(I1902))),"",IF(G1902=Lists!$B$5,I1902/2,IF(G1902=Lists!$B$7,I1902,0)))</f>
        <v/>
      </c>
      <c r="O1902" s="53">
        <f>IF(COUNTA(A1902:K1902)=0,"",IF(OR(A1902="",B1902="",C1902="",D1902="",E1902="",F1902="",G1902="",NOT(ISNUMBER(I1902))),"Incomplete",IF(COUNTIF(Lists!$H$4:$AA$4,C1902)=0,"Check category",IF(COUNTIF(INDEX(Lists!$H$6:$AA$45,0,MATCH(C1902,Lists!$H$4:$AA$4,0)),D1902)=0,"Check sub-category","OK"))))</f>
        <v/>
      </c>
      <c r="P1902">
        <f>IF(ISNUMBER(I1902),I1902+ROW()/10000000,"")</f>
        <v/>
      </c>
      <c r="Q1902">
        <f>IF(AND(ISNUMBER(P1902),ISNUMBER(A1902)),IF(AND(A1902&gt;=Dashboard!$Q$3,A1902&lt;=Dashboard!$Q$4,OR(J1902&lt;&gt;"Yes",Dashboard!$Q$15="Yes")),P1902,""),"")</f>
        <v/>
      </c>
    </row>
    <row r="1903">
      <c r="A1903" s="47" t="n"/>
      <c r="B1903" s="48" t="n"/>
      <c r="C1903" s="48" t="n"/>
      <c r="D1903" s="48" t="n"/>
      <c r="E1903" s="48" t="n"/>
      <c r="F1903" s="48" t="n"/>
      <c r="G1903" s="48" t="n"/>
      <c r="H1903" s="48" t="n"/>
      <c r="I1903" s="49" t="n"/>
      <c r="J1903" s="50" t="n"/>
      <c r="K1903" s="48" t="n"/>
      <c r="L1903" s="51">
        <f>IF(A1903="","",DATE(YEAR(A1903),MONTH(A1903),1))</f>
        <v/>
      </c>
      <c r="M1903" s="52">
        <f>IF(OR(A1903="",NOT(ISNUMBER(I1903))),"",IF(G1903=Lists!$B$5,I1903/2,IF(G1903=Lists!$B$6,I1903,0)))</f>
        <v/>
      </c>
      <c r="N1903" s="52">
        <f>IF(OR(A1903="",NOT(ISNUMBER(I1903))),"",IF(G1903=Lists!$B$5,I1903/2,IF(G1903=Lists!$B$7,I1903,0)))</f>
        <v/>
      </c>
      <c r="O1903" s="53">
        <f>IF(COUNTA(A1903:K1903)=0,"",IF(OR(A1903="",B1903="",C1903="",D1903="",E1903="",F1903="",G1903="",NOT(ISNUMBER(I1903))),"Incomplete",IF(COUNTIF(Lists!$H$4:$AA$4,C1903)=0,"Check category",IF(COUNTIF(INDEX(Lists!$H$6:$AA$45,0,MATCH(C1903,Lists!$H$4:$AA$4,0)),D1903)=0,"Check sub-category","OK"))))</f>
        <v/>
      </c>
      <c r="P1903">
        <f>IF(ISNUMBER(I1903),I1903+ROW()/10000000,"")</f>
        <v/>
      </c>
      <c r="Q1903">
        <f>IF(AND(ISNUMBER(P1903),ISNUMBER(A1903)),IF(AND(A1903&gt;=Dashboard!$Q$3,A1903&lt;=Dashboard!$Q$4,OR(J1903&lt;&gt;"Yes",Dashboard!$Q$15="Yes")),P1903,""),"")</f>
        <v/>
      </c>
    </row>
    <row r="1904">
      <c r="A1904" s="47" t="n"/>
      <c r="B1904" s="48" t="n"/>
      <c r="C1904" s="48" t="n"/>
      <c r="D1904" s="48" t="n"/>
      <c r="E1904" s="48" t="n"/>
      <c r="F1904" s="48" t="n"/>
      <c r="G1904" s="48" t="n"/>
      <c r="H1904" s="48" t="n"/>
      <c r="I1904" s="49" t="n"/>
      <c r="J1904" s="50" t="n"/>
      <c r="K1904" s="48" t="n"/>
      <c r="L1904" s="51">
        <f>IF(A1904="","",DATE(YEAR(A1904),MONTH(A1904),1))</f>
        <v/>
      </c>
      <c r="M1904" s="52">
        <f>IF(OR(A1904="",NOT(ISNUMBER(I1904))),"",IF(G1904=Lists!$B$5,I1904/2,IF(G1904=Lists!$B$6,I1904,0)))</f>
        <v/>
      </c>
      <c r="N1904" s="52">
        <f>IF(OR(A1904="",NOT(ISNUMBER(I1904))),"",IF(G1904=Lists!$B$5,I1904/2,IF(G1904=Lists!$B$7,I1904,0)))</f>
        <v/>
      </c>
      <c r="O1904" s="53">
        <f>IF(COUNTA(A1904:K1904)=0,"",IF(OR(A1904="",B1904="",C1904="",D1904="",E1904="",F1904="",G1904="",NOT(ISNUMBER(I1904))),"Incomplete",IF(COUNTIF(Lists!$H$4:$AA$4,C1904)=0,"Check category",IF(COUNTIF(INDEX(Lists!$H$6:$AA$45,0,MATCH(C1904,Lists!$H$4:$AA$4,0)),D1904)=0,"Check sub-category","OK"))))</f>
        <v/>
      </c>
      <c r="P1904">
        <f>IF(ISNUMBER(I1904),I1904+ROW()/10000000,"")</f>
        <v/>
      </c>
      <c r="Q1904">
        <f>IF(AND(ISNUMBER(P1904),ISNUMBER(A1904)),IF(AND(A1904&gt;=Dashboard!$Q$3,A1904&lt;=Dashboard!$Q$4,OR(J1904&lt;&gt;"Yes",Dashboard!$Q$15="Yes")),P1904,""),"")</f>
        <v/>
      </c>
    </row>
    <row r="1905">
      <c r="A1905" s="47" t="n"/>
      <c r="B1905" s="48" t="n"/>
      <c r="C1905" s="48" t="n"/>
      <c r="D1905" s="48" t="n"/>
      <c r="E1905" s="48" t="n"/>
      <c r="F1905" s="48" t="n"/>
      <c r="G1905" s="48" t="n"/>
      <c r="H1905" s="48" t="n"/>
      <c r="I1905" s="49" t="n"/>
      <c r="J1905" s="50" t="n"/>
      <c r="K1905" s="48" t="n"/>
      <c r="L1905" s="51">
        <f>IF(A1905="","",DATE(YEAR(A1905),MONTH(A1905),1))</f>
        <v/>
      </c>
      <c r="M1905" s="52">
        <f>IF(OR(A1905="",NOT(ISNUMBER(I1905))),"",IF(G1905=Lists!$B$5,I1905/2,IF(G1905=Lists!$B$6,I1905,0)))</f>
        <v/>
      </c>
      <c r="N1905" s="52">
        <f>IF(OR(A1905="",NOT(ISNUMBER(I1905))),"",IF(G1905=Lists!$B$5,I1905/2,IF(G1905=Lists!$B$7,I1905,0)))</f>
        <v/>
      </c>
      <c r="O1905" s="53">
        <f>IF(COUNTA(A1905:K1905)=0,"",IF(OR(A1905="",B1905="",C1905="",D1905="",E1905="",F1905="",G1905="",NOT(ISNUMBER(I1905))),"Incomplete",IF(COUNTIF(Lists!$H$4:$AA$4,C1905)=0,"Check category",IF(COUNTIF(INDEX(Lists!$H$6:$AA$45,0,MATCH(C1905,Lists!$H$4:$AA$4,0)),D1905)=0,"Check sub-category","OK"))))</f>
        <v/>
      </c>
      <c r="P1905">
        <f>IF(ISNUMBER(I1905),I1905+ROW()/10000000,"")</f>
        <v/>
      </c>
      <c r="Q1905">
        <f>IF(AND(ISNUMBER(P1905),ISNUMBER(A1905)),IF(AND(A1905&gt;=Dashboard!$Q$3,A1905&lt;=Dashboard!$Q$4,OR(J1905&lt;&gt;"Yes",Dashboard!$Q$15="Yes")),P1905,""),"")</f>
        <v/>
      </c>
    </row>
    <row r="1906">
      <c r="A1906" s="47" t="n"/>
      <c r="B1906" s="48" t="n"/>
      <c r="C1906" s="48" t="n"/>
      <c r="D1906" s="48" t="n"/>
      <c r="E1906" s="48" t="n"/>
      <c r="F1906" s="48" t="n"/>
      <c r="G1906" s="48" t="n"/>
      <c r="H1906" s="48" t="n"/>
      <c r="I1906" s="49" t="n"/>
      <c r="J1906" s="50" t="n"/>
      <c r="K1906" s="48" t="n"/>
      <c r="L1906" s="51">
        <f>IF(A1906="","",DATE(YEAR(A1906),MONTH(A1906),1))</f>
        <v/>
      </c>
      <c r="M1906" s="52">
        <f>IF(OR(A1906="",NOT(ISNUMBER(I1906))),"",IF(G1906=Lists!$B$5,I1906/2,IF(G1906=Lists!$B$6,I1906,0)))</f>
        <v/>
      </c>
      <c r="N1906" s="52">
        <f>IF(OR(A1906="",NOT(ISNUMBER(I1906))),"",IF(G1906=Lists!$B$5,I1906/2,IF(G1906=Lists!$B$7,I1906,0)))</f>
        <v/>
      </c>
      <c r="O1906" s="53">
        <f>IF(COUNTA(A1906:K1906)=0,"",IF(OR(A1906="",B1906="",C1906="",D1906="",E1906="",F1906="",G1906="",NOT(ISNUMBER(I1906))),"Incomplete",IF(COUNTIF(Lists!$H$4:$AA$4,C1906)=0,"Check category",IF(COUNTIF(INDEX(Lists!$H$6:$AA$45,0,MATCH(C1906,Lists!$H$4:$AA$4,0)),D1906)=0,"Check sub-category","OK"))))</f>
        <v/>
      </c>
      <c r="P1906">
        <f>IF(ISNUMBER(I1906),I1906+ROW()/10000000,"")</f>
        <v/>
      </c>
      <c r="Q1906">
        <f>IF(AND(ISNUMBER(P1906),ISNUMBER(A1906)),IF(AND(A1906&gt;=Dashboard!$Q$3,A1906&lt;=Dashboard!$Q$4,OR(J1906&lt;&gt;"Yes",Dashboard!$Q$15="Yes")),P1906,""),"")</f>
        <v/>
      </c>
    </row>
    <row r="1907">
      <c r="A1907" s="47" t="n"/>
      <c r="B1907" s="48" t="n"/>
      <c r="C1907" s="48" t="n"/>
      <c r="D1907" s="48" t="n"/>
      <c r="E1907" s="48" t="n"/>
      <c r="F1907" s="48" t="n"/>
      <c r="G1907" s="48" t="n"/>
      <c r="H1907" s="48" t="n"/>
      <c r="I1907" s="49" t="n"/>
      <c r="J1907" s="50" t="n"/>
      <c r="K1907" s="48" t="n"/>
      <c r="L1907" s="51">
        <f>IF(A1907="","",DATE(YEAR(A1907),MONTH(A1907),1))</f>
        <v/>
      </c>
      <c r="M1907" s="52">
        <f>IF(OR(A1907="",NOT(ISNUMBER(I1907))),"",IF(G1907=Lists!$B$5,I1907/2,IF(G1907=Lists!$B$6,I1907,0)))</f>
        <v/>
      </c>
      <c r="N1907" s="52">
        <f>IF(OR(A1907="",NOT(ISNUMBER(I1907))),"",IF(G1907=Lists!$B$5,I1907/2,IF(G1907=Lists!$B$7,I1907,0)))</f>
        <v/>
      </c>
      <c r="O1907" s="53">
        <f>IF(COUNTA(A1907:K1907)=0,"",IF(OR(A1907="",B1907="",C1907="",D1907="",E1907="",F1907="",G1907="",NOT(ISNUMBER(I1907))),"Incomplete",IF(COUNTIF(Lists!$H$4:$AA$4,C1907)=0,"Check category",IF(COUNTIF(INDEX(Lists!$H$6:$AA$45,0,MATCH(C1907,Lists!$H$4:$AA$4,0)),D1907)=0,"Check sub-category","OK"))))</f>
        <v/>
      </c>
      <c r="P1907">
        <f>IF(ISNUMBER(I1907),I1907+ROW()/10000000,"")</f>
        <v/>
      </c>
      <c r="Q1907">
        <f>IF(AND(ISNUMBER(P1907),ISNUMBER(A1907)),IF(AND(A1907&gt;=Dashboard!$Q$3,A1907&lt;=Dashboard!$Q$4,OR(J1907&lt;&gt;"Yes",Dashboard!$Q$15="Yes")),P1907,""),"")</f>
        <v/>
      </c>
    </row>
    <row r="1908">
      <c r="A1908" s="47" t="n"/>
      <c r="B1908" s="48" t="n"/>
      <c r="C1908" s="48" t="n"/>
      <c r="D1908" s="48" t="n"/>
      <c r="E1908" s="48" t="n"/>
      <c r="F1908" s="48" t="n"/>
      <c r="G1908" s="48" t="n"/>
      <c r="H1908" s="48" t="n"/>
      <c r="I1908" s="49" t="n"/>
      <c r="J1908" s="50" t="n"/>
      <c r="K1908" s="48" t="n"/>
      <c r="L1908" s="51">
        <f>IF(A1908="","",DATE(YEAR(A1908),MONTH(A1908),1))</f>
        <v/>
      </c>
      <c r="M1908" s="52">
        <f>IF(OR(A1908="",NOT(ISNUMBER(I1908))),"",IF(G1908=Lists!$B$5,I1908/2,IF(G1908=Lists!$B$6,I1908,0)))</f>
        <v/>
      </c>
      <c r="N1908" s="52">
        <f>IF(OR(A1908="",NOT(ISNUMBER(I1908))),"",IF(G1908=Lists!$B$5,I1908/2,IF(G1908=Lists!$B$7,I1908,0)))</f>
        <v/>
      </c>
      <c r="O1908" s="53">
        <f>IF(COUNTA(A1908:K1908)=0,"",IF(OR(A1908="",B1908="",C1908="",D1908="",E1908="",F1908="",G1908="",NOT(ISNUMBER(I1908))),"Incomplete",IF(COUNTIF(Lists!$H$4:$AA$4,C1908)=0,"Check category",IF(COUNTIF(INDEX(Lists!$H$6:$AA$45,0,MATCH(C1908,Lists!$H$4:$AA$4,0)),D1908)=0,"Check sub-category","OK"))))</f>
        <v/>
      </c>
      <c r="P1908">
        <f>IF(ISNUMBER(I1908),I1908+ROW()/10000000,"")</f>
        <v/>
      </c>
      <c r="Q1908">
        <f>IF(AND(ISNUMBER(P1908),ISNUMBER(A1908)),IF(AND(A1908&gt;=Dashboard!$Q$3,A1908&lt;=Dashboard!$Q$4,OR(J1908&lt;&gt;"Yes",Dashboard!$Q$15="Yes")),P1908,""),"")</f>
        <v/>
      </c>
    </row>
    <row r="1909">
      <c r="A1909" s="47" t="n"/>
      <c r="B1909" s="48" t="n"/>
      <c r="C1909" s="48" t="n"/>
      <c r="D1909" s="48" t="n"/>
      <c r="E1909" s="48" t="n"/>
      <c r="F1909" s="48" t="n"/>
      <c r="G1909" s="48" t="n"/>
      <c r="H1909" s="48" t="n"/>
      <c r="I1909" s="49" t="n"/>
      <c r="J1909" s="50" t="n"/>
      <c r="K1909" s="48" t="n"/>
      <c r="L1909" s="51">
        <f>IF(A1909="","",DATE(YEAR(A1909),MONTH(A1909),1))</f>
        <v/>
      </c>
      <c r="M1909" s="52">
        <f>IF(OR(A1909="",NOT(ISNUMBER(I1909))),"",IF(G1909=Lists!$B$5,I1909/2,IF(G1909=Lists!$B$6,I1909,0)))</f>
        <v/>
      </c>
      <c r="N1909" s="52">
        <f>IF(OR(A1909="",NOT(ISNUMBER(I1909))),"",IF(G1909=Lists!$B$5,I1909/2,IF(G1909=Lists!$B$7,I1909,0)))</f>
        <v/>
      </c>
      <c r="O1909" s="53">
        <f>IF(COUNTA(A1909:K1909)=0,"",IF(OR(A1909="",B1909="",C1909="",D1909="",E1909="",F1909="",G1909="",NOT(ISNUMBER(I1909))),"Incomplete",IF(COUNTIF(Lists!$H$4:$AA$4,C1909)=0,"Check category",IF(COUNTIF(INDEX(Lists!$H$6:$AA$45,0,MATCH(C1909,Lists!$H$4:$AA$4,0)),D1909)=0,"Check sub-category","OK"))))</f>
        <v/>
      </c>
      <c r="P1909">
        <f>IF(ISNUMBER(I1909),I1909+ROW()/10000000,"")</f>
        <v/>
      </c>
      <c r="Q1909">
        <f>IF(AND(ISNUMBER(P1909),ISNUMBER(A1909)),IF(AND(A1909&gt;=Dashboard!$Q$3,A1909&lt;=Dashboard!$Q$4,OR(J1909&lt;&gt;"Yes",Dashboard!$Q$15="Yes")),P1909,""),"")</f>
        <v/>
      </c>
    </row>
    <row r="1910">
      <c r="A1910" s="47" t="n"/>
      <c r="B1910" s="48" t="n"/>
      <c r="C1910" s="48" t="n"/>
      <c r="D1910" s="48" t="n"/>
      <c r="E1910" s="48" t="n"/>
      <c r="F1910" s="48" t="n"/>
      <c r="G1910" s="48" t="n"/>
      <c r="H1910" s="48" t="n"/>
      <c r="I1910" s="49" t="n"/>
      <c r="J1910" s="50" t="n"/>
      <c r="K1910" s="48" t="n"/>
      <c r="L1910" s="51">
        <f>IF(A1910="","",DATE(YEAR(A1910),MONTH(A1910),1))</f>
        <v/>
      </c>
      <c r="M1910" s="52">
        <f>IF(OR(A1910="",NOT(ISNUMBER(I1910))),"",IF(G1910=Lists!$B$5,I1910/2,IF(G1910=Lists!$B$6,I1910,0)))</f>
        <v/>
      </c>
      <c r="N1910" s="52">
        <f>IF(OR(A1910="",NOT(ISNUMBER(I1910))),"",IF(G1910=Lists!$B$5,I1910/2,IF(G1910=Lists!$B$7,I1910,0)))</f>
        <v/>
      </c>
      <c r="O1910" s="53">
        <f>IF(COUNTA(A1910:K1910)=0,"",IF(OR(A1910="",B1910="",C1910="",D1910="",E1910="",F1910="",G1910="",NOT(ISNUMBER(I1910))),"Incomplete",IF(COUNTIF(Lists!$H$4:$AA$4,C1910)=0,"Check category",IF(COUNTIF(INDEX(Lists!$H$6:$AA$45,0,MATCH(C1910,Lists!$H$4:$AA$4,0)),D1910)=0,"Check sub-category","OK"))))</f>
        <v/>
      </c>
      <c r="P1910">
        <f>IF(ISNUMBER(I1910),I1910+ROW()/10000000,"")</f>
        <v/>
      </c>
      <c r="Q1910">
        <f>IF(AND(ISNUMBER(P1910),ISNUMBER(A1910)),IF(AND(A1910&gt;=Dashboard!$Q$3,A1910&lt;=Dashboard!$Q$4,OR(J1910&lt;&gt;"Yes",Dashboard!$Q$15="Yes")),P1910,""),"")</f>
        <v/>
      </c>
    </row>
    <row r="1911">
      <c r="A1911" s="47" t="n"/>
      <c r="B1911" s="48" t="n"/>
      <c r="C1911" s="48" t="n"/>
      <c r="D1911" s="48" t="n"/>
      <c r="E1911" s="48" t="n"/>
      <c r="F1911" s="48" t="n"/>
      <c r="G1911" s="48" t="n"/>
      <c r="H1911" s="48" t="n"/>
      <c r="I1911" s="49" t="n"/>
      <c r="J1911" s="50" t="n"/>
      <c r="K1911" s="48" t="n"/>
      <c r="L1911" s="51">
        <f>IF(A1911="","",DATE(YEAR(A1911),MONTH(A1911),1))</f>
        <v/>
      </c>
      <c r="M1911" s="52">
        <f>IF(OR(A1911="",NOT(ISNUMBER(I1911))),"",IF(G1911=Lists!$B$5,I1911/2,IF(G1911=Lists!$B$6,I1911,0)))</f>
        <v/>
      </c>
      <c r="N1911" s="52">
        <f>IF(OR(A1911="",NOT(ISNUMBER(I1911))),"",IF(G1911=Lists!$B$5,I1911/2,IF(G1911=Lists!$B$7,I1911,0)))</f>
        <v/>
      </c>
      <c r="O1911" s="53">
        <f>IF(COUNTA(A1911:K1911)=0,"",IF(OR(A1911="",B1911="",C1911="",D1911="",E1911="",F1911="",G1911="",NOT(ISNUMBER(I1911))),"Incomplete",IF(COUNTIF(Lists!$H$4:$AA$4,C1911)=0,"Check category",IF(COUNTIF(INDEX(Lists!$H$6:$AA$45,0,MATCH(C1911,Lists!$H$4:$AA$4,0)),D1911)=0,"Check sub-category","OK"))))</f>
        <v/>
      </c>
      <c r="P1911">
        <f>IF(ISNUMBER(I1911),I1911+ROW()/10000000,"")</f>
        <v/>
      </c>
      <c r="Q1911">
        <f>IF(AND(ISNUMBER(P1911),ISNUMBER(A1911)),IF(AND(A1911&gt;=Dashboard!$Q$3,A1911&lt;=Dashboard!$Q$4,OR(J1911&lt;&gt;"Yes",Dashboard!$Q$15="Yes")),P1911,""),"")</f>
        <v/>
      </c>
    </row>
    <row r="1912">
      <c r="A1912" s="47" t="n"/>
      <c r="B1912" s="48" t="n"/>
      <c r="C1912" s="48" t="n"/>
      <c r="D1912" s="48" t="n"/>
      <c r="E1912" s="48" t="n"/>
      <c r="F1912" s="48" t="n"/>
      <c r="G1912" s="48" t="n"/>
      <c r="H1912" s="48" t="n"/>
      <c r="I1912" s="49" t="n"/>
      <c r="J1912" s="50" t="n"/>
      <c r="K1912" s="48" t="n"/>
      <c r="L1912" s="51">
        <f>IF(A1912="","",DATE(YEAR(A1912),MONTH(A1912),1))</f>
        <v/>
      </c>
      <c r="M1912" s="52">
        <f>IF(OR(A1912="",NOT(ISNUMBER(I1912))),"",IF(G1912=Lists!$B$5,I1912/2,IF(G1912=Lists!$B$6,I1912,0)))</f>
        <v/>
      </c>
      <c r="N1912" s="52">
        <f>IF(OR(A1912="",NOT(ISNUMBER(I1912))),"",IF(G1912=Lists!$B$5,I1912/2,IF(G1912=Lists!$B$7,I1912,0)))</f>
        <v/>
      </c>
      <c r="O1912" s="53">
        <f>IF(COUNTA(A1912:K1912)=0,"",IF(OR(A1912="",B1912="",C1912="",D1912="",E1912="",F1912="",G1912="",NOT(ISNUMBER(I1912))),"Incomplete",IF(COUNTIF(Lists!$H$4:$AA$4,C1912)=0,"Check category",IF(COUNTIF(INDEX(Lists!$H$6:$AA$45,0,MATCH(C1912,Lists!$H$4:$AA$4,0)),D1912)=0,"Check sub-category","OK"))))</f>
        <v/>
      </c>
      <c r="P1912">
        <f>IF(ISNUMBER(I1912),I1912+ROW()/10000000,"")</f>
        <v/>
      </c>
      <c r="Q1912">
        <f>IF(AND(ISNUMBER(P1912),ISNUMBER(A1912)),IF(AND(A1912&gt;=Dashboard!$Q$3,A1912&lt;=Dashboard!$Q$4,OR(J1912&lt;&gt;"Yes",Dashboard!$Q$15="Yes")),P1912,""),"")</f>
        <v/>
      </c>
    </row>
    <row r="1913">
      <c r="A1913" s="47" t="n"/>
      <c r="B1913" s="48" t="n"/>
      <c r="C1913" s="48" t="n"/>
      <c r="D1913" s="48" t="n"/>
      <c r="E1913" s="48" t="n"/>
      <c r="F1913" s="48" t="n"/>
      <c r="G1913" s="48" t="n"/>
      <c r="H1913" s="48" t="n"/>
      <c r="I1913" s="49" t="n"/>
      <c r="J1913" s="50" t="n"/>
      <c r="K1913" s="48" t="n"/>
      <c r="L1913" s="51">
        <f>IF(A1913="","",DATE(YEAR(A1913),MONTH(A1913),1))</f>
        <v/>
      </c>
      <c r="M1913" s="52">
        <f>IF(OR(A1913="",NOT(ISNUMBER(I1913))),"",IF(G1913=Lists!$B$5,I1913/2,IF(G1913=Lists!$B$6,I1913,0)))</f>
        <v/>
      </c>
      <c r="N1913" s="52">
        <f>IF(OR(A1913="",NOT(ISNUMBER(I1913))),"",IF(G1913=Lists!$B$5,I1913/2,IF(G1913=Lists!$B$7,I1913,0)))</f>
        <v/>
      </c>
      <c r="O1913" s="53">
        <f>IF(COUNTA(A1913:K1913)=0,"",IF(OR(A1913="",B1913="",C1913="",D1913="",E1913="",F1913="",G1913="",NOT(ISNUMBER(I1913))),"Incomplete",IF(COUNTIF(Lists!$H$4:$AA$4,C1913)=0,"Check category",IF(COUNTIF(INDEX(Lists!$H$6:$AA$45,0,MATCH(C1913,Lists!$H$4:$AA$4,0)),D1913)=0,"Check sub-category","OK"))))</f>
        <v/>
      </c>
      <c r="P1913">
        <f>IF(ISNUMBER(I1913),I1913+ROW()/10000000,"")</f>
        <v/>
      </c>
      <c r="Q1913">
        <f>IF(AND(ISNUMBER(P1913),ISNUMBER(A1913)),IF(AND(A1913&gt;=Dashboard!$Q$3,A1913&lt;=Dashboard!$Q$4,OR(J1913&lt;&gt;"Yes",Dashboard!$Q$15="Yes")),P1913,""),"")</f>
        <v/>
      </c>
    </row>
    <row r="1914">
      <c r="A1914" s="47" t="n"/>
      <c r="B1914" s="48" t="n"/>
      <c r="C1914" s="48" t="n"/>
      <c r="D1914" s="48" t="n"/>
      <c r="E1914" s="48" t="n"/>
      <c r="F1914" s="48" t="n"/>
      <c r="G1914" s="48" t="n"/>
      <c r="H1914" s="48" t="n"/>
      <c r="I1914" s="49" t="n"/>
      <c r="J1914" s="50" t="n"/>
      <c r="K1914" s="48" t="n"/>
      <c r="L1914" s="51">
        <f>IF(A1914="","",DATE(YEAR(A1914),MONTH(A1914),1))</f>
        <v/>
      </c>
      <c r="M1914" s="52">
        <f>IF(OR(A1914="",NOT(ISNUMBER(I1914))),"",IF(G1914=Lists!$B$5,I1914/2,IF(G1914=Lists!$B$6,I1914,0)))</f>
        <v/>
      </c>
      <c r="N1914" s="52">
        <f>IF(OR(A1914="",NOT(ISNUMBER(I1914))),"",IF(G1914=Lists!$B$5,I1914/2,IF(G1914=Lists!$B$7,I1914,0)))</f>
        <v/>
      </c>
      <c r="O1914" s="53">
        <f>IF(COUNTA(A1914:K1914)=0,"",IF(OR(A1914="",B1914="",C1914="",D1914="",E1914="",F1914="",G1914="",NOT(ISNUMBER(I1914))),"Incomplete",IF(COUNTIF(Lists!$H$4:$AA$4,C1914)=0,"Check category",IF(COUNTIF(INDEX(Lists!$H$6:$AA$45,0,MATCH(C1914,Lists!$H$4:$AA$4,0)),D1914)=0,"Check sub-category","OK"))))</f>
        <v/>
      </c>
      <c r="P1914">
        <f>IF(ISNUMBER(I1914),I1914+ROW()/10000000,"")</f>
        <v/>
      </c>
      <c r="Q1914">
        <f>IF(AND(ISNUMBER(P1914),ISNUMBER(A1914)),IF(AND(A1914&gt;=Dashboard!$Q$3,A1914&lt;=Dashboard!$Q$4,OR(J1914&lt;&gt;"Yes",Dashboard!$Q$15="Yes")),P1914,""),"")</f>
        <v/>
      </c>
    </row>
    <row r="1915">
      <c r="A1915" s="47" t="n"/>
      <c r="B1915" s="48" t="n"/>
      <c r="C1915" s="48" t="n"/>
      <c r="D1915" s="48" t="n"/>
      <c r="E1915" s="48" t="n"/>
      <c r="F1915" s="48" t="n"/>
      <c r="G1915" s="48" t="n"/>
      <c r="H1915" s="48" t="n"/>
      <c r="I1915" s="49" t="n"/>
      <c r="J1915" s="50" t="n"/>
      <c r="K1915" s="48" t="n"/>
      <c r="L1915" s="51">
        <f>IF(A1915="","",DATE(YEAR(A1915),MONTH(A1915),1))</f>
        <v/>
      </c>
      <c r="M1915" s="52">
        <f>IF(OR(A1915="",NOT(ISNUMBER(I1915))),"",IF(G1915=Lists!$B$5,I1915/2,IF(G1915=Lists!$B$6,I1915,0)))</f>
        <v/>
      </c>
      <c r="N1915" s="52">
        <f>IF(OR(A1915="",NOT(ISNUMBER(I1915))),"",IF(G1915=Lists!$B$5,I1915/2,IF(G1915=Lists!$B$7,I1915,0)))</f>
        <v/>
      </c>
      <c r="O1915" s="53">
        <f>IF(COUNTA(A1915:K1915)=0,"",IF(OR(A1915="",B1915="",C1915="",D1915="",E1915="",F1915="",G1915="",NOT(ISNUMBER(I1915))),"Incomplete",IF(COUNTIF(Lists!$H$4:$AA$4,C1915)=0,"Check category",IF(COUNTIF(INDEX(Lists!$H$6:$AA$45,0,MATCH(C1915,Lists!$H$4:$AA$4,0)),D1915)=0,"Check sub-category","OK"))))</f>
        <v/>
      </c>
      <c r="P1915">
        <f>IF(ISNUMBER(I1915),I1915+ROW()/10000000,"")</f>
        <v/>
      </c>
      <c r="Q1915">
        <f>IF(AND(ISNUMBER(P1915),ISNUMBER(A1915)),IF(AND(A1915&gt;=Dashboard!$Q$3,A1915&lt;=Dashboard!$Q$4,OR(J1915&lt;&gt;"Yes",Dashboard!$Q$15="Yes")),P1915,""),"")</f>
        <v/>
      </c>
    </row>
    <row r="1916">
      <c r="A1916" s="47" t="n"/>
      <c r="B1916" s="48" t="n"/>
      <c r="C1916" s="48" t="n"/>
      <c r="D1916" s="48" t="n"/>
      <c r="E1916" s="48" t="n"/>
      <c r="F1916" s="48" t="n"/>
      <c r="G1916" s="48" t="n"/>
      <c r="H1916" s="48" t="n"/>
      <c r="I1916" s="49" t="n"/>
      <c r="J1916" s="50" t="n"/>
      <c r="K1916" s="48" t="n"/>
      <c r="L1916" s="51">
        <f>IF(A1916="","",DATE(YEAR(A1916),MONTH(A1916),1))</f>
        <v/>
      </c>
      <c r="M1916" s="52">
        <f>IF(OR(A1916="",NOT(ISNUMBER(I1916))),"",IF(G1916=Lists!$B$5,I1916/2,IF(G1916=Lists!$B$6,I1916,0)))</f>
        <v/>
      </c>
      <c r="N1916" s="52">
        <f>IF(OR(A1916="",NOT(ISNUMBER(I1916))),"",IF(G1916=Lists!$B$5,I1916/2,IF(G1916=Lists!$B$7,I1916,0)))</f>
        <v/>
      </c>
      <c r="O1916" s="53">
        <f>IF(COUNTA(A1916:K1916)=0,"",IF(OR(A1916="",B1916="",C1916="",D1916="",E1916="",F1916="",G1916="",NOT(ISNUMBER(I1916))),"Incomplete",IF(COUNTIF(Lists!$H$4:$AA$4,C1916)=0,"Check category",IF(COUNTIF(INDEX(Lists!$H$6:$AA$45,0,MATCH(C1916,Lists!$H$4:$AA$4,0)),D1916)=0,"Check sub-category","OK"))))</f>
        <v/>
      </c>
      <c r="P1916">
        <f>IF(ISNUMBER(I1916),I1916+ROW()/10000000,"")</f>
        <v/>
      </c>
      <c r="Q1916">
        <f>IF(AND(ISNUMBER(P1916),ISNUMBER(A1916)),IF(AND(A1916&gt;=Dashboard!$Q$3,A1916&lt;=Dashboard!$Q$4,OR(J1916&lt;&gt;"Yes",Dashboard!$Q$15="Yes")),P1916,""),"")</f>
        <v/>
      </c>
    </row>
    <row r="1917">
      <c r="A1917" s="47" t="n"/>
      <c r="B1917" s="48" t="n"/>
      <c r="C1917" s="48" t="n"/>
      <c r="D1917" s="48" t="n"/>
      <c r="E1917" s="48" t="n"/>
      <c r="F1917" s="48" t="n"/>
      <c r="G1917" s="48" t="n"/>
      <c r="H1917" s="48" t="n"/>
      <c r="I1917" s="49" t="n"/>
      <c r="J1917" s="50" t="n"/>
      <c r="K1917" s="48" t="n"/>
      <c r="L1917" s="51">
        <f>IF(A1917="","",DATE(YEAR(A1917),MONTH(A1917),1))</f>
        <v/>
      </c>
      <c r="M1917" s="52">
        <f>IF(OR(A1917="",NOT(ISNUMBER(I1917))),"",IF(G1917=Lists!$B$5,I1917/2,IF(G1917=Lists!$B$6,I1917,0)))</f>
        <v/>
      </c>
      <c r="N1917" s="52">
        <f>IF(OR(A1917="",NOT(ISNUMBER(I1917))),"",IF(G1917=Lists!$B$5,I1917/2,IF(G1917=Lists!$B$7,I1917,0)))</f>
        <v/>
      </c>
      <c r="O1917" s="53">
        <f>IF(COUNTA(A1917:K1917)=0,"",IF(OR(A1917="",B1917="",C1917="",D1917="",E1917="",F1917="",G1917="",NOT(ISNUMBER(I1917))),"Incomplete",IF(COUNTIF(Lists!$H$4:$AA$4,C1917)=0,"Check category",IF(COUNTIF(INDEX(Lists!$H$6:$AA$45,0,MATCH(C1917,Lists!$H$4:$AA$4,0)),D1917)=0,"Check sub-category","OK"))))</f>
        <v/>
      </c>
      <c r="P1917">
        <f>IF(ISNUMBER(I1917),I1917+ROW()/10000000,"")</f>
        <v/>
      </c>
      <c r="Q1917">
        <f>IF(AND(ISNUMBER(P1917),ISNUMBER(A1917)),IF(AND(A1917&gt;=Dashboard!$Q$3,A1917&lt;=Dashboard!$Q$4,OR(J1917&lt;&gt;"Yes",Dashboard!$Q$15="Yes")),P1917,""),"")</f>
        <v/>
      </c>
    </row>
    <row r="1918">
      <c r="A1918" s="47" t="n"/>
      <c r="B1918" s="48" t="n"/>
      <c r="C1918" s="48" t="n"/>
      <c r="D1918" s="48" t="n"/>
      <c r="E1918" s="48" t="n"/>
      <c r="F1918" s="48" t="n"/>
      <c r="G1918" s="48" t="n"/>
      <c r="H1918" s="48" t="n"/>
      <c r="I1918" s="49" t="n"/>
      <c r="J1918" s="50" t="n"/>
      <c r="K1918" s="48" t="n"/>
      <c r="L1918" s="51">
        <f>IF(A1918="","",DATE(YEAR(A1918),MONTH(A1918),1))</f>
        <v/>
      </c>
      <c r="M1918" s="52">
        <f>IF(OR(A1918="",NOT(ISNUMBER(I1918))),"",IF(G1918=Lists!$B$5,I1918/2,IF(G1918=Lists!$B$6,I1918,0)))</f>
        <v/>
      </c>
      <c r="N1918" s="52">
        <f>IF(OR(A1918="",NOT(ISNUMBER(I1918))),"",IF(G1918=Lists!$B$5,I1918/2,IF(G1918=Lists!$B$7,I1918,0)))</f>
        <v/>
      </c>
      <c r="O1918" s="53">
        <f>IF(COUNTA(A1918:K1918)=0,"",IF(OR(A1918="",B1918="",C1918="",D1918="",E1918="",F1918="",G1918="",NOT(ISNUMBER(I1918))),"Incomplete",IF(COUNTIF(Lists!$H$4:$AA$4,C1918)=0,"Check category",IF(COUNTIF(INDEX(Lists!$H$6:$AA$45,0,MATCH(C1918,Lists!$H$4:$AA$4,0)),D1918)=0,"Check sub-category","OK"))))</f>
        <v/>
      </c>
      <c r="P1918">
        <f>IF(ISNUMBER(I1918),I1918+ROW()/10000000,"")</f>
        <v/>
      </c>
      <c r="Q1918">
        <f>IF(AND(ISNUMBER(P1918),ISNUMBER(A1918)),IF(AND(A1918&gt;=Dashboard!$Q$3,A1918&lt;=Dashboard!$Q$4,OR(J1918&lt;&gt;"Yes",Dashboard!$Q$15="Yes")),P1918,""),"")</f>
        <v/>
      </c>
    </row>
    <row r="1919">
      <c r="A1919" s="47" t="n"/>
      <c r="B1919" s="48" t="n"/>
      <c r="C1919" s="48" t="n"/>
      <c r="D1919" s="48" t="n"/>
      <c r="E1919" s="48" t="n"/>
      <c r="F1919" s="48" t="n"/>
      <c r="G1919" s="48" t="n"/>
      <c r="H1919" s="48" t="n"/>
      <c r="I1919" s="49" t="n"/>
      <c r="J1919" s="50" t="n"/>
      <c r="K1919" s="48" t="n"/>
      <c r="L1919" s="51">
        <f>IF(A1919="","",DATE(YEAR(A1919),MONTH(A1919),1))</f>
        <v/>
      </c>
      <c r="M1919" s="52">
        <f>IF(OR(A1919="",NOT(ISNUMBER(I1919))),"",IF(G1919=Lists!$B$5,I1919/2,IF(G1919=Lists!$B$6,I1919,0)))</f>
        <v/>
      </c>
      <c r="N1919" s="52">
        <f>IF(OR(A1919="",NOT(ISNUMBER(I1919))),"",IF(G1919=Lists!$B$5,I1919/2,IF(G1919=Lists!$B$7,I1919,0)))</f>
        <v/>
      </c>
      <c r="O1919" s="53">
        <f>IF(COUNTA(A1919:K1919)=0,"",IF(OR(A1919="",B1919="",C1919="",D1919="",E1919="",F1919="",G1919="",NOT(ISNUMBER(I1919))),"Incomplete",IF(COUNTIF(Lists!$H$4:$AA$4,C1919)=0,"Check category",IF(COUNTIF(INDEX(Lists!$H$6:$AA$45,0,MATCH(C1919,Lists!$H$4:$AA$4,0)),D1919)=0,"Check sub-category","OK"))))</f>
        <v/>
      </c>
      <c r="P1919">
        <f>IF(ISNUMBER(I1919),I1919+ROW()/10000000,"")</f>
        <v/>
      </c>
      <c r="Q1919">
        <f>IF(AND(ISNUMBER(P1919),ISNUMBER(A1919)),IF(AND(A1919&gt;=Dashboard!$Q$3,A1919&lt;=Dashboard!$Q$4,OR(J1919&lt;&gt;"Yes",Dashboard!$Q$15="Yes")),P1919,""),"")</f>
        <v/>
      </c>
    </row>
    <row r="1920">
      <c r="A1920" s="47" t="n"/>
      <c r="B1920" s="48" t="n"/>
      <c r="C1920" s="48" t="n"/>
      <c r="D1920" s="48" t="n"/>
      <c r="E1920" s="48" t="n"/>
      <c r="F1920" s="48" t="n"/>
      <c r="G1920" s="48" t="n"/>
      <c r="H1920" s="48" t="n"/>
      <c r="I1920" s="49" t="n"/>
      <c r="J1920" s="50" t="n"/>
      <c r="K1920" s="48" t="n"/>
      <c r="L1920" s="51">
        <f>IF(A1920="","",DATE(YEAR(A1920),MONTH(A1920),1))</f>
        <v/>
      </c>
      <c r="M1920" s="52">
        <f>IF(OR(A1920="",NOT(ISNUMBER(I1920))),"",IF(G1920=Lists!$B$5,I1920/2,IF(G1920=Lists!$B$6,I1920,0)))</f>
        <v/>
      </c>
      <c r="N1920" s="52">
        <f>IF(OR(A1920="",NOT(ISNUMBER(I1920))),"",IF(G1920=Lists!$B$5,I1920/2,IF(G1920=Lists!$B$7,I1920,0)))</f>
        <v/>
      </c>
      <c r="O1920" s="53">
        <f>IF(COUNTA(A1920:K1920)=0,"",IF(OR(A1920="",B1920="",C1920="",D1920="",E1920="",F1920="",G1920="",NOT(ISNUMBER(I1920))),"Incomplete",IF(COUNTIF(Lists!$H$4:$AA$4,C1920)=0,"Check category",IF(COUNTIF(INDEX(Lists!$H$6:$AA$45,0,MATCH(C1920,Lists!$H$4:$AA$4,0)),D1920)=0,"Check sub-category","OK"))))</f>
        <v/>
      </c>
      <c r="P1920">
        <f>IF(ISNUMBER(I1920),I1920+ROW()/10000000,"")</f>
        <v/>
      </c>
      <c r="Q1920">
        <f>IF(AND(ISNUMBER(P1920),ISNUMBER(A1920)),IF(AND(A1920&gt;=Dashboard!$Q$3,A1920&lt;=Dashboard!$Q$4,OR(J1920&lt;&gt;"Yes",Dashboard!$Q$15="Yes")),P1920,""),"")</f>
        <v/>
      </c>
    </row>
    <row r="1921">
      <c r="A1921" s="47" t="n"/>
      <c r="B1921" s="48" t="n"/>
      <c r="C1921" s="48" t="n"/>
      <c r="D1921" s="48" t="n"/>
      <c r="E1921" s="48" t="n"/>
      <c r="F1921" s="48" t="n"/>
      <c r="G1921" s="48" t="n"/>
      <c r="H1921" s="48" t="n"/>
      <c r="I1921" s="49" t="n"/>
      <c r="J1921" s="50" t="n"/>
      <c r="K1921" s="48" t="n"/>
      <c r="L1921" s="51">
        <f>IF(A1921="","",DATE(YEAR(A1921),MONTH(A1921),1))</f>
        <v/>
      </c>
      <c r="M1921" s="52">
        <f>IF(OR(A1921="",NOT(ISNUMBER(I1921))),"",IF(G1921=Lists!$B$5,I1921/2,IF(G1921=Lists!$B$6,I1921,0)))</f>
        <v/>
      </c>
      <c r="N1921" s="52">
        <f>IF(OR(A1921="",NOT(ISNUMBER(I1921))),"",IF(G1921=Lists!$B$5,I1921/2,IF(G1921=Lists!$B$7,I1921,0)))</f>
        <v/>
      </c>
      <c r="O1921" s="53">
        <f>IF(COUNTA(A1921:K1921)=0,"",IF(OR(A1921="",B1921="",C1921="",D1921="",E1921="",F1921="",G1921="",NOT(ISNUMBER(I1921))),"Incomplete",IF(COUNTIF(Lists!$H$4:$AA$4,C1921)=0,"Check category",IF(COUNTIF(INDEX(Lists!$H$6:$AA$45,0,MATCH(C1921,Lists!$H$4:$AA$4,0)),D1921)=0,"Check sub-category","OK"))))</f>
        <v/>
      </c>
      <c r="P1921">
        <f>IF(ISNUMBER(I1921),I1921+ROW()/10000000,"")</f>
        <v/>
      </c>
      <c r="Q1921">
        <f>IF(AND(ISNUMBER(P1921),ISNUMBER(A1921)),IF(AND(A1921&gt;=Dashboard!$Q$3,A1921&lt;=Dashboard!$Q$4,OR(J1921&lt;&gt;"Yes",Dashboard!$Q$15="Yes")),P1921,""),"")</f>
        <v/>
      </c>
    </row>
    <row r="1922">
      <c r="A1922" s="47" t="n"/>
      <c r="B1922" s="48" t="n"/>
      <c r="C1922" s="48" t="n"/>
      <c r="D1922" s="48" t="n"/>
      <c r="E1922" s="48" t="n"/>
      <c r="F1922" s="48" t="n"/>
      <c r="G1922" s="48" t="n"/>
      <c r="H1922" s="48" t="n"/>
      <c r="I1922" s="49" t="n"/>
      <c r="J1922" s="50" t="n"/>
      <c r="K1922" s="48" t="n"/>
      <c r="L1922" s="51">
        <f>IF(A1922="","",DATE(YEAR(A1922),MONTH(A1922),1))</f>
        <v/>
      </c>
      <c r="M1922" s="52">
        <f>IF(OR(A1922="",NOT(ISNUMBER(I1922))),"",IF(G1922=Lists!$B$5,I1922/2,IF(G1922=Lists!$B$6,I1922,0)))</f>
        <v/>
      </c>
      <c r="N1922" s="52">
        <f>IF(OR(A1922="",NOT(ISNUMBER(I1922))),"",IF(G1922=Lists!$B$5,I1922/2,IF(G1922=Lists!$B$7,I1922,0)))</f>
        <v/>
      </c>
      <c r="O1922" s="53">
        <f>IF(COUNTA(A1922:K1922)=0,"",IF(OR(A1922="",B1922="",C1922="",D1922="",E1922="",F1922="",G1922="",NOT(ISNUMBER(I1922))),"Incomplete",IF(COUNTIF(Lists!$H$4:$AA$4,C1922)=0,"Check category",IF(COUNTIF(INDEX(Lists!$H$6:$AA$45,0,MATCH(C1922,Lists!$H$4:$AA$4,0)),D1922)=0,"Check sub-category","OK"))))</f>
        <v/>
      </c>
      <c r="P1922">
        <f>IF(ISNUMBER(I1922),I1922+ROW()/10000000,"")</f>
        <v/>
      </c>
      <c r="Q1922">
        <f>IF(AND(ISNUMBER(P1922),ISNUMBER(A1922)),IF(AND(A1922&gt;=Dashboard!$Q$3,A1922&lt;=Dashboard!$Q$4,OR(J1922&lt;&gt;"Yes",Dashboard!$Q$15="Yes")),P1922,""),"")</f>
        <v/>
      </c>
    </row>
    <row r="1923">
      <c r="A1923" s="47" t="n"/>
      <c r="B1923" s="48" t="n"/>
      <c r="C1923" s="48" t="n"/>
      <c r="D1923" s="48" t="n"/>
      <c r="E1923" s="48" t="n"/>
      <c r="F1923" s="48" t="n"/>
      <c r="G1923" s="48" t="n"/>
      <c r="H1923" s="48" t="n"/>
      <c r="I1923" s="49" t="n"/>
      <c r="J1923" s="50" t="n"/>
      <c r="K1923" s="48" t="n"/>
      <c r="L1923" s="51">
        <f>IF(A1923="","",DATE(YEAR(A1923),MONTH(A1923),1))</f>
        <v/>
      </c>
      <c r="M1923" s="52">
        <f>IF(OR(A1923="",NOT(ISNUMBER(I1923))),"",IF(G1923=Lists!$B$5,I1923/2,IF(G1923=Lists!$B$6,I1923,0)))</f>
        <v/>
      </c>
      <c r="N1923" s="52">
        <f>IF(OR(A1923="",NOT(ISNUMBER(I1923))),"",IF(G1923=Lists!$B$5,I1923/2,IF(G1923=Lists!$B$7,I1923,0)))</f>
        <v/>
      </c>
      <c r="O1923" s="53">
        <f>IF(COUNTA(A1923:K1923)=0,"",IF(OR(A1923="",B1923="",C1923="",D1923="",E1923="",F1923="",G1923="",NOT(ISNUMBER(I1923))),"Incomplete",IF(COUNTIF(Lists!$H$4:$AA$4,C1923)=0,"Check category",IF(COUNTIF(INDEX(Lists!$H$6:$AA$45,0,MATCH(C1923,Lists!$H$4:$AA$4,0)),D1923)=0,"Check sub-category","OK"))))</f>
        <v/>
      </c>
      <c r="P1923">
        <f>IF(ISNUMBER(I1923),I1923+ROW()/10000000,"")</f>
        <v/>
      </c>
      <c r="Q1923">
        <f>IF(AND(ISNUMBER(P1923),ISNUMBER(A1923)),IF(AND(A1923&gt;=Dashboard!$Q$3,A1923&lt;=Dashboard!$Q$4,OR(J1923&lt;&gt;"Yes",Dashboard!$Q$15="Yes")),P1923,""),"")</f>
        <v/>
      </c>
    </row>
    <row r="1924">
      <c r="A1924" s="47" t="n"/>
      <c r="B1924" s="48" t="n"/>
      <c r="C1924" s="48" t="n"/>
      <c r="D1924" s="48" t="n"/>
      <c r="E1924" s="48" t="n"/>
      <c r="F1924" s="48" t="n"/>
      <c r="G1924" s="48" t="n"/>
      <c r="H1924" s="48" t="n"/>
      <c r="I1924" s="49" t="n"/>
      <c r="J1924" s="50" t="n"/>
      <c r="K1924" s="48" t="n"/>
      <c r="L1924" s="51">
        <f>IF(A1924="","",DATE(YEAR(A1924),MONTH(A1924),1))</f>
        <v/>
      </c>
      <c r="M1924" s="52">
        <f>IF(OR(A1924="",NOT(ISNUMBER(I1924))),"",IF(G1924=Lists!$B$5,I1924/2,IF(G1924=Lists!$B$6,I1924,0)))</f>
        <v/>
      </c>
      <c r="N1924" s="52">
        <f>IF(OR(A1924="",NOT(ISNUMBER(I1924))),"",IF(G1924=Lists!$B$5,I1924/2,IF(G1924=Lists!$B$7,I1924,0)))</f>
        <v/>
      </c>
      <c r="O1924" s="53">
        <f>IF(COUNTA(A1924:K1924)=0,"",IF(OR(A1924="",B1924="",C1924="",D1924="",E1924="",F1924="",G1924="",NOT(ISNUMBER(I1924))),"Incomplete",IF(COUNTIF(Lists!$H$4:$AA$4,C1924)=0,"Check category",IF(COUNTIF(INDEX(Lists!$H$6:$AA$45,0,MATCH(C1924,Lists!$H$4:$AA$4,0)),D1924)=0,"Check sub-category","OK"))))</f>
        <v/>
      </c>
      <c r="P1924">
        <f>IF(ISNUMBER(I1924),I1924+ROW()/10000000,"")</f>
        <v/>
      </c>
      <c r="Q1924">
        <f>IF(AND(ISNUMBER(P1924),ISNUMBER(A1924)),IF(AND(A1924&gt;=Dashboard!$Q$3,A1924&lt;=Dashboard!$Q$4,OR(J1924&lt;&gt;"Yes",Dashboard!$Q$15="Yes")),P1924,""),"")</f>
        <v/>
      </c>
    </row>
    <row r="1925">
      <c r="A1925" s="47" t="n"/>
      <c r="B1925" s="48" t="n"/>
      <c r="C1925" s="48" t="n"/>
      <c r="D1925" s="48" t="n"/>
      <c r="E1925" s="48" t="n"/>
      <c r="F1925" s="48" t="n"/>
      <c r="G1925" s="48" t="n"/>
      <c r="H1925" s="48" t="n"/>
      <c r="I1925" s="49" t="n"/>
      <c r="J1925" s="50" t="n"/>
      <c r="K1925" s="48" t="n"/>
      <c r="L1925" s="51">
        <f>IF(A1925="","",DATE(YEAR(A1925),MONTH(A1925),1))</f>
        <v/>
      </c>
      <c r="M1925" s="52">
        <f>IF(OR(A1925="",NOT(ISNUMBER(I1925))),"",IF(G1925=Lists!$B$5,I1925/2,IF(G1925=Lists!$B$6,I1925,0)))</f>
        <v/>
      </c>
      <c r="N1925" s="52">
        <f>IF(OR(A1925="",NOT(ISNUMBER(I1925))),"",IF(G1925=Lists!$B$5,I1925/2,IF(G1925=Lists!$B$7,I1925,0)))</f>
        <v/>
      </c>
      <c r="O1925" s="53">
        <f>IF(COUNTA(A1925:K1925)=0,"",IF(OR(A1925="",B1925="",C1925="",D1925="",E1925="",F1925="",G1925="",NOT(ISNUMBER(I1925))),"Incomplete",IF(COUNTIF(Lists!$H$4:$AA$4,C1925)=0,"Check category",IF(COUNTIF(INDEX(Lists!$H$6:$AA$45,0,MATCH(C1925,Lists!$H$4:$AA$4,0)),D1925)=0,"Check sub-category","OK"))))</f>
        <v/>
      </c>
      <c r="P1925">
        <f>IF(ISNUMBER(I1925),I1925+ROW()/10000000,"")</f>
        <v/>
      </c>
      <c r="Q1925">
        <f>IF(AND(ISNUMBER(P1925),ISNUMBER(A1925)),IF(AND(A1925&gt;=Dashboard!$Q$3,A1925&lt;=Dashboard!$Q$4,OR(J1925&lt;&gt;"Yes",Dashboard!$Q$15="Yes")),P1925,""),"")</f>
        <v/>
      </c>
    </row>
    <row r="1926">
      <c r="A1926" s="47" t="n"/>
      <c r="B1926" s="48" t="n"/>
      <c r="C1926" s="48" t="n"/>
      <c r="D1926" s="48" t="n"/>
      <c r="E1926" s="48" t="n"/>
      <c r="F1926" s="48" t="n"/>
      <c r="G1926" s="48" t="n"/>
      <c r="H1926" s="48" t="n"/>
      <c r="I1926" s="49" t="n"/>
      <c r="J1926" s="50" t="n"/>
      <c r="K1926" s="48" t="n"/>
      <c r="L1926" s="51">
        <f>IF(A1926="","",DATE(YEAR(A1926),MONTH(A1926),1))</f>
        <v/>
      </c>
      <c r="M1926" s="52">
        <f>IF(OR(A1926="",NOT(ISNUMBER(I1926))),"",IF(G1926=Lists!$B$5,I1926/2,IF(G1926=Lists!$B$6,I1926,0)))</f>
        <v/>
      </c>
      <c r="N1926" s="52">
        <f>IF(OR(A1926="",NOT(ISNUMBER(I1926))),"",IF(G1926=Lists!$B$5,I1926/2,IF(G1926=Lists!$B$7,I1926,0)))</f>
        <v/>
      </c>
      <c r="O1926" s="53">
        <f>IF(COUNTA(A1926:K1926)=0,"",IF(OR(A1926="",B1926="",C1926="",D1926="",E1926="",F1926="",G1926="",NOT(ISNUMBER(I1926))),"Incomplete",IF(COUNTIF(Lists!$H$4:$AA$4,C1926)=0,"Check category",IF(COUNTIF(INDEX(Lists!$H$6:$AA$45,0,MATCH(C1926,Lists!$H$4:$AA$4,0)),D1926)=0,"Check sub-category","OK"))))</f>
        <v/>
      </c>
      <c r="P1926">
        <f>IF(ISNUMBER(I1926),I1926+ROW()/10000000,"")</f>
        <v/>
      </c>
      <c r="Q1926">
        <f>IF(AND(ISNUMBER(P1926),ISNUMBER(A1926)),IF(AND(A1926&gt;=Dashboard!$Q$3,A1926&lt;=Dashboard!$Q$4,OR(J1926&lt;&gt;"Yes",Dashboard!$Q$15="Yes")),P1926,""),"")</f>
        <v/>
      </c>
    </row>
    <row r="1927">
      <c r="A1927" s="47" t="n"/>
      <c r="B1927" s="48" t="n"/>
      <c r="C1927" s="48" t="n"/>
      <c r="D1927" s="48" t="n"/>
      <c r="E1927" s="48" t="n"/>
      <c r="F1927" s="48" t="n"/>
      <c r="G1927" s="48" t="n"/>
      <c r="H1927" s="48" t="n"/>
      <c r="I1927" s="49" t="n"/>
      <c r="J1927" s="50" t="n"/>
      <c r="K1927" s="48" t="n"/>
      <c r="L1927" s="51">
        <f>IF(A1927="","",DATE(YEAR(A1927),MONTH(A1927),1))</f>
        <v/>
      </c>
      <c r="M1927" s="52">
        <f>IF(OR(A1927="",NOT(ISNUMBER(I1927))),"",IF(G1927=Lists!$B$5,I1927/2,IF(G1927=Lists!$B$6,I1927,0)))</f>
        <v/>
      </c>
      <c r="N1927" s="52">
        <f>IF(OR(A1927="",NOT(ISNUMBER(I1927))),"",IF(G1927=Lists!$B$5,I1927/2,IF(G1927=Lists!$B$7,I1927,0)))</f>
        <v/>
      </c>
      <c r="O1927" s="53">
        <f>IF(COUNTA(A1927:K1927)=0,"",IF(OR(A1927="",B1927="",C1927="",D1927="",E1927="",F1927="",G1927="",NOT(ISNUMBER(I1927))),"Incomplete",IF(COUNTIF(Lists!$H$4:$AA$4,C1927)=0,"Check category",IF(COUNTIF(INDEX(Lists!$H$6:$AA$45,0,MATCH(C1927,Lists!$H$4:$AA$4,0)),D1927)=0,"Check sub-category","OK"))))</f>
        <v/>
      </c>
      <c r="P1927">
        <f>IF(ISNUMBER(I1927),I1927+ROW()/10000000,"")</f>
        <v/>
      </c>
      <c r="Q1927">
        <f>IF(AND(ISNUMBER(P1927),ISNUMBER(A1927)),IF(AND(A1927&gt;=Dashboard!$Q$3,A1927&lt;=Dashboard!$Q$4,OR(J1927&lt;&gt;"Yes",Dashboard!$Q$15="Yes")),P1927,""),"")</f>
        <v/>
      </c>
    </row>
    <row r="1928">
      <c r="A1928" s="47" t="n"/>
      <c r="B1928" s="48" t="n"/>
      <c r="C1928" s="48" t="n"/>
      <c r="D1928" s="48" t="n"/>
      <c r="E1928" s="48" t="n"/>
      <c r="F1928" s="48" t="n"/>
      <c r="G1928" s="48" t="n"/>
      <c r="H1928" s="48" t="n"/>
      <c r="I1928" s="49" t="n"/>
      <c r="J1928" s="50" t="n"/>
      <c r="K1928" s="48" t="n"/>
      <c r="L1928" s="51">
        <f>IF(A1928="","",DATE(YEAR(A1928),MONTH(A1928),1))</f>
        <v/>
      </c>
      <c r="M1928" s="52">
        <f>IF(OR(A1928="",NOT(ISNUMBER(I1928))),"",IF(G1928=Lists!$B$5,I1928/2,IF(G1928=Lists!$B$6,I1928,0)))</f>
        <v/>
      </c>
      <c r="N1928" s="52">
        <f>IF(OR(A1928="",NOT(ISNUMBER(I1928))),"",IF(G1928=Lists!$B$5,I1928/2,IF(G1928=Lists!$B$7,I1928,0)))</f>
        <v/>
      </c>
      <c r="O1928" s="53">
        <f>IF(COUNTA(A1928:K1928)=0,"",IF(OR(A1928="",B1928="",C1928="",D1928="",E1928="",F1928="",G1928="",NOT(ISNUMBER(I1928))),"Incomplete",IF(COUNTIF(Lists!$H$4:$AA$4,C1928)=0,"Check category",IF(COUNTIF(INDEX(Lists!$H$6:$AA$45,0,MATCH(C1928,Lists!$H$4:$AA$4,0)),D1928)=0,"Check sub-category","OK"))))</f>
        <v/>
      </c>
      <c r="P1928">
        <f>IF(ISNUMBER(I1928),I1928+ROW()/10000000,"")</f>
        <v/>
      </c>
      <c r="Q1928">
        <f>IF(AND(ISNUMBER(P1928),ISNUMBER(A1928)),IF(AND(A1928&gt;=Dashboard!$Q$3,A1928&lt;=Dashboard!$Q$4,OR(J1928&lt;&gt;"Yes",Dashboard!$Q$15="Yes")),P1928,""),"")</f>
        <v/>
      </c>
    </row>
    <row r="1929">
      <c r="A1929" s="47" t="n"/>
      <c r="B1929" s="48" t="n"/>
      <c r="C1929" s="48" t="n"/>
      <c r="D1929" s="48" t="n"/>
      <c r="E1929" s="48" t="n"/>
      <c r="F1929" s="48" t="n"/>
      <c r="G1929" s="48" t="n"/>
      <c r="H1929" s="48" t="n"/>
      <c r="I1929" s="49" t="n"/>
      <c r="J1929" s="50" t="n"/>
      <c r="K1929" s="48" t="n"/>
      <c r="L1929" s="51">
        <f>IF(A1929="","",DATE(YEAR(A1929),MONTH(A1929),1))</f>
        <v/>
      </c>
      <c r="M1929" s="52">
        <f>IF(OR(A1929="",NOT(ISNUMBER(I1929))),"",IF(G1929=Lists!$B$5,I1929/2,IF(G1929=Lists!$B$6,I1929,0)))</f>
        <v/>
      </c>
      <c r="N1929" s="52">
        <f>IF(OR(A1929="",NOT(ISNUMBER(I1929))),"",IF(G1929=Lists!$B$5,I1929/2,IF(G1929=Lists!$B$7,I1929,0)))</f>
        <v/>
      </c>
      <c r="O1929" s="53">
        <f>IF(COUNTA(A1929:K1929)=0,"",IF(OR(A1929="",B1929="",C1929="",D1929="",E1929="",F1929="",G1929="",NOT(ISNUMBER(I1929))),"Incomplete",IF(COUNTIF(Lists!$H$4:$AA$4,C1929)=0,"Check category",IF(COUNTIF(INDEX(Lists!$H$6:$AA$45,0,MATCH(C1929,Lists!$H$4:$AA$4,0)),D1929)=0,"Check sub-category","OK"))))</f>
        <v/>
      </c>
      <c r="P1929">
        <f>IF(ISNUMBER(I1929),I1929+ROW()/10000000,"")</f>
        <v/>
      </c>
      <c r="Q1929">
        <f>IF(AND(ISNUMBER(P1929),ISNUMBER(A1929)),IF(AND(A1929&gt;=Dashboard!$Q$3,A1929&lt;=Dashboard!$Q$4,OR(J1929&lt;&gt;"Yes",Dashboard!$Q$15="Yes")),P1929,""),"")</f>
        <v/>
      </c>
    </row>
    <row r="1930">
      <c r="A1930" s="47" t="n"/>
      <c r="B1930" s="48" t="n"/>
      <c r="C1930" s="48" t="n"/>
      <c r="D1930" s="48" t="n"/>
      <c r="E1930" s="48" t="n"/>
      <c r="F1930" s="48" t="n"/>
      <c r="G1930" s="48" t="n"/>
      <c r="H1930" s="48" t="n"/>
      <c r="I1930" s="49" t="n"/>
      <c r="J1930" s="50" t="n"/>
      <c r="K1930" s="48" t="n"/>
      <c r="L1930" s="51">
        <f>IF(A1930="","",DATE(YEAR(A1930),MONTH(A1930),1))</f>
        <v/>
      </c>
      <c r="M1930" s="52">
        <f>IF(OR(A1930="",NOT(ISNUMBER(I1930))),"",IF(G1930=Lists!$B$5,I1930/2,IF(G1930=Lists!$B$6,I1930,0)))</f>
        <v/>
      </c>
      <c r="N1930" s="52">
        <f>IF(OR(A1930="",NOT(ISNUMBER(I1930))),"",IF(G1930=Lists!$B$5,I1930/2,IF(G1930=Lists!$B$7,I1930,0)))</f>
        <v/>
      </c>
      <c r="O1930" s="53">
        <f>IF(COUNTA(A1930:K1930)=0,"",IF(OR(A1930="",B1930="",C1930="",D1930="",E1930="",F1930="",G1930="",NOT(ISNUMBER(I1930))),"Incomplete",IF(COUNTIF(Lists!$H$4:$AA$4,C1930)=0,"Check category",IF(COUNTIF(INDEX(Lists!$H$6:$AA$45,0,MATCH(C1930,Lists!$H$4:$AA$4,0)),D1930)=0,"Check sub-category","OK"))))</f>
        <v/>
      </c>
      <c r="P1930">
        <f>IF(ISNUMBER(I1930),I1930+ROW()/10000000,"")</f>
        <v/>
      </c>
      <c r="Q1930">
        <f>IF(AND(ISNUMBER(P1930),ISNUMBER(A1930)),IF(AND(A1930&gt;=Dashboard!$Q$3,A1930&lt;=Dashboard!$Q$4,OR(J1930&lt;&gt;"Yes",Dashboard!$Q$15="Yes")),P1930,""),"")</f>
        <v/>
      </c>
    </row>
    <row r="1931">
      <c r="A1931" s="47" t="n"/>
      <c r="B1931" s="48" t="n"/>
      <c r="C1931" s="48" t="n"/>
      <c r="D1931" s="48" t="n"/>
      <c r="E1931" s="48" t="n"/>
      <c r="F1931" s="48" t="n"/>
      <c r="G1931" s="48" t="n"/>
      <c r="H1931" s="48" t="n"/>
      <c r="I1931" s="49" t="n"/>
      <c r="J1931" s="50" t="n"/>
      <c r="K1931" s="48" t="n"/>
      <c r="L1931" s="51">
        <f>IF(A1931="","",DATE(YEAR(A1931),MONTH(A1931),1))</f>
        <v/>
      </c>
      <c r="M1931" s="52">
        <f>IF(OR(A1931="",NOT(ISNUMBER(I1931))),"",IF(G1931=Lists!$B$5,I1931/2,IF(G1931=Lists!$B$6,I1931,0)))</f>
        <v/>
      </c>
      <c r="N1931" s="52">
        <f>IF(OR(A1931="",NOT(ISNUMBER(I1931))),"",IF(G1931=Lists!$B$5,I1931/2,IF(G1931=Lists!$B$7,I1931,0)))</f>
        <v/>
      </c>
      <c r="O1931" s="53">
        <f>IF(COUNTA(A1931:K1931)=0,"",IF(OR(A1931="",B1931="",C1931="",D1931="",E1931="",F1931="",G1931="",NOT(ISNUMBER(I1931))),"Incomplete",IF(COUNTIF(Lists!$H$4:$AA$4,C1931)=0,"Check category",IF(COUNTIF(INDEX(Lists!$H$6:$AA$45,0,MATCH(C1931,Lists!$H$4:$AA$4,0)),D1931)=0,"Check sub-category","OK"))))</f>
        <v/>
      </c>
      <c r="P1931">
        <f>IF(ISNUMBER(I1931),I1931+ROW()/10000000,"")</f>
        <v/>
      </c>
      <c r="Q1931">
        <f>IF(AND(ISNUMBER(P1931),ISNUMBER(A1931)),IF(AND(A1931&gt;=Dashboard!$Q$3,A1931&lt;=Dashboard!$Q$4,OR(J1931&lt;&gt;"Yes",Dashboard!$Q$15="Yes")),P1931,""),"")</f>
        <v/>
      </c>
    </row>
    <row r="1932">
      <c r="A1932" s="47" t="n"/>
      <c r="B1932" s="48" t="n"/>
      <c r="C1932" s="48" t="n"/>
      <c r="D1932" s="48" t="n"/>
      <c r="E1932" s="48" t="n"/>
      <c r="F1932" s="48" t="n"/>
      <c r="G1932" s="48" t="n"/>
      <c r="H1932" s="48" t="n"/>
      <c r="I1932" s="49" t="n"/>
      <c r="J1932" s="50" t="n"/>
      <c r="K1932" s="48" t="n"/>
      <c r="L1932" s="51">
        <f>IF(A1932="","",DATE(YEAR(A1932),MONTH(A1932),1))</f>
        <v/>
      </c>
      <c r="M1932" s="52">
        <f>IF(OR(A1932="",NOT(ISNUMBER(I1932))),"",IF(G1932=Lists!$B$5,I1932/2,IF(G1932=Lists!$B$6,I1932,0)))</f>
        <v/>
      </c>
      <c r="N1932" s="52">
        <f>IF(OR(A1932="",NOT(ISNUMBER(I1932))),"",IF(G1932=Lists!$B$5,I1932/2,IF(G1932=Lists!$B$7,I1932,0)))</f>
        <v/>
      </c>
      <c r="O1932" s="53">
        <f>IF(COUNTA(A1932:K1932)=0,"",IF(OR(A1932="",B1932="",C1932="",D1932="",E1932="",F1932="",G1932="",NOT(ISNUMBER(I1932))),"Incomplete",IF(COUNTIF(Lists!$H$4:$AA$4,C1932)=0,"Check category",IF(COUNTIF(INDEX(Lists!$H$6:$AA$45,0,MATCH(C1932,Lists!$H$4:$AA$4,0)),D1932)=0,"Check sub-category","OK"))))</f>
        <v/>
      </c>
      <c r="P1932">
        <f>IF(ISNUMBER(I1932),I1932+ROW()/10000000,"")</f>
        <v/>
      </c>
      <c r="Q1932">
        <f>IF(AND(ISNUMBER(P1932),ISNUMBER(A1932)),IF(AND(A1932&gt;=Dashboard!$Q$3,A1932&lt;=Dashboard!$Q$4,OR(J1932&lt;&gt;"Yes",Dashboard!$Q$15="Yes")),P1932,""),"")</f>
        <v/>
      </c>
    </row>
    <row r="1933">
      <c r="A1933" s="47" t="n"/>
      <c r="B1933" s="48" t="n"/>
      <c r="C1933" s="48" t="n"/>
      <c r="D1933" s="48" t="n"/>
      <c r="E1933" s="48" t="n"/>
      <c r="F1933" s="48" t="n"/>
      <c r="G1933" s="48" t="n"/>
      <c r="H1933" s="48" t="n"/>
      <c r="I1933" s="49" t="n"/>
      <c r="J1933" s="50" t="n"/>
      <c r="K1933" s="48" t="n"/>
      <c r="L1933" s="51">
        <f>IF(A1933="","",DATE(YEAR(A1933),MONTH(A1933),1))</f>
        <v/>
      </c>
      <c r="M1933" s="52">
        <f>IF(OR(A1933="",NOT(ISNUMBER(I1933))),"",IF(G1933=Lists!$B$5,I1933/2,IF(G1933=Lists!$B$6,I1933,0)))</f>
        <v/>
      </c>
      <c r="N1933" s="52">
        <f>IF(OR(A1933="",NOT(ISNUMBER(I1933))),"",IF(G1933=Lists!$B$5,I1933/2,IF(G1933=Lists!$B$7,I1933,0)))</f>
        <v/>
      </c>
      <c r="O1933" s="53">
        <f>IF(COUNTA(A1933:K1933)=0,"",IF(OR(A1933="",B1933="",C1933="",D1933="",E1933="",F1933="",G1933="",NOT(ISNUMBER(I1933))),"Incomplete",IF(COUNTIF(Lists!$H$4:$AA$4,C1933)=0,"Check category",IF(COUNTIF(INDEX(Lists!$H$6:$AA$45,0,MATCH(C1933,Lists!$H$4:$AA$4,0)),D1933)=0,"Check sub-category","OK"))))</f>
        <v/>
      </c>
      <c r="P1933">
        <f>IF(ISNUMBER(I1933),I1933+ROW()/10000000,"")</f>
        <v/>
      </c>
      <c r="Q1933">
        <f>IF(AND(ISNUMBER(P1933),ISNUMBER(A1933)),IF(AND(A1933&gt;=Dashboard!$Q$3,A1933&lt;=Dashboard!$Q$4,OR(J1933&lt;&gt;"Yes",Dashboard!$Q$15="Yes")),P1933,""),"")</f>
        <v/>
      </c>
    </row>
    <row r="1934">
      <c r="A1934" s="47" t="n"/>
      <c r="B1934" s="48" t="n"/>
      <c r="C1934" s="48" t="n"/>
      <c r="D1934" s="48" t="n"/>
      <c r="E1934" s="48" t="n"/>
      <c r="F1934" s="48" t="n"/>
      <c r="G1934" s="48" t="n"/>
      <c r="H1934" s="48" t="n"/>
      <c r="I1934" s="49" t="n"/>
      <c r="J1934" s="50" t="n"/>
      <c r="K1934" s="48" t="n"/>
      <c r="L1934" s="51">
        <f>IF(A1934="","",DATE(YEAR(A1934),MONTH(A1934),1))</f>
        <v/>
      </c>
      <c r="M1934" s="52">
        <f>IF(OR(A1934="",NOT(ISNUMBER(I1934))),"",IF(G1934=Lists!$B$5,I1934/2,IF(G1934=Lists!$B$6,I1934,0)))</f>
        <v/>
      </c>
      <c r="N1934" s="52">
        <f>IF(OR(A1934="",NOT(ISNUMBER(I1934))),"",IF(G1934=Lists!$B$5,I1934/2,IF(G1934=Lists!$B$7,I1934,0)))</f>
        <v/>
      </c>
      <c r="O1934" s="53">
        <f>IF(COUNTA(A1934:K1934)=0,"",IF(OR(A1934="",B1934="",C1934="",D1934="",E1934="",F1934="",G1934="",NOT(ISNUMBER(I1934))),"Incomplete",IF(COUNTIF(Lists!$H$4:$AA$4,C1934)=0,"Check category",IF(COUNTIF(INDEX(Lists!$H$6:$AA$45,0,MATCH(C1934,Lists!$H$4:$AA$4,0)),D1934)=0,"Check sub-category","OK"))))</f>
        <v/>
      </c>
      <c r="P1934">
        <f>IF(ISNUMBER(I1934),I1934+ROW()/10000000,"")</f>
        <v/>
      </c>
      <c r="Q1934">
        <f>IF(AND(ISNUMBER(P1934),ISNUMBER(A1934)),IF(AND(A1934&gt;=Dashboard!$Q$3,A1934&lt;=Dashboard!$Q$4,OR(J1934&lt;&gt;"Yes",Dashboard!$Q$15="Yes")),P1934,""),"")</f>
        <v/>
      </c>
    </row>
    <row r="1935">
      <c r="A1935" s="47" t="n"/>
      <c r="B1935" s="48" t="n"/>
      <c r="C1935" s="48" t="n"/>
      <c r="D1935" s="48" t="n"/>
      <c r="E1935" s="48" t="n"/>
      <c r="F1935" s="48" t="n"/>
      <c r="G1935" s="48" t="n"/>
      <c r="H1935" s="48" t="n"/>
      <c r="I1935" s="49" t="n"/>
      <c r="J1935" s="50" t="n"/>
      <c r="K1935" s="48" t="n"/>
      <c r="L1935" s="51">
        <f>IF(A1935="","",DATE(YEAR(A1935),MONTH(A1935),1))</f>
        <v/>
      </c>
      <c r="M1935" s="52">
        <f>IF(OR(A1935="",NOT(ISNUMBER(I1935))),"",IF(G1935=Lists!$B$5,I1935/2,IF(G1935=Lists!$B$6,I1935,0)))</f>
        <v/>
      </c>
      <c r="N1935" s="52">
        <f>IF(OR(A1935="",NOT(ISNUMBER(I1935))),"",IF(G1935=Lists!$B$5,I1935/2,IF(G1935=Lists!$B$7,I1935,0)))</f>
        <v/>
      </c>
      <c r="O1935" s="53">
        <f>IF(COUNTA(A1935:K1935)=0,"",IF(OR(A1935="",B1935="",C1935="",D1935="",E1935="",F1935="",G1935="",NOT(ISNUMBER(I1935))),"Incomplete",IF(COUNTIF(Lists!$H$4:$AA$4,C1935)=0,"Check category",IF(COUNTIF(INDEX(Lists!$H$6:$AA$45,0,MATCH(C1935,Lists!$H$4:$AA$4,0)),D1935)=0,"Check sub-category","OK"))))</f>
        <v/>
      </c>
      <c r="P1935">
        <f>IF(ISNUMBER(I1935),I1935+ROW()/10000000,"")</f>
        <v/>
      </c>
      <c r="Q1935">
        <f>IF(AND(ISNUMBER(P1935),ISNUMBER(A1935)),IF(AND(A1935&gt;=Dashboard!$Q$3,A1935&lt;=Dashboard!$Q$4,OR(J1935&lt;&gt;"Yes",Dashboard!$Q$15="Yes")),P1935,""),"")</f>
        <v/>
      </c>
    </row>
    <row r="1936">
      <c r="A1936" s="47" t="n"/>
      <c r="B1936" s="48" t="n"/>
      <c r="C1936" s="48" t="n"/>
      <c r="D1936" s="48" t="n"/>
      <c r="E1936" s="48" t="n"/>
      <c r="F1936" s="48" t="n"/>
      <c r="G1936" s="48" t="n"/>
      <c r="H1936" s="48" t="n"/>
      <c r="I1936" s="49" t="n"/>
      <c r="J1936" s="50" t="n"/>
      <c r="K1936" s="48" t="n"/>
      <c r="L1936" s="51">
        <f>IF(A1936="","",DATE(YEAR(A1936),MONTH(A1936),1))</f>
        <v/>
      </c>
      <c r="M1936" s="52">
        <f>IF(OR(A1936="",NOT(ISNUMBER(I1936))),"",IF(G1936=Lists!$B$5,I1936/2,IF(G1936=Lists!$B$6,I1936,0)))</f>
        <v/>
      </c>
      <c r="N1936" s="52">
        <f>IF(OR(A1936="",NOT(ISNUMBER(I1936))),"",IF(G1936=Lists!$B$5,I1936/2,IF(G1936=Lists!$B$7,I1936,0)))</f>
        <v/>
      </c>
      <c r="O1936" s="53">
        <f>IF(COUNTA(A1936:K1936)=0,"",IF(OR(A1936="",B1936="",C1936="",D1936="",E1936="",F1936="",G1936="",NOT(ISNUMBER(I1936))),"Incomplete",IF(COUNTIF(Lists!$H$4:$AA$4,C1936)=0,"Check category",IF(COUNTIF(INDEX(Lists!$H$6:$AA$45,0,MATCH(C1936,Lists!$H$4:$AA$4,0)),D1936)=0,"Check sub-category","OK"))))</f>
        <v/>
      </c>
      <c r="P1936">
        <f>IF(ISNUMBER(I1936),I1936+ROW()/10000000,"")</f>
        <v/>
      </c>
      <c r="Q1936">
        <f>IF(AND(ISNUMBER(P1936),ISNUMBER(A1936)),IF(AND(A1936&gt;=Dashboard!$Q$3,A1936&lt;=Dashboard!$Q$4,OR(J1936&lt;&gt;"Yes",Dashboard!$Q$15="Yes")),P1936,""),"")</f>
        <v/>
      </c>
    </row>
    <row r="1937">
      <c r="A1937" s="47" t="n"/>
      <c r="B1937" s="48" t="n"/>
      <c r="C1937" s="48" t="n"/>
      <c r="D1937" s="48" t="n"/>
      <c r="E1937" s="48" t="n"/>
      <c r="F1937" s="48" t="n"/>
      <c r="G1937" s="48" t="n"/>
      <c r="H1937" s="48" t="n"/>
      <c r="I1937" s="49" t="n"/>
      <c r="J1937" s="50" t="n"/>
      <c r="K1937" s="48" t="n"/>
      <c r="L1937" s="51">
        <f>IF(A1937="","",DATE(YEAR(A1937),MONTH(A1937),1))</f>
        <v/>
      </c>
      <c r="M1937" s="52">
        <f>IF(OR(A1937="",NOT(ISNUMBER(I1937))),"",IF(G1937=Lists!$B$5,I1937/2,IF(G1937=Lists!$B$6,I1937,0)))</f>
        <v/>
      </c>
      <c r="N1937" s="52">
        <f>IF(OR(A1937="",NOT(ISNUMBER(I1937))),"",IF(G1937=Lists!$B$5,I1937/2,IF(G1937=Lists!$B$7,I1937,0)))</f>
        <v/>
      </c>
      <c r="O1937" s="53">
        <f>IF(COUNTA(A1937:K1937)=0,"",IF(OR(A1937="",B1937="",C1937="",D1937="",E1937="",F1937="",G1937="",NOT(ISNUMBER(I1937))),"Incomplete",IF(COUNTIF(Lists!$H$4:$AA$4,C1937)=0,"Check category",IF(COUNTIF(INDEX(Lists!$H$6:$AA$45,0,MATCH(C1937,Lists!$H$4:$AA$4,0)),D1937)=0,"Check sub-category","OK"))))</f>
        <v/>
      </c>
      <c r="P1937">
        <f>IF(ISNUMBER(I1937),I1937+ROW()/10000000,"")</f>
        <v/>
      </c>
      <c r="Q1937">
        <f>IF(AND(ISNUMBER(P1937),ISNUMBER(A1937)),IF(AND(A1937&gt;=Dashboard!$Q$3,A1937&lt;=Dashboard!$Q$4,OR(J1937&lt;&gt;"Yes",Dashboard!$Q$15="Yes")),P1937,""),"")</f>
        <v/>
      </c>
    </row>
    <row r="1938">
      <c r="A1938" s="47" t="n"/>
      <c r="B1938" s="48" t="n"/>
      <c r="C1938" s="48" t="n"/>
      <c r="D1938" s="48" t="n"/>
      <c r="E1938" s="48" t="n"/>
      <c r="F1938" s="48" t="n"/>
      <c r="G1938" s="48" t="n"/>
      <c r="H1938" s="48" t="n"/>
      <c r="I1938" s="49" t="n"/>
      <c r="J1938" s="50" t="n"/>
      <c r="K1938" s="48" t="n"/>
      <c r="L1938" s="51">
        <f>IF(A1938="","",DATE(YEAR(A1938),MONTH(A1938),1))</f>
        <v/>
      </c>
      <c r="M1938" s="52">
        <f>IF(OR(A1938="",NOT(ISNUMBER(I1938))),"",IF(G1938=Lists!$B$5,I1938/2,IF(G1938=Lists!$B$6,I1938,0)))</f>
        <v/>
      </c>
      <c r="N1938" s="52">
        <f>IF(OR(A1938="",NOT(ISNUMBER(I1938))),"",IF(G1938=Lists!$B$5,I1938/2,IF(G1938=Lists!$B$7,I1938,0)))</f>
        <v/>
      </c>
      <c r="O1938" s="53">
        <f>IF(COUNTA(A1938:K1938)=0,"",IF(OR(A1938="",B1938="",C1938="",D1938="",E1938="",F1938="",G1938="",NOT(ISNUMBER(I1938))),"Incomplete",IF(COUNTIF(Lists!$H$4:$AA$4,C1938)=0,"Check category",IF(COUNTIF(INDEX(Lists!$H$6:$AA$45,0,MATCH(C1938,Lists!$H$4:$AA$4,0)),D1938)=0,"Check sub-category","OK"))))</f>
        <v/>
      </c>
      <c r="P1938">
        <f>IF(ISNUMBER(I1938),I1938+ROW()/10000000,"")</f>
        <v/>
      </c>
      <c r="Q1938">
        <f>IF(AND(ISNUMBER(P1938),ISNUMBER(A1938)),IF(AND(A1938&gt;=Dashboard!$Q$3,A1938&lt;=Dashboard!$Q$4,OR(J1938&lt;&gt;"Yes",Dashboard!$Q$15="Yes")),P1938,""),"")</f>
        <v/>
      </c>
    </row>
    <row r="1939">
      <c r="A1939" s="47" t="n"/>
      <c r="B1939" s="48" t="n"/>
      <c r="C1939" s="48" t="n"/>
      <c r="D1939" s="48" t="n"/>
      <c r="E1939" s="48" t="n"/>
      <c r="F1939" s="48" t="n"/>
      <c r="G1939" s="48" t="n"/>
      <c r="H1939" s="48" t="n"/>
      <c r="I1939" s="49" t="n"/>
      <c r="J1939" s="50" t="n"/>
      <c r="K1939" s="48" t="n"/>
      <c r="L1939" s="51">
        <f>IF(A1939="","",DATE(YEAR(A1939),MONTH(A1939),1))</f>
        <v/>
      </c>
      <c r="M1939" s="52">
        <f>IF(OR(A1939="",NOT(ISNUMBER(I1939))),"",IF(G1939=Lists!$B$5,I1939/2,IF(G1939=Lists!$B$6,I1939,0)))</f>
        <v/>
      </c>
      <c r="N1939" s="52">
        <f>IF(OR(A1939="",NOT(ISNUMBER(I1939))),"",IF(G1939=Lists!$B$5,I1939/2,IF(G1939=Lists!$B$7,I1939,0)))</f>
        <v/>
      </c>
      <c r="O1939" s="53">
        <f>IF(COUNTA(A1939:K1939)=0,"",IF(OR(A1939="",B1939="",C1939="",D1939="",E1939="",F1939="",G1939="",NOT(ISNUMBER(I1939))),"Incomplete",IF(COUNTIF(Lists!$H$4:$AA$4,C1939)=0,"Check category",IF(COUNTIF(INDEX(Lists!$H$6:$AA$45,0,MATCH(C1939,Lists!$H$4:$AA$4,0)),D1939)=0,"Check sub-category","OK"))))</f>
        <v/>
      </c>
      <c r="P1939">
        <f>IF(ISNUMBER(I1939),I1939+ROW()/10000000,"")</f>
        <v/>
      </c>
      <c r="Q1939">
        <f>IF(AND(ISNUMBER(P1939),ISNUMBER(A1939)),IF(AND(A1939&gt;=Dashboard!$Q$3,A1939&lt;=Dashboard!$Q$4,OR(J1939&lt;&gt;"Yes",Dashboard!$Q$15="Yes")),P1939,""),"")</f>
        <v/>
      </c>
    </row>
    <row r="1940">
      <c r="A1940" s="47" t="n"/>
      <c r="B1940" s="48" t="n"/>
      <c r="C1940" s="48" t="n"/>
      <c r="D1940" s="48" t="n"/>
      <c r="E1940" s="48" t="n"/>
      <c r="F1940" s="48" t="n"/>
      <c r="G1940" s="48" t="n"/>
      <c r="H1940" s="48" t="n"/>
      <c r="I1940" s="49" t="n"/>
      <c r="J1940" s="50" t="n"/>
      <c r="K1940" s="48" t="n"/>
      <c r="L1940" s="51">
        <f>IF(A1940="","",DATE(YEAR(A1940),MONTH(A1940),1))</f>
        <v/>
      </c>
      <c r="M1940" s="52">
        <f>IF(OR(A1940="",NOT(ISNUMBER(I1940))),"",IF(G1940=Lists!$B$5,I1940/2,IF(G1940=Lists!$B$6,I1940,0)))</f>
        <v/>
      </c>
      <c r="N1940" s="52">
        <f>IF(OR(A1940="",NOT(ISNUMBER(I1940))),"",IF(G1940=Lists!$B$5,I1940/2,IF(G1940=Lists!$B$7,I1940,0)))</f>
        <v/>
      </c>
      <c r="O1940" s="53">
        <f>IF(COUNTA(A1940:K1940)=0,"",IF(OR(A1940="",B1940="",C1940="",D1940="",E1940="",F1940="",G1940="",NOT(ISNUMBER(I1940))),"Incomplete",IF(COUNTIF(Lists!$H$4:$AA$4,C1940)=0,"Check category",IF(COUNTIF(INDEX(Lists!$H$6:$AA$45,0,MATCH(C1940,Lists!$H$4:$AA$4,0)),D1940)=0,"Check sub-category","OK"))))</f>
        <v/>
      </c>
      <c r="P1940">
        <f>IF(ISNUMBER(I1940),I1940+ROW()/10000000,"")</f>
        <v/>
      </c>
      <c r="Q1940">
        <f>IF(AND(ISNUMBER(P1940),ISNUMBER(A1940)),IF(AND(A1940&gt;=Dashboard!$Q$3,A1940&lt;=Dashboard!$Q$4,OR(J1940&lt;&gt;"Yes",Dashboard!$Q$15="Yes")),P1940,""),"")</f>
        <v/>
      </c>
    </row>
    <row r="1941">
      <c r="A1941" s="47" t="n"/>
      <c r="B1941" s="48" t="n"/>
      <c r="C1941" s="48" t="n"/>
      <c r="D1941" s="48" t="n"/>
      <c r="E1941" s="48" t="n"/>
      <c r="F1941" s="48" t="n"/>
      <c r="G1941" s="48" t="n"/>
      <c r="H1941" s="48" t="n"/>
      <c r="I1941" s="49" t="n"/>
      <c r="J1941" s="50" t="n"/>
      <c r="K1941" s="48" t="n"/>
      <c r="L1941" s="51">
        <f>IF(A1941="","",DATE(YEAR(A1941),MONTH(A1941),1))</f>
        <v/>
      </c>
      <c r="M1941" s="52">
        <f>IF(OR(A1941="",NOT(ISNUMBER(I1941))),"",IF(G1941=Lists!$B$5,I1941/2,IF(G1941=Lists!$B$6,I1941,0)))</f>
        <v/>
      </c>
      <c r="N1941" s="52">
        <f>IF(OR(A1941="",NOT(ISNUMBER(I1941))),"",IF(G1941=Lists!$B$5,I1941/2,IF(G1941=Lists!$B$7,I1941,0)))</f>
        <v/>
      </c>
      <c r="O1941" s="53">
        <f>IF(COUNTA(A1941:K1941)=0,"",IF(OR(A1941="",B1941="",C1941="",D1941="",E1941="",F1941="",G1941="",NOT(ISNUMBER(I1941))),"Incomplete",IF(COUNTIF(Lists!$H$4:$AA$4,C1941)=0,"Check category",IF(COUNTIF(INDEX(Lists!$H$6:$AA$45,0,MATCH(C1941,Lists!$H$4:$AA$4,0)),D1941)=0,"Check sub-category","OK"))))</f>
        <v/>
      </c>
      <c r="P1941">
        <f>IF(ISNUMBER(I1941),I1941+ROW()/10000000,"")</f>
        <v/>
      </c>
      <c r="Q1941">
        <f>IF(AND(ISNUMBER(P1941),ISNUMBER(A1941)),IF(AND(A1941&gt;=Dashboard!$Q$3,A1941&lt;=Dashboard!$Q$4,OR(J1941&lt;&gt;"Yes",Dashboard!$Q$15="Yes")),P1941,""),"")</f>
        <v/>
      </c>
    </row>
    <row r="1942">
      <c r="A1942" s="47" t="n"/>
      <c r="B1942" s="48" t="n"/>
      <c r="C1942" s="48" t="n"/>
      <c r="D1942" s="48" t="n"/>
      <c r="E1942" s="48" t="n"/>
      <c r="F1942" s="48" t="n"/>
      <c r="G1942" s="48" t="n"/>
      <c r="H1942" s="48" t="n"/>
      <c r="I1942" s="49" t="n"/>
      <c r="J1942" s="50" t="n"/>
      <c r="K1942" s="48" t="n"/>
      <c r="L1942" s="51">
        <f>IF(A1942="","",DATE(YEAR(A1942),MONTH(A1942),1))</f>
        <v/>
      </c>
      <c r="M1942" s="52">
        <f>IF(OR(A1942="",NOT(ISNUMBER(I1942))),"",IF(G1942=Lists!$B$5,I1942/2,IF(G1942=Lists!$B$6,I1942,0)))</f>
        <v/>
      </c>
      <c r="N1942" s="52">
        <f>IF(OR(A1942="",NOT(ISNUMBER(I1942))),"",IF(G1942=Lists!$B$5,I1942/2,IF(G1942=Lists!$B$7,I1942,0)))</f>
        <v/>
      </c>
      <c r="O1942" s="53">
        <f>IF(COUNTA(A1942:K1942)=0,"",IF(OR(A1942="",B1942="",C1942="",D1942="",E1942="",F1942="",G1942="",NOT(ISNUMBER(I1942))),"Incomplete",IF(COUNTIF(Lists!$H$4:$AA$4,C1942)=0,"Check category",IF(COUNTIF(INDEX(Lists!$H$6:$AA$45,0,MATCH(C1942,Lists!$H$4:$AA$4,0)),D1942)=0,"Check sub-category","OK"))))</f>
        <v/>
      </c>
      <c r="P1942">
        <f>IF(ISNUMBER(I1942),I1942+ROW()/10000000,"")</f>
        <v/>
      </c>
      <c r="Q1942">
        <f>IF(AND(ISNUMBER(P1942),ISNUMBER(A1942)),IF(AND(A1942&gt;=Dashboard!$Q$3,A1942&lt;=Dashboard!$Q$4,OR(J1942&lt;&gt;"Yes",Dashboard!$Q$15="Yes")),P1942,""),"")</f>
        <v/>
      </c>
    </row>
    <row r="1943">
      <c r="A1943" s="47" t="n"/>
      <c r="B1943" s="48" t="n"/>
      <c r="C1943" s="48" t="n"/>
      <c r="D1943" s="48" t="n"/>
      <c r="E1943" s="48" t="n"/>
      <c r="F1943" s="48" t="n"/>
      <c r="G1943" s="48" t="n"/>
      <c r="H1943" s="48" t="n"/>
      <c r="I1943" s="49" t="n"/>
      <c r="J1943" s="50" t="n"/>
      <c r="K1943" s="48" t="n"/>
      <c r="L1943" s="51">
        <f>IF(A1943="","",DATE(YEAR(A1943),MONTH(A1943),1))</f>
        <v/>
      </c>
      <c r="M1943" s="52">
        <f>IF(OR(A1943="",NOT(ISNUMBER(I1943))),"",IF(G1943=Lists!$B$5,I1943/2,IF(G1943=Lists!$B$6,I1943,0)))</f>
        <v/>
      </c>
      <c r="N1943" s="52">
        <f>IF(OR(A1943="",NOT(ISNUMBER(I1943))),"",IF(G1943=Lists!$B$5,I1943/2,IF(G1943=Lists!$B$7,I1943,0)))</f>
        <v/>
      </c>
      <c r="O1943" s="53">
        <f>IF(COUNTA(A1943:K1943)=0,"",IF(OR(A1943="",B1943="",C1943="",D1943="",E1943="",F1943="",G1943="",NOT(ISNUMBER(I1943))),"Incomplete",IF(COUNTIF(Lists!$H$4:$AA$4,C1943)=0,"Check category",IF(COUNTIF(INDEX(Lists!$H$6:$AA$45,0,MATCH(C1943,Lists!$H$4:$AA$4,0)),D1943)=0,"Check sub-category","OK"))))</f>
        <v/>
      </c>
      <c r="P1943">
        <f>IF(ISNUMBER(I1943),I1943+ROW()/10000000,"")</f>
        <v/>
      </c>
      <c r="Q1943">
        <f>IF(AND(ISNUMBER(P1943),ISNUMBER(A1943)),IF(AND(A1943&gt;=Dashboard!$Q$3,A1943&lt;=Dashboard!$Q$4,OR(J1943&lt;&gt;"Yes",Dashboard!$Q$15="Yes")),P1943,""),"")</f>
        <v/>
      </c>
    </row>
    <row r="1944">
      <c r="A1944" s="47" t="n"/>
      <c r="B1944" s="48" t="n"/>
      <c r="C1944" s="48" t="n"/>
      <c r="D1944" s="48" t="n"/>
      <c r="E1944" s="48" t="n"/>
      <c r="F1944" s="48" t="n"/>
      <c r="G1944" s="48" t="n"/>
      <c r="H1944" s="48" t="n"/>
      <c r="I1944" s="49" t="n"/>
      <c r="J1944" s="50" t="n"/>
      <c r="K1944" s="48" t="n"/>
      <c r="L1944" s="51">
        <f>IF(A1944="","",DATE(YEAR(A1944),MONTH(A1944),1))</f>
        <v/>
      </c>
      <c r="M1944" s="52">
        <f>IF(OR(A1944="",NOT(ISNUMBER(I1944))),"",IF(G1944=Lists!$B$5,I1944/2,IF(G1944=Lists!$B$6,I1944,0)))</f>
        <v/>
      </c>
      <c r="N1944" s="52">
        <f>IF(OR(A1944="",NOT(ISNUMBER(I1944))),"",IF(G1944=Lists!$B$5,I1944/2,IF(G1944=Lists!$B$7,I1944,0)))</f>
        <v/>
      </c>
      <c r="O1944" s="53">
        <f>IF(COUNTA(A1944:K1944)=0,"",IF(OR(A1944="",B1944="",C1944="",D1944="",E1944="",F1944="",G1944="",NOT(ISNUMBER(I1944))),"Incomplete",IF(COUNTIF(Lists!$H$4:$AA$4,C1944)=0,"Check category",IF(COUNTIF(INDEX(Lists!$H$6:$AA$45,0,MATCH(C1944,Lists!$H$4:$AA$4,0)),D1944)=0,"Check sub-category","OK"))))</f>
        <v/>
      </c>
      <c r="P1944">
        <f>IF(ISNUMBER(I1944),I1944+ROW()/10000000,"")</f>
        <v/>
      </c>
      <c r="Q1944">
        <f>IF(AND(ISNUMBER(P1944),ISNUMBER(A1944)),IF(AND(A1944&gt;=Dashboard!$Q$3,A1944&lt;=Dashboard!$Q$4,OR(J1944&lt;&gt;"Yes",Dashboard!$Q$15="Yes")),P1944,""),"")</f>
        <v/>
      </c>
    </row>
    <row r="1945">
      <c r="A1945" s="47" t="n"/>
      <c r="B1945" s="48" t="n"/>
      <c r="C1945" s="48" t="n"/>
      <c r="D1945" s="48" t="n"/>
      <c r="E1945" s="48" t="n"/>
      <c r="F1945" s="48" t="n"/>
      <c r="G1945" s="48" t="n"/>
      <c r="H1945" s="48" t="n"/>
      <c r="I1945" s="49" t="n"/>
      <c r="J1945" s="50" t="n"/>
      <c r="K1945" s="48" t="n"/>
      <c r="L1945" s="51">
        <f>IF(A1945="","",DATE(YEAR(A1945),MONTH(A1945),1))</f>
        <v/>
      </c>
      <c r="M1945" s="52">
        <f>IF(OR(A1945="",NOT(ISNUMBER(I1945))),"",IF(G1945=Lists!$B$5,I1945/2,IF(G1945=Lists!$B$6,I1945,0)))</f>
        <v/>
      </c>
      <c r="N1945" s="52">
        <f>IF(OR(A1945="",NOT(ISNUMBER(I1945))),"",IF(G1945=Lists!$B$5,I1945/2,IF(G1945=Lists!$B$7,I1945,0)))</f>
        <v/>
      </c>
      <c r="O1945" s="53">
        <f>IF(COUNTA(A1945:K1945)=0,"",IF(OR(A1945="",B1945="",C1945="",D1945="",E1945="",F1945="",G1945="",NOT(ISNUMBER(I1945))),"Incomplete",IF(COUNTIF(Lists!$H$4:$AA$4,C1945)=0,"Check category",IF(COUNTIF(INDEX(Lists!$H$6:$AA$45,0,MATCH(C1945,Lists!$H$4:$AA$4,0)),D1945)=0,"Check sub-category","OK"))))</f>
        <v/>
      </c>
      <c r="P1945">
        <f>IF(ISNUMBER(I1945),I1945+ROW()/10000000,"")</f>
        <v/>
      </c>
      <c r="Q1945">
        <f>IF(AND(ISNUMBER(P1945),ISNUMBER(A1945)),IF(AND(A1945&gt;=Dashboard!$Q$3,A1945&lt;=Dashboard!$Q$4,OR(J1945&lt;&gt;"Yes",Dashboard!$Q$15="Yes")),P1945,""),"")</f>
        <v/>
      </c>
    </row>
    <row r="1946">
      <c r="A1946" s="47" t="n"/>
      <c r="B1946" s="48" t="n"/>
      <c r="C1946" s="48" t="n"/>
      <c r="D1946" s="48" t="n"/>
      <c r="E1946" s="48" t="n"/>
      <c r="F1946" s="48" t="n"/>
      <c r="G1946" s="48" t="n"/>
      <c r="H1946" s="48" t="n"/>
      <c r="I1946" s="49" t="n"/>
      <c r="J1946" s="50" t="n"/>
      <c r="K1946" s="48" t="n"/>
      <c r="L1946" s="51">
        <f>IF(A1946="","",DATE(YEAR(A1946),MONTH(A1946),1))</f>
        <v/>
      </c>
      <c r="M1946" s="52">
        <f>IF(OR(A1946="",NOT(ISNUMBER(I1946))),"",IF(G1946=Lists!$B$5,I1946/2,IF(G1946=Lists!$B$6,I1946,0)))</f>
        <v/>
      </c>
      <c r="N1946" s="52">
        <f>IF(OR(A1946="",NOT(ISNUMBER(I1946))),"",IF(G1946=Lists!$B$5,I1946/2,IF(G1946=Lists!$B$7,I1946,0)))</f>
        <v/>
      </c>
      <c r="O1946" s="53">
        <f>IF(COUNTA(A1946:K1946)=0,"",IF(OR(A1946="",B1946="",C1946="",D1946="",E1946="",F1946="",G1946="",NOT(ISNUMBER(I1946))),"Incomplete",IF(COUNTIF(Lists!$H$4:$AA$4,C1946)=0,"Check category",IF(COUNTIF(INDEX(Lists!$H$6:$AA$45,0,MATCH(C1946,Lists!$H$4:$AA$4,0)),D1946)=0,"Check sub-category","OK"))))</f>
        <v/>
      </c>
      <c r="P1946">
        <f>IF(ISNUMBER(I1946),I1946+ROW()/10000000,"")</f>
        <v/>
      </c>
      <c r="Q1946">
        <f>IF(AND(ISNUMBER(P1946),ISNUMBER(A1946)),IF(AND(A1946&gt;=Dashboard!$Q$3,A1946&lt;=Dashboard!$Q$4,OR(J1946&lt;&gt;"Yes",Dashboard!$Q$15="Yes")),P1946,""),"")</f>
        <v/>
      </c>
    </row>
    <row r="1947">
      <c r="A1947" s="47" t="n"/>
      <c r="B1947" s="48" t="n"/>
      <c r="C1947" s="48" t="n"/>
      <c r="D1947" s="48" t="n"/>
      <c r="E1947" s="48" t="n"/>
      <c r="F1947" s="48" t="n"/>
      <c r="G1947" s="48" t="n"/>
      <c r="H1947" s="48" t="n"/>
      <c r="I1947" s="49" t="n"/>
      <c r="J1947" s="50" t="n"/>
      <c r="K1947" s="48" t="n"/>
      <c r="L1947" s="51">
        <f>IF(A1947="","",DATE(YEAR(A1947),MONTH(A1947),1))</f>
        <v/>
      </c>
      <c r="M1947" s="52">
        <f>IF(OR(A1947="",NOT(ISNUMBER(I1947))),"",IF(G1947=Lists!$B$5,I1947/2,IF(G1947=Lists!$B$6,I1947,0)))</f>
        <v/>
      </c>
      <c r="N1947" s="52">
        <f>IF(OR(A1947="",NOT(ISNUMBER(I1947))),"",IF(G1947=Lists!$B$5,I1947/2,IF(G1947=Lists!$B$7,I1947,0)))</f>
        <v/>
      </c>
      <c r="O1947" s="53">
        <f>IF(COUNTA(A1947:K1947)=0,"",IF(OR(A1947="",B1947="",C1947="",D1947="",E1947="",F1947="",G1947="",NOT(ISNUMBER(I1947))),"Incomplete",IF(COUNTIF(Lists!$H$4:$AA$4,C1947)=0,"Check category",IF(COUNTIF(INDEX(Lists!$H$6:$AA$45,0,MATCH(C1947,Lists!$H$4:$AA$4,0)),D1947)=0,"Check sub-category","OK"))))</f>
        <v/>
      </c>
      <c r="P1947">
        <f>IF(ISNUMBER(I1947),I1947+ROW()/10000000,"")</f>
        <v/>
      </c>
      <c r="Q1947">
        <f>IF(AND(ISNUMBER(P1947),ISNUMBER(A1947)),IF(AND(A1947&gt;=Dashboard!$Q$3,A1947&lt;=Dashboard!$Q$4,OR(J1947&lt;&gt;"Yes",Dashboard!$Q$15="Yes")),P1947,""),"")</f>
        <v/>
      </c>
    </row>
    <row r="1948">
      <c r="A1948" s="47" t="n"/>
      <c r="B1948" s="48" t="n"/>
      <c r="C1948" s="48" t="n"/>
      <c r="D1948" s="48" t="n"/>
      <c r="E1948" s="48" t="n"/>
      <c r="F1948" s="48" t="n"/>
      <c r="G1948" s="48" t="n"/>
      <c r="H1948" s="48" t="n"/>
      <c r="I1948" s="49" t="n"/>
      <c r="J1948" s="50" t="n"/>
      <c r="K1948" s="48" t="n"/>
      <c r="L1948" s="51">
        <f>IF(A1948="","",DATE(YEAR(A1948),MONTH(A1948),1))</f>
        <v/>
      </c>
      <c r="M1948" s="52">
        <f>IF(OR(A1948="",NOT(ISNUMBER(I1948))),"",IF(G1948=Lists!$B$5,I1948/2,IF(G1948=Lists!$B$6,I1948,0)))</f>
        <v/>
      </c>
      <c r="N1948" s="52">
        <f>IF(OR(A1948="",NOT(ISNUMBER(I1948))),"",IF(G1948=Lists!$B$5,I1948/2,IF(G1948=Lists!$B$7,I1948,0)))</f>
        <v/>
      </c>
      <c r="O1948" s="53">
        <f>IF(COUNTA(A1948:K1948)=0,"",IF(OR(A1948="",B1948="",C1948="",D1948="",E1948="",F1948="",G1948="",NOT(ISNUMBER(I1948))),"Incomplete",IF(COUNTIF(Lists!$H$4:$AA$4,C1948)=0,"Check category",IF(COUNTIF(INDEX(Lists!$H$6:$AA$45,0,MATCH(C1948,Lists!$H$4:$AA$4,0)),D1948)=0,"Check sub-category","OK"))))</f>
        <v/>
      </c>
      <c r="P1948">
        <f>IF(ISNUMBER(I1948),I1948+ROW()/10000000,"")</f>
        <v/>
      </c>
      <c r="Q1948">
        <f>IF(AND(ISNUMBER(P1948),ISNUMBER(A1948)),IF(AND(A1948&gt;=Dashboard!$Q$3,A1948&lt;=Dashboard!$Q$4,OR(J1948&lt;&gt;"Yes",Dashboard!$Q$15="Yes")),P1948,""),"")</f>
        <v/>
      </c>
    </row>
    <row r="1949">
      <c r="A1949" s="47" t="n"/>
      <c r="B1949" s="48" t="n"/>
      <c r="C1949" s="48" t="n"/>
      <c r="D1949" s="48" t="n"/>
      <c r="E1949" s="48" t="n"/>
      <c r="F1949" s="48" t="n"/>
      <c r="G1949" s="48" t="n"/>
      <c r="H1949" s="48" t="n"/>
      <c r="I1949" s="49" t="n"/>
      <c r="J1949" s="50" t="n"/>
      <c r="K1949" s="48" t="n"/>
      <c r="L1949" s="51">
        <f>IF(A1949="","",DATE(YEAR(A1949),MONTH(A1949),1))</f>
        <v/>
      </c>
      <c r="M1949" s="52">
        <f>IF(OR(A1949="",NOT(ISNUMBER(I1949))),"",IF(G1949=Lists!$B$5,I1949/2,IF(G1949=Lists!$B$6,I1949,0)))</f>
        <v/>
      </c>
      <c r="N1949" s="52">
        <f>IF(OR(A1949="",NOT(ISNUMBER(I1949))),"",IF(G1949=Lists!$B$5,I1949/2,IF(G1949=Lists!$B$7,I1949,0)))</f>
        <v/>
      </c>
      <c r="O1949" s="53">
        <f>IF(COUNTA(A1949:K1949)=0,"",IF(OR(A1949="",B1949="",C1949="",D1949="",E1949="",F1949="",G1949="",NOT(ISNUMBER(I1949))),"Incomplete",IF(COUNTIF(Lists!$H$4:$AA$4,C1949)=0,"Check category",IF(COUNTIF(INDEX(Lists!$H$6:$AA$45,0,MATCH(C1949,Lists!$H$4:$AA$4,0)),D1949)=0,"Check sub-category","OK"))))</f>
        <v/>
      </c>
      <c r="P1949">
        <f>IF(ISNUMBER(I1949),I1949+ROW()/10000000,"")</f>
        <v/>
      </c>
      <c r="Q1949">
        <f>IF(AND(ISNUMBER(P1949),ISNUMBER(A1949)),IF(AND(A1949&gt;=Dashboard!$Q$3,A1949&lt;=Dashboard!$Q$4,OR(J1949&lt;&gt;"Yes",Dashboard!$Q$15="Yes")),P1949,""),"")</f>
        <v/>
      </c>
    </row>
    <row r="1950">
      <c r="A1950" s="47" t="n"/>
      <c r="B1950" s="48" t="n"/>
      <c r="C1950" s="48" t="n"/>
      <c r="D1950" s="48" t="n"/>
      <c r="E1950" s="48" t="n"/>
      <c r="F1950" s="48" t="n"/>
      <c r="G1950" s="48" t="n"/>
      <c r="H1950" s="48" t="n"/>
      <c r="I1950" s="49" t="n"/>
      <c r="J1950" s="50" t="n"/>
      <c r="K1950" s="48" t="n"/>
      <c r="L1950" s="51">
        <f>IF(A1950="","",DATE(YEAR(A1950),MONTH(A1950),1))</f>
        <v/>
      </c>
      <c r="M1950" s="52">
        <f>IF(OR(A1950="",NOT(ISNUMBER(I1950))),"",IF(G1950=Lists!$B$5,I1950/2,IF(G1950=Lists!$B$6,I1950,0)))</f>
        <v/>
      </c>
      <c r="N1950" s="52">
        <f>IF(OR(A1950="",NOT(ISNUMBER(I1950))),"",IF(G1950=Lists!$B$5,I1950/2,IF(G1950=Lists!$B$7,I1950,0)))</f>
        <v/>
      </c>
      <c r="O1950" s="53">
        <f>IF(COUNTA(A1950:K1950)=0,"",IF(OR(A1950="",B1950="",C1950="",D1950="",E1950="",F1950="",G1950="",NOT(ISNUMBER(I1950))),"Incomplete",IF(COUNTIF(Lists!$H$4:$AA$4,C1950)=0,"Check category",IF(COUNTIF(INDEX(Lists!$H$6:$AA$45,0,MATCH(C1950,Lists!$H$4:$AA$4,0)),D1950)=0,"Check sub-category","OK"))))</f>
        <v/>
      </c>
      <c r="P1950">
        <f>IF(ISNUMBER(I1950),I1950+ROW()/10000000,"")</f>
        <v/>
      </c>
      <c r="Q1950">
        <f>IF(AND(ISNUMBER(P1950),ISNUMBER(A1950)),IF(AND(A1950&gt;=Dashboard!$Q$3,A1950&lt;=Dashboard!$Q$4,OR(J1950&lt;&gt;"Yes",Dashboard!$Q$15="Yes")),P1950,""),"")</f>
        <v/>
      </c>
    </row>
    <row r="1951">
      <c r="A1951" s="47" t="n"/>
      <c r="B1951" s="48" t="n"/>
      <c r="C1951" s="48" t="n"/>
      <c r="D1951" s="48" t="n"/>
      <c r="E1951" s="48" t="n"/>
      <c r="F1951" s="48" t="n"/>
      <c r="G1951" s="48" t="n"/>
      <c r="H1951" s="48" t="n"/>
      <c r="I1951" s="49" t="n"/>
      <c r="J1951" s="50" t="n"/>
      <c r="K1951" s="48" t="n"/>
      <c r="L1951" s="51">
        <f>IF(A1951="","",DATE(YEAR(A1951),MONTH(A1951),1))</f>
        <v/>
      </c>
      <c r="M1951" s="52">
        <f>IF(OR(A1951="",NOT(ISNUMBER(I1951))),"",IF(G1951=Lists!$B$5,I1951/2,IF(G1951=Lists!$B$6,I1951,0)))</f>
        <v/>
      </c>
      <c r="N1951" s="52">
        <f>IF(OR(A1951="",NOT(ISNUMBER(I1951))),"",IF(G1951=Lists!$B$5,I1951/2,IF(G1951=Lists!$B$7,I1951,0)))</f>
        <v/>
      </c>
      <c r="O1951" s="53">
        <f>IF(COUNTA(A1951:K1951)=0,"",IF(OR(A1951="",B1951="",C1951="",D1951="",E1951="",F1951="",G1951="",NOT(ISNUMBER(I1951))),"Incomplete",IF(COUNTIF(Lists!$H$4:$AA$4,C1951)=0,"Check category",IF(COUNTIF(INDEX(Lists!$H$6:$AA$45,0,MATCH(C1951,Lists!$H$4:$AA$4,0)),D1951)=0,"Check sub-category","OK"))))</f>
        <v/>
      </c>
      <c r="P1951">
        <f>IF(ISNUMBER(I1951),I1951+ROW()/10000000,"")</f>
        <v/>
      </c>
      <c r="Q1951">
        <f>IF(AND(ISNUMBER(P1951),ISNUMBER(A1951)),IF(AND(A1951&gt;=Dashboard!$Q$3,A1951&lt;=Dashboard!$Q$4,OR(J1951&lt;&gt;"Yes",Dashboard!$Q$15="Yes")),P1951,""),"")</f>
        <v/>
      </c>
    </row>
    <row r="1952">
      <c r="A1952" s="47" t="n"/>
      <c r="B1952" s="48" t="n"/>
      <c r="C1952" s="48" t="n"/>
      <c r="D1952" s="48" t="n"/>
      <c r="E1952" s="48" t="n"/>
      <c r="F1952" s="48" t="n"/>
      <c r="G1952" s="48" t="n"/>
      <c r="H1952" s="48" t="n"/>
      <c r="I1952" s="49" t="n"/>
      <c r="J1952" s="50" t="n"/>
      <c r="K1952" s="48" t="n"/>
      <c r="L1952" s="51">
        <f>IF(A1952="","",DATE(YEAR(A1952),MONTH(A1952),1))</f>
        <v/>
      </c>
      <c r="M1952" s="52">
        <f>IF(OR(A1952="",NOT(ISNUMBER(I1952))),"",IF(G1952=Lists!$B$5,I1952/2,IF(G1952=Lists!$B$6,I1952,0)))</f>
        <v/>
      </c>
      <c r="N1952" s="52">
        <f>IF(OR(A1952="",NOT(ISNUMBER(I1952))),"",IF(G1952=Lists!$B$5,I1952/2,IF(G1952=Lists!$B$7,I1952,0)))</f>
        <v/>
      </c>
      <c r="O1952" s="53">
        <f>IF(COUNTA(A1952:K1952)=0,"",IF(OR(A1952="",B1952="",C1952="",D1952="",E1952="",F1952="",G1952="",NOT(ISNUMBER(I1952))),"Incomplete",IF(COUNTIF(Lists!$H$4:$AA$4,C1952)=0,"Check category",IF(COUNTIF(INDEX(Lists!$H$6:$AA$45,0,MATCH(C1952,Lists!$H$4:$AA$4,0)),D1952)=0,"Check sub-category","OK"))))</f>
        <v/>
      </c>
      <c r="P1952">
        <f>IF(ISNUMBER(I1952),I1952+ROW()/10000000,"")</f>
        <v/>
      </c>
      <c r="Q1952">
        <f>IF(AND(ISNUMBER(P1952),ISNUMBER(A1952)),IF(AND(A1952&gt;=Dashboard!$Q$3,A1952&lt;=Dashboard!$Q$4,OR(J1952&lt;&gt;"Yes",Dashboard!$Q$15="Yes")),P1952,""),"")</f>
        <v/>
      </c>
    </row>
    <row r="1953">
      <c r="A1953" s="47" t="n"/>
      <c r="B1953" s="48" t="n"/>
      <c r="C1953" s="48" t="n"/>
      <c r="D1953" s="48" t="n"/>
      <c r="E1953" s="48" t="n"/>
      <c r="F1953" s="48" t="n"/>
      <c r="G1953" s="48" t="n"/>
      <c r="H1953" s="48" t="n"/>
      <c r="I1953" s="49" t="n"/>
      <c r="J1953" s="50" t="n"/>
      <c r="K1953" s="48" t="n"/>
      <c r="L1953" s="51">
        <f>IF(A1953="","",DATE(YEAR(A1953),MONTH(A1953),1))</f>
        <v/>
      </c>
      <c r="M1953" s="52">
        <f>IF(OR(A1953="",NOT(ISNUMBER(I1953))),"",IF(G1953=Lists!$B$5,I1953/2,IF(G1953=Lists!$B$6,I1953,0)))</f>
        <v/>
      </c>
      <c r="N1953" s="52">
        <f>IF(OR(A1953="",NOT(ISNUMBER(I1953))),"",IF(G1953=Lists!$B$5,I1953/2,IF(G1953=Lists!$B$7,I1953,0)))</f>
        <v/>
      </c>
      <c r="O1953" s="53">
        <f>IF(COUNTA(A1953:K1953)=0,"",IF(OR(A1953="",B1953="",C1953="",D1953="",E1953="",F1953="",G1953="",NOT(ISNUMBER(I1953))),"Incomplete",IF(COUNTIF(Lists!$H$4:$AA$4,C1953)=0,"Check category",IF(COUNTIF(INDEX(Lists!$H$6:$AA$45,0,MATCH(C1953,Lists!$H$4:$AA$4,0)),D1953)=0,"Check sub-category","OK"))))</f>
        <v/>
      </c>
      <c r="P1953">
        <f>IF(ISNUMBER(I1953),I1953+ROW()/10000000,"")</f>
        <v/>
      </c>
      <c r="Q1953">
        <f>IF(AND(ISNUMBER(P1953),ISNUMBER(A1953)),IF(AND(A1953&gt;=Dashboard!$Q$3,A1953&lt;=Dashboard!$Q$4,OR(J1953&lt;&gt;"Yes",Dashboard!$Q$15="Yes")),P1953,""),"")</f>
        <v/>
      </c>
    </row>
    <row r="1954">
      <c r="A1954" s="47" t="n"/>
      <c r="B1954" s="48" t="n"/>
      <c r="C1954" s="48" t="n"/>
      <c r="D1954" s="48" t="n"/>
      <c r="E1954" s="48" t="n"/>
      <c r="F1954" s="48" t="n"/>
      <c r="G1954" s="48" t="n"/>
      <c r="H1954" s="48" t="n"/>
      <c r="I1954" s="49" t="n"/>
      <c r="J1954" s="50" t="n"/>
      <c r="K1954" s="48" t="n"/>
      <c r="L1954" s="51">
        <f>IF(A1954="","",DATE(YEAR(A1954),MONTH(A1954),1))</f>
        <v/>
      </c>
      <c r="M1954" s="52">
        <f>IF(OR(A1954="",NOT(ISNUMBER(I1954))),"",IF(G1954=Lists!$B$5,I1954/2,IF(G1954=Lists!$B$6,I1954,0)))</f>
        <v/>
      </c>
      <c r="N1954" s="52">
        <f>IF(OR(A1954="",NOT(ISNUMBER(I1954))),"",IF(G1954=Lists!$B$5,I1954/2,IF(G1954=Lists!$B$7,I1954,0)))</f>
        <v/>
      </c>
      <c r="O1954" s="53">
        <f>IF(COUNTA(A1954:K1954)=0,"",IF(OR(A1954="",B1954="",C1954="",D1954="",E1954="",F1954="",G1954="",NOT(ISNUMBER(I1954))),"Incomplete",IF(COUNTIF(Lists!$H$4:$AA$4,C1954)=0,"Check category",IF(COUNTIF(INDEX(Lists!$H$6:$AA$45,0,MATCH(C1954,Lists!$H$4:$AA$4,0)),D1954)=0,"Check sub-category","OK"))))</f>
        <v/>
      </c>
      <c r="P1954">
        <f>IF(ISNUMBER(I1954),I1954+ROW()/10000000,"")</f>
        <v/>
      </c>
      <c r="Q1954">
        <f>IF(AND(ISNUMBER(P1954),ISNUMBER(A1954)),IF(AND(A1954&gt;=Dashboard!$Q$3,A1954&lt;=Dashboard!$Q$4,OR(J1954&lt;&gt;"Yes",Dashboard!$Q$15="Yes")),P1954,""),"")</f>
        <v/>
      </c>
    </row>
    <row r="1955">
      <c r="A1955" s="47" t="n"/>
      <c r="B1955" s="48" t="n"/>
      <c r="C1955" s="48" t="n"/>
      <c r="D1955" s="48" t="n"/>
      <c r="E1955" s="48" t="n"/>
      <c r="F1955" s="48" t="n"/>
      <c r="G1955" s="48" t="n"/>
      <c r="H1955" s="48" t="n"/>
      <c r="I1955" s="49" t="n"/>
      <c r="J1955" s="50" t="n"/>
      <c r="K1955" s="48" t="n"/>
      <c r="L1955" s="51">
        <f>IF(A1955="","",DATE(YEAR(A1955),MONTH(A1955),1))</f>
        <v/>
      </c>
      <c r="M1955" s="52">
        <f>IF(OR(A1955="",NOT(ISNUMBER(I1955))),"",IF(G1955=Lists!$B$5,I1955/2,IF(G1955=Lists!$B$6,I1955,0)))</f>
        <v/>
      </c>
      <c r="N1955" s="52">
        <f>IF(OR(A1955="",NOT(ISNUMBER(I1955))),"",IF(G1955=Lists!$B$5,I1955/2,IF(G1955=Lists!$B$7,I1955,0)))</f>
        <v/>
      </c>
      <c r="O1955" s="53">
        <f>IF(COUNTA(A1955:K1955)=0,"",IF(OR(A1955="",B1955="",C1955="",D1955="",E1955="",F1955="",G1955="",NOT(ISNUMBER(I1955))),"Incomplete",IF(COUNTIF(Lists!$H$4:$AA$4,C1955)=0,"Check category",IF(COUNTIF(INDEX(Lists!$H$6:$AA$45,0,MATCH(C1955,Lists!$H$4:$AA$4,0)),D1955)=0,"Check sub-category","OK"))))</f>
        <v/>
      </c>
      <c r="P1955">
        <f>IF(ISNUMBER(I1955),I1955+ROW()/10000000,"")</f>
        <v/>
      </c>
      <c r="Q1955">
        <f>IF(AND(ISNUMBER(P1955),ISNUMBER(A1955)),IF(AND(A1955&gt;=Dashboard!$Q$3,A1955&lt;=Dashboard!$Q$4,OR(J1955&lt;&gt;"Yes",Dashboard!$Q$15="Yes")),P1955,""),"")</f>
        <v/>
      </c>
    </row>
    <row r="1956">
      <c r="A1956" s="47" t="n"/>
      <c r="B1956" s="48" t="n"/>
      <c r="C1956" s="48" t="n"/>
      <c r="D1956" s="48" t="n"/>
      <c r="E1956" s="48" t="n"/>
      <c r="F1956" s="48" t="n"/>
      <c r="G1956" s="48" t="n"/>
      <c r="H1956" s="48" t="n"/>
      <c r="I1956" s="49" t="n"/>
      <c r="J1956" s="50" t="n"/>
      <c r="K1956" s="48" t="n"/>
      <c r="L1956" s="51">
        <f>IF(A1956="","",DATE(YEAR(A1956),MONTH(A1956),1))</f>
        <v/>
      </c>
      <c r="M1956" s="52">
        <f>IF(OR(A1956="",NOT(ISNUMBER(I1956))),"",IF(G1956=Lists!$B$5,I1956/2,IF(G1956=Lists!$B$6,I1956,0)))</f>
        <v/>
      </c>
      <c r="N1956" s="52">
        <f>IF(OR(A1956="",NOT(ISNUMBER(I1956))),"",IF(G1956=Lists!$B$5,I1956/2,IF(G1956=Lists!$B$7,I1956,0)))</f>
        <v/>
      </c>
      <c r="O1956" s="53">
        <f>IF(COUNTA(A1956:K1956)=0,"",IF(OR(A1956="",B1956="",C1956="",D1956="",E1956="",F1956="",G1956="",NOT(ISNUMBER(I1956))),"Incomplete",IF(COUNTIF(Lists!$H$4:$AA$4,C1956)=0,"Check category",IF(COUNTIF(INDEX(Lists!$H$6:$AA$45,0,MATCH(C1956,Lists!$H$4:$AA$4,0)),D1956)=0,"Check sub-category","OK"))))</f>
        <v/>
      </c>
      <c r="P1956">
        <f>IF(ISNUMBER(I1956),I1956+ROW()/10000000,"")</f>
        <v/>
      </c>
      <c r="Q1956">
        <f>IF(AND(ISNUMBER(P1956),ISNUMBER(A1956)),IF(AND(A1956&gt;=Dashboard!$Q$3,A1956&lt;=Dashboard!$Q$4,OR(J1956&lt;&gt;"Yes",Dashboard!$Q$15="Yes")),P1956,""),"")</f>
        <v/>
      </c>
    </row>
    <row r="1957">
      <c r="A1957" s="47" t="n"/>
      <c r="B1957" s="48" t="n"/>
      <c r="C1957" s="48" t="n"/>
      <c r="D1957" s="48" t="n"/>
      <c r="E1957" s="48" t="n"/>
      <c r="F1957" s="48" t="n"/>
      <c r="G1957" s="48" t="n"/>
      <c r="H1957" s="48" t="n"/>
      <c r="I1957" s="49" t="n"/>
      <c r="J1957" s="50" t="n"/>
      <c r="K1957" s="48" t="n"/>
      <c r="L1957" s="51">
        <f>IF(A1957="","",DATE(YEAR(A1957),MONTH(A1957),1))</f>
        <v/>
      </c>
      <c r="M1957" s="52">
        <f>IF(OR(A1957="",NOT(ISNUMBER(I1957))),"",IF(G1957=Lists!$B$5,I1957/2,IF(G1957=Lists!$B$6,I1957,0)))</f>
        <v/>
      </c>
      <c r="N1957" s="52">
        <f>IF(OR(A1957="",NOT(ISNUMBER(I1957))),"",IF(G1957=Lists!$B$5,I1957/2,IF(G1957=Lists!$B$7,I1957,0)))</f>
        <v/>
      </c>
      <c r="O1957" s="53">
        <f>IF(COUNTA(A1957:K1957)=0,"",IF(OR(A1957="",B1957="",C1957="",D1957="",E1957="",F1957="",G1957="",NOT(ISNUMBER(I1957))),"Incomplete",IF(COUNTIF(Lists!$H$4:$AA$4,C1957)=0,"Check category",IF(COUNTIF(INDEX(Lists!$H$6:$AA$45,0,MATCH(C1957,Lists!$H$4:$AA$4,0)),D1957)=0,"Check sub-category","OK"))))</f>
        <v/>
      </c>
      <c r="P1957">
        <f>IF(ISNUMBER(I1957),I1957+ROW()/10000000,"")</f>
        <v/>
      </c>
      <c r="Q1957">
        <f>IF(AND(ISNUMBER(P1957),ISNUMBER(A1957)),IF(AND(A1957&gt;=Dashboard!$Q$3,A1957&lt;=Dashboard!$Q$4,OR(J1957&lt;&gt;"Yes",Dashboard!$Q$15="Yes")),P1957,""),"")</f>
        <v/>
      </c>
    </row>
    <row r="1958">
      <c r="A1958" s="47" t="n"/>
      <c r="B1958" s="48" t="n"/>
      <c r="C1958" s="48" t="n"/>
      <c r="D1958" s="48" t="n"/>
      <c r="E1958" s="48" t="n"/>
      <c r="F1958" s="48" t="n"/>
      <c r="G1958" s="48" t="n"/>
      <c r="H1958" s="48" t="n"/>
      <c r="I1958" s="49" t="n"/>
      <c r="J1958" s="50" t="n"/>
      <c r="K1958" s="48" t="n"/>
      <c r="L1958" s="51">
        <f>IF(A1958="","",DATE(YEAR(A1958),MONTH(A1958),1))</f>
        <v/>
      </c>
      <c r="M1958" s="52">
        <f>IF(OR(A1958="",NOT(ISNUMBER(I1958))),"",IF(G1958=Lists!$B$5,I1958/2,IF(G1958=Lists!$B$6,I1958,0)))</f>
        <v/>
      </c>
      <c r="N1958" s="52">
        <f>IF(OR(A1958="",NOT(ISNUMBER(I1958))),"",IF(G1958=Lists!$B$5,I1958/2,IF(G1958=Lists!$B$7,I1958,0)))</f>
        <v/>
      </c>
      <c r="O1958" s="53">
        <f>IF(COUNTA(A1958:K1958)=0,"",IF(OR(A1958="",B1958="",C1958="",D1958="",E1958="",F1958="",G1958="",NOT(ISNUMBER(I1958))),"Incomplete",IF(COUNTIF(Lists!$H$4:$AA$4,C1958)=0,"Check category",IF(COUNTIF(INDEX(Lists!$H$6:$AA$45,0,MATCH(C1958,Lists!$H$4:$AA$4,0)),D1958)=0,"Check sub-category","OK"))))</f>
        <v/>
      </c>
      <c r="P1958">
        <f>IF(ISNUMBER(I1958),I1958+ROW()/10000000,"")</f>
        <v/>
      </c>
      <c r="Q1958">
        <f>IF(AND(ISNUMBER(P1958),ISNUMBER(A1958)),IF(AND(A1958&gt;=Dashboard!$Q$3,A1958&lt;=Dashboard!$Q$4,OR(J1958&lt;&gt;"Yes",Dashboard!$Q$15="Yes")),P1958,""),"")</f>
        <v/>
      </c>
    </row>
    <row r="1959">
      <c r="A1959" s="47" t="n"/>
      <c r="B1959" s="48" t="n"/>
      <c r="C1959" s="48" t="n"/>
      <c r="D1959" s="48" t="n"/>
      <c r="E1959" s="48" t="n"/>
      <c r="F1959" s="48" t="n"/>
      <c r="G1959" s="48" t="n"/>
      <c r="H1959" s="48" t="n"/>
      <c r="I1959" s="49" t="n"/>
      <c r="J1959" s="50" t="n"/>
      <c r="K1959" s="48" t="n"/>
      <c r="L1959" s="51">
        <f>IF(A1959="","",DATE(YEAR(A1959),MONTH(A1959),1))</f>
        <v/>
      </c>
      <c r="M1959" s="52">
        <f>IF(OR(A1959="",NOT(ISNUMBER(I1959))),"",IF(G1959=Lists!$B$5,I1959/2,IF(G1959=Lists!$B$6,I1959,0)))</f>
        <v/>
      </c>
      <c r="N1959" s="52">
        <f>IF(OR(A1959="",NOT(ISNUMBER(I1959))),"",IF(G1959=Lists!$B$5,I1959/2,IF(G1959=Lists!$B$7,I1959,0)))</f>
        <v/>
      </c>
      <c r="O1959" s="53">
        <f>IF(COUNTA(A1959:K1959)=0,"",IF(OR(A1959="",B1959="",C1959="",D1959="",E1959="",F1959="",G1959="",NOT(ISNUMBER(I1959))),"Incomplete",IF(COUNTIF(Lists!$H$4:$AA$4,C1959)=0,"Check category",IF(COUNTIF(INDEX(Lists!$H$6:$AA$45,0,MATCH(C1959,Lists!$H$4:$AA$4,0)),D1959)=0,"Check sub-category","OK"))))</f>
        <v/>
      </c>
      <c r="P1959">
        <f>IF(ISNUMBER(I1959),I1959+ROW()/10000000,"")</f>
        <v/>
      </c>
      <c r="Q1959">
        <f>IF(AND(ISNUMBER(P1959),ISNUMBER(A1959)),IF(AND(A1959&gt;=Dashboard!$Q$3,A1959&lt;=Dashboard!$Q$4,OR(J1959&lt;&gt;"Yes",Dashboard!$Q$15="Yes")),P1959,""),"")</f>
        <v/>
      </c>
    </row>
    <row r="1960">
      <c r="A1960" s="47" t="n"/>
      <c r="B1960" s="48" t="n"/>
      <c r="C1960" s="48" t="n"/>
      <c r="D1960" s="48" t="n"/>
      <c r="E1960" s="48" t="n"/>
      <c r="F1960" s="48" t="n"/>
      <c r="G1960" s="48" t="n"/>
      <c r="H1960" s="48" t="n"/>
      <c r="I1960" s="49" t="n"/>
      <c r="J1960" s="50" t="n"/>
      <c r="K1960" s="48" t="n"/>
      <c r="L1960" s="51">
        <f>IF(A1960="","",DATE(YEAR(A1960),MONTH(A1960),1))</f>
        <v/>
      </c>
      <c r="M1960" s="52">
        <f>IF(OR(A1960="",NOT(ISNUMBER(I1960))),"",IF(G1960=Lists!$B$5,I1960/2,IF(G1960=Lists!$B$6,I1960,0)))</f>
        <v/>
      </c>
      <c r="N1960" s="52">
        <f>IF(OR(A1960="",NOT(ISNUMBER(I1960))),"",IF(G1960=Lists!$B$5,I1960/2,IF(G1960=Lists!$B$7,I1960,0)))</f>
        <v/>
      </c>
      <c r="O1960" s="53">
        <f>IF(COUNTA(A1960:K1960)=0,"",IF(OR(A1960="",B1960="",C1960="",D1960="",E1960="",F1960="",G1960="",NOT(ISNUMBER(I1960))),"Incomplete",IF(COUNTIF(Lists!$H$4:$AA$4,C1960)=0,"Check category",IF(COUNTIF(INDEX(Lists!$H$6:$AA$45,0,MATCH(C1960,Lists!$H$4:$AA$4,0)),D1960)=0,"Check sub-category","OK"))))</f>
        <v/>
      </c>
      <c r="P1960">
        <f>IF(ISNUMBER(I1960),I1960+ROW()/10000000,"")</f>
        <v/>
      </c>
      <c r="Q1960">
        <f>IF(AND(ISNUMBER(P1960),ISNUMBER(A1960)),IF(AND(A1960&gt;=Dashboard!$Q$3,A1960&lt;=Dashboard!$Q$4,OR(J1960&lt;&gt;"Yes",Dashboard!$Q$15="Yes")),P1960,""),"")</f>
        <v/>
      </c>
    </row>
    <row r="1961">
      <c r="A1961" s="47" t="n"/>
      <c r="B1961" s="48" t="n"/>
      <c r="C1961" s="48" t="n"/>
      <c r="D1961" s="48" t="n"/>
      <c r="E1961" s="48" t="n"/>
      <c r="F1961" s="48" t="n"/>
      <c r="G1961" s="48" t="n"/>
      <c r="H1961" s="48" t="n"/>
      <c r="I1961" s="49" t="n"/>
      <c r="J1961" s="50" t="n"/>
      <c r="K1961" s="48" t="n"/>
      <c r="L1961" s="51">
        <f>IF(A1961="","",DATE(YEAR(A1961),MONTH(A1961),1))</f>
        <v/>
      </c>
      <c r="M1961" s="52">
        <f>IF(OR(A1961="",NOT(ISNUMBER(I1961))),"",IF(G1961=Lists!$B$5,I1961/2,IF(G1961=Lists!$B$6,I1961,0)))</f>
        <v/>
      </c>
      <c r="N1961" s="52">
        <f>IF(OR(A1961="",NOT(ISNUMBER(I1961))),"",IF(G1961=Lists!$B$5,I1961/2,IF(G1961=Lists!$B$7,I1961,0)))</f>
        <v/>
      </c>
      <c r="O1961" s="53">
        <f>IF(COUNTA(A1961:K1961)=0,"",IF(OR(A1961="",B1961="",C1961="",D1961="",E1961="",F1961="",G1961="",NOT(ISNUMBER(I1961))),"Incomplete",IF(COUNTIF(Lists!$H$4:$AA$4,C1961)=0,"Check category",IF(COUNTIF(INDEX(Lists!$H$6:$AA$45,0,MATCH(C1961,Lists!$H$4:$AA$4,0)),D1961)=0,"Check sub-category","OK"))))</f>
        <v/>
      </c>
      <c r="P1961">
        <f>IF(ISNUMBER(I1961),I1961+ROW()/10000000,"")</f>
        <v/>
      </c>
      <c r="Q1961">
        <f>IF(AND(ISNUMBER(P1961),ISNUMBER(A1961)),IF(AND(A1961&gt;=Dashboard!$Q$3,A1961&lt;=Dashboard!$Q$4,OR(J1961&lt;&gt;"Yes",Dashboard!$Q$15="Yes")),P1961,""),"")</f>
        <v/>
      </c>
    </row>
    <row r="1962">
      <c r="A1962" s="47" t="n"/>
      <c r="B1962" s="48" t="n"/>
      <c r="C1962" s="48" t="n"/>
      <c r="D1962" s="48" t="n"/>
      <c r="E1962" s="48" t="n"/>
      <c r="F1962" s="48" t="n"/>
      <c r="G1962" s="48" t="n"/>
      <c r="H1962" s="48" t="n"/>
      <c r="I1962" s="49" t="n"/>
      <c r="J1962" s="50" t="n"/>
      <c r="K1962" s="48" t="n"/>
      <c r="L1962" s="51">
        <f>IF(A1962="","",DATE(YEAR(A1962),MONTH(A1962),1))</f>
        <v/>
      </c>
      <c r="M1962" s="52">
        <f>IF(OR(A1962="",NOT(ISNUMBER(I1962))),"",IF(G1962=Lists!$B$5,I1962/2,IF(G1962=Lists!$B$6,I1962,0)))</f>
        <v/>
      </c>
      <c r="N1962" s="52">
        <f>IF(OR(A1962="",NOT(ISNUMBER(I1962))),"",IF(G1962=Lists!$B$5,I1962/2,IF(G1962=Lists!$B$7,I1962,0)))</f>
        <v/>
      </c>
      <c r="O1962" s="53">
        <f>IF(COUNTA(A1962:K1962)=0,"",IF(OR(A1962="",B1962="",C1962="",D1962="",E1962="",F1962="",G1962="",NOT(ISNUMBER(I1962))),"Incomplete",IF(COUNTIF(Lists!$H$4:$AA$4,C1962)=0,"Check category",IF(COUNTIF(INDEX(Lists!$H$6:$AA$45,0,MATCH(C1962,Lists!$H$4:$AA$4,0)),D1962)=0,"Check sub-category","OK"))))</f>
        <v/>
      </c>
      <c r="P1962">
        <f>IF(ISNUMBER(I1962),I1962+ROW()/10000000,"")</f>
        <v/>
      </c>
      <c r="Q1962">
        <f>IF(AND(ISNUMBER(P1962),ISNUMBER(A1962)),IF(AND(A1962&gt;=Dashboard!$Q$3,A1962&lt;=Dashboard!$Q$4,OR(J1962&lt;&gt;"Yes",Dashboard!$Q$15="Yes")),P1962,""),"")</f>
        <v/>
      </c>
    </row>
    <row r="1963">
      <c r="A1963" s="47" t="n"/>
      <c r="B1963" s="48" t="n"/>
      <c r="C1963" s="48" t="n"/>
      <c r="D1963" s="48" t="n"/>
      <c r="E1963" s="48" t="n"/>
      <c r="F1963" s="48" t="n"/>
      <c r="G1963" s="48" t="n"/>
      <c r="H1963" s="48" t="n"/>
      <c r="I1963" s="49" t="n"/>
      <c r="J1963" s="50" t="n"/>
      <c r="K1963" s="48" t="n"/>
      <c r="L1963" s="51">
        <f>IF(A1963="","",DATE(YEAR(A1963),MONTH(A1963),1))</f>
        <v/>
      </c>
      <c r="M1963" s="52">
        <f>IF(OR(A1963="",NOT(ISNUMBER(I1963))),"",IF(G1963=Lists!$B$5,I1963/2,IF(G1963=Lists!$B$6,I1963,0)))</f>
        <v/>
      </c>
      <c r="N1963" s="52">
        <f>IF(OR(A1963="",NOT(ISNUMBER(I1963))),"",IF(G1963=Lists!$B$5,I1963/2,IF(G1963=Lists!$B$7,I1963,0)))</f>
        <v/>
      </c>
      <c r="O1963" s="53">
        <f>IF(COUNTA(A1963:K1963)=0,"",IF(OR(A1963="",B1963="",C1963="",D1963="",E1963="",F1963="",G1963="",NOT(ISNUMBER(I1963))),"Incomplete",IF(COUNTIF(Lists!$H$4:$AA$4,C1963)=0,"Check category",IF(COUNTIF(INDEX(Lists!$H$6:$AA$45,0,MATCH(C1963,Lists!$H$4:$AA$4,0)),D1963)=0,"Check sub-category","OK"))))</f>
        <v/>
      </c>
      <c r="P1963">
        <f>IF(ISNUMBER(I1963),I1963+ROW()/10000000,"")</f>
        <v/>
      </c>
      <c r="Q1963">
        <f>IF(AND(ISNUMBER(P1963),ISNUMBER(A1963)),IF(AND(A1963&gt;=Dashboard!$Q$3,A1963&lt;=Dashboard!$Q$4,OR(J1963&lt;&gt;"Yes",Dashboard!$Q$15="Yes")),P1963,""),"")</f>
        <v/>
      </c>
    </row>
    <row r="1964">
      <c r="A1964" s="47" t="n"/>
      <c r="B1964" s="48" t="n"/>
      <c r="C1964" s="48" t="n"/>
      <c r="D1964" s="48" t="n"/>
      <c r="E1964" s="48" t="n"/>
      <c r="F1964" s="48" t="n"/>
      <c r="G1964" s="48" t="n"/>
      <c r="H1964" s="48" t="n"/>
      <c r="I1964" s="49" t="n"/>
      <c r="J1964" s="50" t="n"/>
      <c r="K1964" s="48" t="n"/>
      <c r="L1964" s="51">
        <f>IF(A1964="","",DATE(YEAR(A1964),MONTH(A1964),1))</f>
        <v/>
      </c>
      <c r="M1964" s="52">
        <f>IF(OR(A1964="",NOT(ISNUMBER(I1964))),"",IF(G1964=Lists!$B$5,I1964/2,IF(G1964=Lists!$B$6,I1964,0)))</f>
        <v/>
      </c>
      <c r="N1964" s="52">
        <f>IF(OR(A1964="",NOT(ISNUMBER(I1964))),"",IF(G1964=Lists!$B$5,I1964/2,IF(G1964=Lists!$B$7,I1964,0)))</f>
        <v/>
      </c>
      <c r="O1964" s="53">
        <f>IF(COUNTA(A1964:K1964)=0,"",IF(OR(A1964="",B1964="",C1964="",D1964="",E1964="",F1964="",G1964="",NOT(ISNUMBER(I1964))),"Incomplete",IF(COUNTIF(Lists!$H$4:$AA$4,C1964)=0,"Check category",IF(COUNTIF(INDEX(Lists!$H$6:$AA$45,0,MATCH(C1964,Lists!$H$4:$AA$4,0)),D1964)=0,"Check sub-category","OK"))))</f>
        <v/>
      </c>
      <c r="P1964">
        <f>IF(ISNUMBER(I1964),I1964+ROW()/10000000,"")</f>
        <v/>
      </c>
      <c r="Q1964">
        <f>IF(AND(ISNUMBER(P1964),ISNUMBER(A1964)),IF(AND(A1964&gt;=Dashboard!$Q$3,A1964&lt;=Dashboard!$Q$4,OR(J1964&lt;&gt;"Yes",Dashboard!$Q$15="Yes")),P1964,""),"")</f>
        <v/>
      </c>
    </row>
    <row r="1965">
      <c r="A1965" s="47" t="n"/>
      <c r="B1965" s="48" t="n"/>
      <c r="C1965" s="48" t="n"/>
      <c r="D1965" s="48" t="n"/>
      <c r="E1965" s="48" t="n"/>
      <c r="F1965" s="48" t="n"/>
      <c r="G1965" s="48" t="n"/>
      <c r="H1965" s="48" t="n"/>
      <c r="I1965" s="49" t="n"/>
      <c r="J1965" s="50" t="n"/>
      <c r="K1965" s="48" t="n"/>
      <c r="L1965" s="51">
        <f>IF(A1965="","",DATE(YEAR(A1965),MONTH(A1965),1))</f>
        <v/>
      </c>
      <c r="M1965" s="52">
        <f>IF(OR(A1965="",NOT(ISNUMBER(I1965))),"",IF(G1965=Lists!$B$5,I1965/2,IF(G1965=Lists!$B$6,I1965,0)))</f>
        <v/>
      </c>
      <c r="N1965" s="52">
        <f>IF(OR(A1965="",NOT(ISNUMBER(I1965))),"",IF(G1965=Lists!$B$5,I1965/2,IF(G1965=Lists!$B$7,I1965,0)))</f>
        <v/>
      </c>
      <c r="O1965" s="53">
        <f>IF(COUNTA(A1965:K1965)=0,"",IF(OR(A1965="",B1965="",C1965="",D1965="",E1965="",F1965="",G1965="",NOT(ISNUMBER(I1965))),"Incomplete",IF(COUNTIF(Lists!$H$4:$AA$4,C1965)=0,"Check category",IF(COUNTIF(INDEX(Lists!$H$6:$AA$45,0,MATCH(C1965,Lists!$H$4:$AA$4,0)),D1965)=0,"Check sub-category","OK"))))</f>
        <v/>
      </c>
      <c r="P1965">
        <f>IF(ISNUMBER(I1965),I1965+ROW()/10000000,"")</f>
        <v/>
      </c>
      <c r="Q1965">
        <f>IF(AND(ISNUMBER(P1965),ISNUMBER(A1965)),IF(AND(A1965&gt;=Dashboard!$Q$3,A1965&lt;=Dashboard!$Q$4,OR(J1965&lt;&gt;"Yes",Dashboard!$Q$15="Yes")),P1965,""),"")</f>
        <v/>
      </c>
    </row>
    <row r="1966">
      <c r="A1966" s="47" t="n"/>
      <c r="B1966" s="48" t="n"/>
      <c r="C1966" s="48" t="n"/>
      <c r="D1966" s="48" t="n"/>
      <c r="E1966" s="48" t="n"/>
      <c r="F1966" s="48" t="n"/>
      <c r="G1966" s="48" t="n"/>
      <c r="H1966" s="48" t="n"/>
      <c r="I1966" s="49" t="n"/>
      <c r="J1966" s="50" t="n"/>
      <c r="K1966" s="48" t="n"/>
      <c r="L1966" s="51">
        <f>IF(A1966="","",DATE(YEAR(A1966),MONTH(A1966),1))</f>
        <v/>
      </c>
      <c r="M1966" s="52">
        <f>IF(OR(A1966="",NOT(ISNUMBER(I1966))),"",IF(G1966=Lists!$B$5,I1966/2,IF(G1966=Lists!$B$6,I1966,0)))</f>
        <v/>
      </c>
      <c r="N1966" s="52">
        <f>IF(OR(A1966="",NOT(ISNUMBER(I1966))),"",IF(G1966=Lists!$B$5,I1966/2,IF(G1966=Lists!$B$7,I1966,0)))</f>
        <v/>
      </c>
      <c r="O1966" s="53">
        <f>IF(COUNTA(A1966:K1966)=0,"",IF(OR(A1966="",B1966="",C1966="",D1966="",E1966="",F1966="",G1966="",NOT(ISNUMBER(I1966))),"Incomplete",IF(COUNTIF(Lists!$H$4:$AA$4,C1966)=0,"Check category",IF(COUNTIF(INDEX(Lists!$H$6:$AA$45,0,MATCH(C1966,Lists!$H$4:$AA$4,0)),D1966)=0,"Check sub-category","OK"))))</f>
        <v/>
      </c>
      <c r="P1966">
        <f>IF(ISNUMBER(I1966),I1966+ROW()/10000000,"")</f>
        <v/>
      </c>
      <c r="Q1966">
        <f>IF(AND(ISNUMBER(P1966),ISNUMBER(A1966)),IF(AND(A1966&gt;=Dashboard!$Q$3,A1966&lt;=Dashboard!$Q$4,OR(J1966&lt;&gt;"Yes",Dashboard!$Q$15="Yes")),P1966,""),"")</f>
        <v/>
      </c>
    </row>
    <row r="1967">
      <c r="A1967" s="47" t="n"/>
      <c r="B1967" s="48" t="n"/>
      <c r="C1967" s="48" t="n"/>
      <c r="D1967" s="48" t="n"/>
      <c r="E1967" s="48" t="n"/>
      <c r="F1967" s="48" t="n"/>
      <c r="G1967" s="48" t="n"/>
      <c r="H1967" s="48" t="n"/>
      <c r="I1967" s="49" t="n"/>
      <c r="J1967" s="50" t="n"/>
      <c r="K1967" s="48" t="n"/>
      <c r="L1967" s="51">
        <f>IF(A1967="","",DATE(YEAR(A1967),MONTH(A1967),1))</f>
        <v/>
      </c>
      <c r="M1967" s="52">
        <f>IF(OR(A1967="",NOT(ISNUMBER(I1967))),"",IF(G1967=Lists!$B$5,I1967/2,IF(G1967=Lists!$B$6,I1967,0)))</f>
        <v/>
      </c>
      <c r="N1967" s="52">
        <f>IF(OR(A1967="",NOT(ISNUMBER(I1967))),"",IF(G1967=Lists!$B$5,I1967/2,IF(G1967=Lists!$B$7,I1967,0)))</f>
        <v/>
      </c>
      <c r="O1967" s="53">
        <f>IF(COUNTA(A1967:K1967)=0,"",IF(OR(A1967="",B1967="",C1967="",D1967="",E1967="",F1967="",G1967="",NOT(ISNUMBER(I1967))),"Incomplete",IF(COUNTIF(Lists!$H$4:$AA$4,C1967)=0,"Check category",IF(COUNTIF(INDEX(Lists!$H$6:$AA$45,0,MATCH(C1967,Lists!$H$4:$AA$4,0)),D1967)=0,"Check sub-category","OK"))))</f>
        <v/>
      </c>
      <c r="P1967">
        <f>IF(ISNUMBER(I1967),I1967+ROW()/10000000,"")</f>
        <v/>
      </c>
      <c r="Q1967">
        <f>IF(AND(ISNUMBER(P1967),ISNUMBER(A1967)),IF(AND(A1967&gt;=Dashboard!$Q$3,A1967&lt;=Dashboard!$Q$4,OR(J1967&lt;&gt;"Yes",Dashboard!$Q$15="Yes")),P1967,""),"")</f>
        <v/>
      </c>
    </row>
    <row r="1968">
      <c r="A1968" s="47" t="n"/>
      <c r="B1968" s="48" t="n"/>
      <c r="C1968" s="48" t="n"/>
      <c r="D1968" s="48" t="n"/>
      <c r="E1968" s="48" t="n"/>
      <c r="F1968" s="48" t="n"/>
      <c r="G1968" s="48" t="n"/>
      <c r="H1968" s="48" t="n"/>
      <c r="I1968" s="49" t="n"/>
      <c r="J1968" s="50" t="n"/>
      <c r="K1968" s="48" t="n"/>
      <c r="L1968" s="51">
        <f>IF(A1968="","",DATE(YEAR(A1968),MONTH(A1968),1))</f>
        <v/>
      </c>
      <c r="M1968" s="52">
        <f>IF(OR(A1968="",NOT(ISNUMBER(I1968))),"",IF(G1968=Lists!$B$5,I1968/2,IF(G1968=Lists!$B$6,I1968,0)))</f>
        <v/>
      </c>
      <c r="N1968" s="52">
        <f>IF(OR(A1968="",NOT(ISNUMBER(I1968))),"",IF(G1968=Lists!$B$5,I1968/2,IF(G1968=Lists!$B$7,I1968,0)))</f>
        <v/>
      </c>
      <c r="O1968" s="53">
        <f>IF(COUNTA(A1968:K1968)=0,"",IF(OR(A1968="",B1968="",C1968="",D1968="",E1968="",F1968="",G1968="",NOT(ISNUMBER(I1968))),"Incomplete",IF(COUNTIF(Lists!$H$4:$AA$4,C1968)=0,"Check category",IF(COUNTIF(INDEX(Lists!$H$6:$AA$45,0,MATCH(C1968,Lists!$H$4:$AA$4,0)),D1968)=0,"Check sub-category","OK"))))</f>
        <v/>
      </c>
      <c r="P1968">
        <f>IF(ISNUMBER(I1968),I1968+ROW()/10000000,"")</f>
        <v/>
      </c>
      <c r="Q1968">
        <f>IF(AND(ISNUMBER(P1968),ISNUMBER(A1968)),IF(AND(A1968&gt;=Dashboard!$Q$3,A1968&lt;=Dashboard!$Q$4,OR(J1968&lt;&gt;"Yes",Dashboard!$Q$15="Yes")),P1968,""),"")</f>
        <v/>
      </c>
    </row>
    <row r="1969">
      <c r="A1969" s="47" t="n"/>
      <c r="B1969" s="48" t="n"/>
      <c r="C1969" s="48" t="n"/>
      <c r="D1969" s="48" t="n"/>
      <c r="E1969" s="48" t="n"/>
      <c r="F1969" s="48" t="n"/>
      <c r="G1969" s="48" t="n"/>
      <c r="H1969" s="48" t="n"/>
      <c r="I1969" s="49" t="n"/>
      <c r="J1969" s="50" t="n"/>
      <c r="K1969" s="48" t="n"/>
      <c r="L1969" s="51">
        <f>IF(A1969="","",DATE(YEAR(A1969),MONTH(A1969),1))</f>
        <v/>
      </c>
      <c r="M1969" s="52">
        <f>IF(OR(A1969="",NOT(ISNUMBER(I1969))),"",IF(G1969=Lists!$B$5,I1969/2,IF(G1969=Lists!$B$6,I1969,0)))</f>
        <v/>
      </c>
      <c r="N1969" s="52">
        <f>IF(OR(A1969="",NOT(ISNUMBER(I1969))),"",IF(G1969=Lists!$B$5,I1969/2,IF(G1969=Lists!$B$7,I1969,0)))</f>
        <v/>
      </c>
      <c r="O1969" s="53">
        <f>IF(COUNTA(A1969:K1969)=0,"",IF(OR(A1969="",B1969="",C1969="",D1969="",E1969="",F1969="",G1969="",NOT(ISNUMBER(I1969))),"Incomplete",IF(COUNTIF(Lists!$H$4:$AA$4,C1969)=0,"Check category",IF(COUNTIF(INDEX(Lists!$H$6:$AA$45,0,MATCH(C1969,Lists!$H$4:$AA$4,0)),D1969)=0,"Check sub-category","OK"))))</f>
        <v/>
      </c>
      <c r="P1969">
        <f>IF(ISNUMBER(I1969),I1969+ROW()/10000000,"")</f>
        <v/>
      </c>
      <c r="Q1969">
        <f>IF(AND(ISNUMBER(P1969),ISNUMBER(A1969)),IF(AND(A1969&gt;=Dashboard!$Q$3,A1969&lt;=Dashboard!$Q$4,OR(J1969&lt;&gt;"Yes",Dashboard!$Q$15="Yes")),P1969,""),"")</f>
        <v/>
      </c>
    </row>
    <row r="1970">
      <c r="A1970" s="47" t="n"/>
      <c r="B1970" s="48" t="n"/>
      <c r="C1970" s="48" t="n"/>
      <c r="D1970" s="48" t="n"/>
      <c r="E1970" s="48" t="n"/>
      <c r="F1970" s="48" t="n"/>
      <c r="G1970" s="48" t="n"/>
      <c r="H1970" s="48" t="n"/>
      <c r="I1970" s="49" t="n"/>
      <c r="J1970" s="50" t="n"/>
      <c r="K1970" s="48" t="n"/>
      <c r="L1970" s="51">
        <f>IF(A1970="","",DATE(YEAR(A1970),MONTH(A1970),1))</f>
        <v/>
      </c>
      <c r="M1970" s="52">
        <f>IF(OR(A1970="",NOT(ISNUMBER(I1970))),"",IF(G1970=Lists!$B$5,I1970/2,IF(G1970=Lists!$B$6,I1970,0)))</f>
        <v/>
      </c>
      <c r="N1970" s="52">
        <f>IF(OR(A1970="",NOT(ISNUMBER(I1970))),"",IF(G1970=Lists!$B$5,I1970/2,IF(G1970=Lists!$B$7,I1970,0)))</f>
        <v/>
      </c>
      <c r="O1970" s="53">
        <f>IF(COUNTA(A1970:K1970)=0,"",IF(OR(A1970="",B1970="",C1970="",D1970="",E1970="",F1970="",G1970="",NOT(ISNUMBER(I1970))),"Incomplete",IF(COUNTIF(Lists!$H$4:$AA$4,C1970)=0,"Check category",IF(COUNTIF(INDEX(Lists!$H$6:$AA$45,0,MATCH(C1970,Lists!$H$4:$AA$4,0)),D1970)=0,"Check sub-category","OK"))))</f>
        <v/>
      </c>
      <c r="P1970">
        <f>IF(ISNUMBER(I1970),I1970+ROW()/10000000,"")</f>
        <v/>
      </c>
      <c r="Q1970">
        <f>IF(AND(ISNUMBER(P1970),ISNUMBER(A1970)),IF(AND(A1970&gt;=Dashboard!$Q$3,A1970&lt;=Dashboard!$Q$4,OR(J1970&lt;&gt;"Yes",Dashboard!$Q$15="Yes")),P1970,""),"")</f>
        <v/>
      </c>
    </row>
    <row r="1971">
      <c r="A1971" s="47" t="n"/>
      <c r="B1971" s="48" t="n"/>
      <c r="C1971" s="48" t="n"/>
      <c r="D1971" s="48" t="n"/>
      <c r="E1971" s="48" t="n"/>
      <c r="F1971" s="48" t="n"/>
      <c r="G1971" s="48" t="n"/>
      <c r="H1971" s="48" t="n"/>
      <c r="I1971" s="49" t="n"/>
      <c r="J1971" s="50" t="n"/>
      <c r="K1971" s="48" t="n"/>
      <c r="L1971" s="51">
        <f>IF(A1971="","",DATE(YEAR(A1971),MONTH(A1971),1))</f>
        <v/>
      </c>
      <c r="M1971" s="52">
        <f>IF(OR(A1971="",NOT(ISNUMBER(I1971))),"",IF(G1971=Lists!$B$5,I1971/2,IF(G1971=Lists!$B$6,I1971,0)))</f>
        <v/>
      </c>
      <c r="N1971" s="52">
        <f>IF(OR(A1971="",NOT(ISNUMBER(I1971))),"",IF(G1971=Lists!$B$5,I1971/2,IF(G1971=Lists!$B$7,I1971,0)))</f>
        <v/>
      </c>
      <c r="O1971" s="53">
        <f>IF(COUNTA(A1971:K1971)=0,"",IF(OR(A1971="",B1971="",C1971="",D1971="",E1971="",F1971="",G1971="",NOT(ISNUMBER(I1971))),"Incomplete",IF(COUNTIF(Lists!$H$4:$AA$4,C1971)=0,"Check category",IF(COUNTIF(INDEX(Lists!$H$6:$AA$45,0,MATCH(C1971,Lists!$H$4:$AA$4,0)),D1971)=0,"Check sub-category","OK"))))</f>
        <v/>
      </c>
      <c r="P1971">
        <f>IF(ISNUMBER(I1971),I1971+ROW()/10000000,"")</f>
        <v/>
      </c>
      <c r="Q1971">
        <f>IF(AND(ISNUMBER(P1971),ISNUMBER(A1971)),IF(AND(A1971&gt;=Dashboard!$Q$3,A1971&lt;=Dashboard!$Q$4,OR(J1971&lt;&gt;"Yes",Dashboard!$Q$15="Yes")),P1971,""),"")</f>
        <v/>
      </c>
    </row>
    <row r="1972">
      <c r="A1972" s="47" t="n"/>
      <c r="B1972" s="48" t="n"/>
      <c r="C1972" s="48" t="n"/>
      <c r="D1972" s="48" t="n"/>
      <c r="E1972" s="48" t="n"/>
      <c r="F1972" s="48" t="n"/>
      <c r="G1972" s="48" t="n"/>
      <c r="H1972" s="48" t="n"/>
      <c r="I1972" s="49" t="n"/>
      <c r="J1972" s="50" t="n"/>
      <c r="K1972" s="48" t="n"/>
      <c r="L1972" s="51">
        <f>IF(A1972="","",DATE(YEAR(A1972),MONTH(A1972),1))</f>
        <v/>
      </c>
      <c r="M1972" s="52">
        <f>IF(OR(A1972="",NOT(ISNUMBER(I1972))),"",IF(G1972=Lists!$B$5,I1972/2,IF(G1972=Lists!$B$6,I1972,0)))</f>
        <v/>
      </c>
      <c r="N1972" s="52">
        <f>IF(OR(A1972="",NOT(ISNUMBER(I1972))),"",IF(G1972=Lists!$B$5,I1972/2,IF(G1972=Lists!$B$7,I1972,0)))</f>
        <v/>
      </c>
      <c r="O1972" s="53">
        <f>IF(COUNTA(A1972:K1972)=0,"",IF(OR(A1972="",B1972="",C1972="",D1972="",E1972="",F1972="",G1972="",NOT(ISNUMBER(I1972))),"Incomplete",IF(COUNTIF(Lists!$H$4:$AA$4,C1972)=0,"Check category",IF(COUNTIF(INDEX(Lists!$H$6:$AA$45,0,MATCH(C1972,Lists!$H$4:$AA$4,0)),D1972)=0,"Check sub-category","OK"))))</f>
        <v/>
      </c>
      <c r="P1972">
        <f>IF(ISNUMBER(I1972),I1972+ROW()/10000000,"")</f>
        <v/>
      </c>
      <c r="Q1972">
        <f>IF(AND(ISNUMBER(P1972),ISNUMBER(A1972)),IF(AND(A1972&gt;=Dashboard!$Q$3,A1972&lt;=Dashboard!$Q$4,OR(J1972&lt;&gt;"Yes",Dashboard!$Q$15="Yes")),P1972,""),"")</f>
        <v/>
      </c>
    </row>
    <row r="1973">
      <c r="A1973" s="47" t="n"/>
      <c r="B1973" s="48" t="n"/>
      <c r="C1973" s="48" t="n"/>
      <c r="D1973" s="48" t="n"/>
      <c r="E1973" s="48" t="n"/>
      <c r="F1973" s="48" t="n"/>
      <c r="G1973" s="48" t="n"/>
      <c r="H1973" s="48" t="n"/>
      <c r="I1973" s="49" t="n"/>
      <c r="J1973" s="50" t="n"/>
      <c r="K1973" s="48" t="n"/>
      <c r="L1973" s="51">
        <f>IF(A1973="","",DATE(YEAR(A1973),MONTH(A1973),1))</f>
        <v/>
      </c>
      <c r="M1973" s="52">
        <f>IF(OR(A1973="",NOT(ISNUMBER(I1973))),"",IF(G1973=Lists!$B$5,I1973/2,IF(G1973=Lists!$B$6,I1973,0)))</f>
        <v/>
      </c>
      <c r="N1973" s="52">
        <f>IF(OR(A1973="",NOT(ISNUMBER(I1973))),"",IF(G1973=Lists!$B$5,I1973/2,IF(G1973=Lists!$B$7,I1973,0)))</f>
        <v/>
      </c>
      <c r="O1973" s="53">
        <f>IF(COUNTA(A1973:K1973)=0,"",IF(OR(A1973="",B1973="",C1973="",D1973="",E1973="",F1973="",G1973="",NOT(ISNUMBER(I1973))),"Incomplete",IF(COUNTIF(Lists!$H$4:$AA$4,C1973)=0,"Check category",IF(COUNTIF(INDEX(Lists!$H$6:$AA$45,0,MATCH(C1973,Lists!$H$4:$AA$4,0)),D1973)=0,"Check sub-category","OK"))))</f>
        <v/>
      </c>
      <c r="P1973">
        <f>IF(ISNUMBER(I1973),I1973+ROW()/10000000,"")</f>
        <v/>
      </c>
      <c r="Q1973">
        <f>IF(AND(ISNUMBER(P1973),ISNUMBER(A1973)),IF(AND(A1973&gt;=Dashboard!$Q$3,A1973&lt;=Dashboard!$Q$4,OR(J1973&lt;&gt;"Yes",Dashboard!$Q$15="Yes")),P1973,""),"")</f>
        <v/>
      </c>
    </row>
    <row r="1974">
      <c r="A1974" s="47" t="n"/>
      <c r="B1974" s="48" t="n"/>
      <c r="C1974" s="48" t="n"/>
      <c r="D1974" s="48" t="n"/>
      <c r="E1974" s="48" t="n"/>
      <c r="F1974" s="48" t="n"/>
      <c r="G1974" s="48" t="n"/>
      <c r="H1974" s="48" t="n"/>
      <c r="I1974" s="49" t="n"/>
      <c r="J1974" s="50" t="n"/>
      <c r="K1974" s="48" t="n"/>
      <c r="L1974" s="51">
        <f>IF(A1974="","",DATE(YEAR(A1974),MONTH(A1974),1))</f>
        <v/>
      </c>
      <c r="M1974" s="52">
        <f>IF(OR(A1974="",NOT(ISNUMBER(I1974))),"",IF(G1974=Lists!$B$5,I1974/2,IF(G1974=Lists!$B$6,I1974,0)))</f>
        <v/>
      </c>
      <c r="N1974" s="52">
        <f>IF(OR(A1974="",NOT(ISNUMBER(I1974))),"",IF(G1974=Lists!$B$5,I1974/2,IF(G1974=Lists!$B$7,I1974,0)))</f>
        <v/>
      </c>
      <c r="O1974" s="53">
        <f>IF(COUNTA(A1974:K1974)=0,"",IF(OR(A1974="",B1974="",C1974="",D1974="",E1974="",F1974="",G1974="",NOT(ISNUMBER(I1974))),"Incomplete",IF(COUNTIF(Lists!$H$4:$AA$4,C1974)=0,"Check category",IF(COUNTIF(INDEX(Lists!$H$6:$AA$45,0,MATCH(C1974,Lists!$H$4:$AA$4,0)),D1974)=0,"Check sub-category","OK"))))</f>
        <v/>
      </c>
      <c r="P1974">
        <f>IF(ISNUMBER(I1974),I1974+ROW()/10000000,"")</f>
        <v/>
      </c>
      <c r="Q1974">
        <f>IF(AND(ISNUMBER(P1974),ISNUMBER(A1974)),IF(AND(A1974&gt;=Dashboard!$Q$3,A1974&lt;=Dashboard!$Q$4,OR(J1974&lt;&gt;"Yes",Dashboard!$Q$15="Yes")),P1974,""),"")</f>
        <v/>
      </c>
    </row>
    <row r="1975">
      <c r="A1975" s="47" t="n"/>
      <c r="B1975" s="48" t="n"/>
      <c r="C1975" s="48" t="n"/>
      <c r="D1975" s="48" t="n"/>
      <c r="E1975" s="48" t="n"/>
      <c r="F1975" s="48" t="n"/>
      <c r="G1975" s="48" t="n"/>
      <c r="H1975" s="48" t="n"/>
      <c r="I1975" s="49" t="n"/>
      <c r="J1975" s="50" t="n"/>
      <c r="K1975" s="48" t="n"/>
      <c r="L1975" s="51">
        <f>IF(A1975="","",DATE(YEAR(A1975),MONTH(A1975),1))</f>
        <v/>
      </c>
      <c r="M1975" s="52">
        <f>IF(OR(A1975="",NOT(ISNUMBER(I1975))),"",IF(G1975=Lists!$B$5,I1975/2,IF(G1975=Lists!$B$6,I1975,0)))</f>
        <v/>
      </c>
      <c r="N1975" s="52">
        <f>IF(OR(A1975="",NOT(ISNUMBER(I1975))),"",IF(G1975=Lists!$B$5,I1975/2,IF(G1975=Lists!$B$7,I1975,0)))</f>
        <v/>
      </c>
      <c r="O1975" s="53">
        <f>IF(COUNTA(A1975:K1975)=0,"",IF(OR(A1975="",B1975="",C1975="",D1975="",E1975="",F1975="",G1975="",NOT(ISNUMBER(I1975))),"Incomplete",IF(COUNTIF(Lists!$H$4:$AA$4,C1975)=0,"Check category",IF(COUNTIF(INDEX(Lists!$H$6:$AA$45,0,MATCH(C1975,Lists!$H$4:$AA$4,0)),D1975)=0,"Check sub-category","OK"))))</f>
        <v/>
      </c>
      <c r="P1975">
        <f>IF(ISNUMBER(I1975),I1975+ROW()/10000000,"")</f>
        <v/>
      </c>
      <c r="Q1975">
        <f>IF(AND(ISNUMBER(P1975),ISNUMBER(A1975)),IF(AND(A1975&gt;=Dashboard!$Q$3,A1975&lt;=Dashboard!$Q$4,OR(J1975&lt;&gt;"Yes",Dashboard!$Q$15="Yes")),P1975,""),"")</f>
        <v/>
      </c>
    </row>
    <row r="1976">
      <c r="A1976" s="47" t="n"/>
      <c r="B1976" s="48" t="n"/>
      <c r="C1976" s="48" t="n"/>
      <c r="D1976" s="48" t="n"/>
      <c r="E1976" s="48" t="n"/>
      <c r="F1976" s="48" t="n"/>
      <c r="G1976" s="48" t="n"/>
      <c r="H1976" s="48" t="n"/>
      <c r="I1976" s="49" t="n"/>
      <c r="J1976" s="50" t="n"/>
      <c r="K1976" s="48" t="n"/>
      <c r="L1976" s="51">
        <f>IF(A1976="","",DATE(YEAR(A1976),MONTH(A1976),1))</f>
        <v/>
      </c>
      <c r="M1976" s="52">
        <f>IF(OR(A1976="",NOT(ISNUMBER(I1976))),"",IF(G1976=Lists!$B$5,I1976/2,IF(G1976=Lists!$B$6,I1976,0)))</f>
        <v/>
      </c>
      <c r="N1976" s="52">
        <f>IF(OR(A1976="",NOT(ISNUMBER(I1976))),"",IF(G1976=Lists!$B$5,I1976/2,IF(G1976=Lists!$B$7,I1976,0)))</f>
        <v/>
      </c>
      <c r="O1976" s="53">
        <f>IF(COUNTA(A1976:K1976)=0,"",IF(OR(A1976="",B1976="",C1976="",D1976="",E1976="",F1976="",G1976="",NOT(ISNUMBER(I1976))),"Incomplete",IF(COUNTIF(Lists!$H$4:$AA$4,C1976)=0,"Check category",IF(COUNTIF(INDEX(Lists!$H$6:$AA$45,0,MATCH(C1976,Lists!$H$4:$AA$4,0)),D1976)=0,"Check sub-category","OK"))))</f>
        <v/>
      </c>
      <c r="P1976">
        <f>IF(ISNUMBER(I1976),I1976+ROW()/10000000,"")</f>
        <v/>
      </c>
      <c r="Q1976">
        <f>IF(AND(ISNUMBER(P1976),ISNUMBER(A1976)),IF(AND(A1976&gt;=Dashboard!$Q$3,A1976&lt;=Dashboard!$Q$4,OR(J1976&lt;&gt;"Yes",Dashboard!$Q$15="Yes")),P1976,""),"")</f>
        <v/>
      </c>
    </row>
    <row r="1977">
      <c r="A1977" s="47" t="n"/>
      <c r="B1977" s="48" t="n"/>
      <c r="C1977" s="48" t="n"/>
      <c r="D1977" s="48" t="n"/>
      <c r="E1977" s="48" t="n"/>
      <c r="F1977" s="48" t="n"/>
      <c r="G1977" s="48" t="n"/>
      <c r="H1977" s="48" t="n"/>
      <c r="I1977" s="49" t="n"/>
      <c r="J1977" s="50" t="n"/>
      <c r="K1977" s="48" t="n"/>
      <c r="L1977" s="51">
        <f>IF(A1977="","",DATE(YEAR(A1977),MONTH(A1977),1))</f>
        <v/>
      </c>
      <c r="M1977" s="52">
        <f>IF(OR(A1977="",NOT(ISNUMBER(I1977))),"",IF(G1977=Lists!$B$5,I1977/2,IF(G1977=Lists!$B$6,I1977,0)))</f>
        <v/>
      </c>
      <c r="N1977" s="52">
        <f>IF(OR(A1977="",NOT(ISNUMBER(I1977))),"",IF(G1977=Lists!$B$5,I1977/2,IF(G1977=Lists!$B$7,I1977,0)))</f>
        <v/>
      </c>
      <c r="O1977" s="53">
        <f>IF(COUNTA(A1977:K1977)=0,"",IF(OR(A1977="",B1977="",C1977="",D1977="",E1977="",F1977="",G1977="",NOT(ISNUMBER(I1977))),"Incomplete",IF(COUNTIF(Lists!$H$4:$AA$4,C1977)=0,"Check category",IF(COUNTIF(INDEX(Lists!$H$6:$AA$45,0,MATCH(C1977,Lists!$H$4:$AA$4,0)),D1977)=0,"Check sub-category","OK"))))</f>
        <v/>
      </c>
      <c r="P1977">
        <f>IF(ISNUMBER(I1977),I1977+ROW()/10000000,"")</f>
        <v/>
      </c>
      <c r="Q1977">
        <f>IF(AND(ISNUMBER(P1977),ISNUMBER(A1977)),IF(AND(A1977&gt;=Dashboard!$Q$3,A1977&lt;=Dashboard!$Q$4,OR(J1977&lt;&gt;"Yes",Dashboard!$Q$15="Yes")),P1977,""),"")</f>
        <v/>
      </c>
    </row>
    <row r="1978">
      <c r="A1978" s="47" t="n"/>
      <c r="B1978" s="48" t="n"/>
      <c r="C1978" s="48" t="n"/>
      <c r="D1978" s="48" t="n"/>
      <c r="E1978" s="48" t="n"/>
      <c r="F1978" s="48" t="n"/>
      <c r="G1978" s="48" t="n"/>
      <c r="H1978" s="48" t="n"/>
      <c r="I1978" s="49" t="n"/>
      <c r="J1978" s="50" t="n"/>
      <c r="K1978" s="48" t="n"/>
      <c r="L1978" s="51">
        <f>IF(A1978="","",DATE(YEAR(A1978),MONTH(A1978),1))</f>
        <v/>
      </c>
      <c r="M1978" s="52">
        <f>IF(OR(A1978="",NOT(ISNUMBER(I1978))),"",IF(G1978=Lists!$B$5,I1978/2,IF(G1978=Lists!$B$6,I1978,0)))</f>
        <v/>
      </c>
      <c r="N1978" s="52">
        <f>IF(OR(A1978="",NOT(ISNUMBER(I1978))),"",IF(G1978=Lists!$B$5,I1978/2,IF(G1978=Lists!$B$7,I1978,0)))</f>
        <v/>
      </c>
      <c r="O1978" s="53">
        <f>IF(COUNTA(A1978:K1978)=0,"",IF(OR(A1978="",B1978="",C1978="",D1978="",E1978="",F1978="",G1978="",NOT(ISNUMBER(I1978))),"Incomplete",IF(COUNTIF(Lists!$H$4:$AA$4,C1978)=0,"Check category",IF(COUNTIF(INDEX(Lists!$H$6:$AA$45,0,MATCH(C1978,Lists!$H$4:$AA$4,0)),D1978)=0,"Check sub-category","OK"))))</f>
        <v/>
      </c>
      <c r="P1978">
        <f>IF(ISNUMBER(I1978),I1978+ROW()/10000000,"")</f>
        <v/>
      </c>
      <c r="Q1978">
        <f>IF(AND(ISNUMBER(P1978),ISNUMBER(A1978)),IF(AND(A1978&gt;=Dashboard!$Q$3,A1978&lt;=Dashboard!$Q$4,OR(J1978&lt;&gt;"Yes",Dashboard!$Q$15="Yes")),P1978,""),"")</f>
        <v/>
      </c>
    </row>
    <row r="1979">
      <c r="A1979" s="47" t="n"/>
      <c r="B1979" s="48" t="n"/>
      <c r="C1979" s="48" t="n"/>
      <c r="D1979" s="48" t="n"/>
      <c r="E1979" s="48" t="n"/>
      <c r="F1979" s="48" t="n"/>
      <c r="G1979" s="48" t="n"/>
      <c r="H1979" s="48" t="n"/>
      <c r="I1979" s="49" t="n"/>
      <c r="J1979" s="50" t="n"/>
      <c r="K1979" s="48" t="n"/>
      <c r="L1979" s="51">
        <f>IF(A1979="","",DATE(YEAR(A1979),MONTH(A1979),1))</f>
        <v/>
      </c>
      <c r="M1979" s="52">
        <f>IF(OR(A1979="",NOT(ISNUMBER(I1979))),"",IF(G1979=Lists!$B$5,I1979/2,IF(G1979=Lists!$B$6,I1979,0)))</f>
        <v/>
      </c>
      <c r="N1979" s="52">
        <f>IF(OR(A1979="",NOT(ISNUMBER(I1979))),"",IF(G1979=Lists!$B$5,I1979/2,IF(G1979=Lists!$B$7,I1979,0)))</f>
        <v/>
      </c>
      <c r="O1979" s="53">
        <f>IF(COUNTA(A1979:K1979)=0,"",IF(OR(A1979="",B1979="",C1979="",D1979="",E1979="",F1979="",G1979="",NOT(ISNUMBER(I1979))),"Incomplete",IF(COUNTIF(Lists!$H$4:$AA$4,C1979)=0,"Check category",IF(COUNTIF(INDEX(Lists!$H$6:$AA$45,0,MATCH(C1979,Lists!$H$4:$AA$4,0)),D1979)=0,"Check sub-category","OK"))))</f>
        <v/>
      </c>
      <c r="P1979">
        <f>IF(ISNUMBER(I1979),I1979+ROW()/10000000,"")</f>
        <v/>
      </c>
      <c r="Q1979">
        <f>IF(AND(ISNUMBER(P1979),ISNUMBER(A1979)),IF(AND(A1979&gt;=Dashboard!$Q$3,A1979&lt;=Dashboard!$Q$4,OR(J1979&lt;&gt;"Yes",Dashboard!$Q$15="Yes")),P1979,""),"")</f>
        <v/>
      </c>
    </row>
    <row r="1980">
      <c r="A1980" s="47" t="n"/>
      <c r="B1980" s="48" t="n"/>
      <c r="C1980" s="48" t="n"/>
      <c r="D1980" s="48" t="n"/>
      <c r="E1980" s="48" t="n"/>
      <c r="F1980" s="48" t="n"/>
      <c r="G1980" s="48" t="n"/>
      <c r="H1980" s="48" t="n"/>
      <c r="I1980" s="49" t="n"/>
      <c r="J1980" s="50" t="n"/>
      <c r="K1980" s="48" t="n"/>
      <c r="L1980" s="51">
        <f>IF(A1980="","",DATE(YEAR(A1980),MONTH(A1980),1))</f>
        <v/>
      </c>
      <c r="M1980" s="52">
        <f>IF(OR(A1980="",NOT(ISNUMBER(I1980))),"",IF(G1980=Lists!$B$5,I1980/2,IF(G1980=Lists!$B$6,I1980,0)))</f>
        <v/>
      </c>
      <c r="N1980" s="52">
        <f>IF(OR(A1980="",NOT(ISNUMBER(I1980))),"",IF(G1980=Lists!$B$5,I1980/2,IF(G1980=Lists!$B$7,I1980,0)))</f>
        <v/>
      </c>
      <c r="O1980" s="53">
        <f>IF(COUNTA(A1980:K1980)=0,"",IF(OR(A1980="",B1980="",C1980="",D1980="",E1980="",F1980="",G1980="",NOT(ISNUMBER(I1980))),"Incomplete",IF(COUNTIF(Lists!$H$4:$AA$4,C1980)=0,"Check category",IF(COUNTIF(INDEX(Lists!$H$6:$AA$45,0,MATCH(C1980,Lists!$H$4:$AA$4,0)),D1980)=0,"Check sub-category","OK"))))</f>
        <v/>
      </c>
      <c r="P1980">
        <f>IF(ISNUMBER(I1980),I1980+ROW()/10000000,"")</f>
        <v/>
      </c>
      <c r="Q1980">
        <f>IF(AND(ISNUMBER(P1980),ISNUMBER(A1980)),IF(AND(A1980&gt;=Dashboard!$Q$3,A1980&lt;=Dashboard!$Q$4,OR(J1980&lt;&gt;"Yes",Dashboard!$Q$15="Yes")),P1980,""),"")</f>
        <v/>
      </c>
    </row>
    <row r="1981">
      <c r="A1981" s="47" t="n"/>
      <c r="B1981" s="48" t="n"/>
      <c r="C1981" s="48" t="n"/>
      <c r="D1981" s="48" t="n"/>
      <c r="E1981" s="48" t="n"/>
      <c r="F1981" s="48" t="n"/>
      <c r="G1981" s="48" t="n"/>
      <c r="H1981" s="48" t="n"/>
      <c r="I1981" s="49" t="n"/>
      <c r="J1981" s="50" t="n"/>
      <c r="K1981" s="48" t="n"/>
      <c r="L1981" s="51">
        <f>IF(A1981="","",DATE(YEAR(A1981),MONTH(A1981),1))</f>
        <v/>
      </c>
      <c r="M1981" s="52">
        <f>IF(OR(A1981="",NOT(ISNUMBER(I1981))),"",IF(G1981=Lists!$B$5,I1981/2,IF(G1981=Lists!$B$6,I1981,0)))</f>
        <v/>
      </c>
      <c r="N1981" s="52">
        <f>IF(OR(A1981="",NOT(ISNUMBER(I1981))),"",IF(G1981=Lists!$B$5,I1981/2,IF(G1981=Lists!$B$7,I1981,0)))</f>
        <v/>
      </c>
      <c r="O1981" s="53">
        <f>IF(COUNTA(A1981:K1981)=0,"",IF(OR(A1981="",B1981="",C1981="",D1981="",E1981="",F1981="",G1981="",NOT(ISNUMBER(I1981))),"Incomplete",IF(COUNTIF(Lists!$H$4:$AA$4,C1981)=0,"Check category",IF(COUNTIF(INDEX(Lists!$H$6:$AA$45,0,MATCH(C1981,Lists!$H$4:$AA$4,0)),D1981)=0,"Check sub-category","OK"))))</f>
        <v/>
      </c>
      <c r="P1981">
        <f>IF(ISNUMBER(I1981),I1981+ROW()/10000000,"")</f>
        <v/>
      </c>
      <c r="Q1981">
        <f>IF(AND(ISNUMBER(P1981),ISNUMBER(A1981)),IF(AND(A1981&gt;=Dashboard!$Q$3,A1981&lt;=Dashboard!$Q$4,OR(J1981&lt;&gt;"Yes",Dashboard!$Q$15="Yes")),P1981,""),"")</f>
        <v/>
      </c>
    </row>
    <row r="1982">
      <c r="A1982" s="47" t="n"/>
      <c r="B1982" s="48" t="n"/>
      <c r="C1982" s="48" t="n"/>
      <c r="D1982" s="48" t="n"/>
      <c r="E1982" s="48" t="n"/>
      <c r="F1982" s="48" t="n"/>
      <c r="G1982" s="48" t="n"/>
      <c r="H1982" s="48" t="n"/>
      <c r="I1982" s="49" t="n"/>
      <c r="J1982" s="50" t="n"/>
      <c r="K1982" s="48" t="n"/>
      <c r="L1982" s="51">
        <f>IF(A1982="","",DATE(YEAR(A1982),MONTH(A1982),1))</f>
        <v/>
      </c>
      <c r="M1982" s="52">
        <f>IF(OR(A1982="",NOT(ISNUMBER(I1982))),"",IF(G1982=Lists!$B$5,I1982/2,IF(G1982=Lists!$B$6,I1982,0)))</f>
        <v/>
      </c>
      <c r="N1982" s="52">
        <f>IF(OR(A1982="",NOT(ISNUMBER(I1982))),"",IF(G1982=Lists!$B$5,I1982/2,IF(G1982=Lists!$B$7,I1982,0)))</f>
        <v/>
      </c>
      <c r="O1982" s="53">
        <f>IF(COUNTA(A1982:K1982)=0,"",IF(OR(A1982="",B1982="",C1982="",D1982="",E1982="",F1982="",G1982="",NOT(ISNUMBER(I1982))),"Incomplete",IF(COUNTIF(Lists!$H$4:$AA$4,C1982)=0,"Check category",IF(COUNTIF(INDEX(Lists!$H$6:$AA$45,0,MATCH(C1982,Lists!$H$4:$AA$4,0)),D1982)=0,"Check sub-category","OK"))))</f>
        <v/>
      </c>
      <c r="P1982">
        <f>IF(ISNUMBER(I1982),I1982+ROW()/10000000,"")</f>
        <v/>
      </c>
      <c r="Q1982">
        <f>IF(AND(ISNUMBER(P1982),ISNUMBER(A1982)),IF(AND(A1982&gt;=Dashboard!$Q$3,A1982&lt;=Dashboard!$Q$4,OR(J1982&lt;&gt;"Yes",Dashboard!$Q$15="Yes")),P1982,""),"")</f>
        <v/>
      </c>
    </row>
    <row r="1983">
      <c r="A1983" s="47" t="n"/>
      <c r="B1983" s="48" t="n"/>
      <c r="C1983" s="48" t="n"/>
      <c r="D1983" s="48" t="n"/>
      <c r="E1983" s="48" t="n"/>
      <c r="F1983" s="48" t="n"/>
      <c r="G1983" s="48" t="n"/>
      <c r="H1983" s="48" t="n"/>
      <c r="I1983" s="49" t="n"/>
      <c r="J1983" s="50" t="n"/>
      <c r="K1983" s="48" t="n"/>
      <c r="L1983" s="51">
        <f>IF(A1983="","",DATE(YEAR(A1983),MONTH(A1983),1))</f>
        <v/>
      </c>
      <c r="M1983" s="52">
        <f>IF(OR(A1983="",NOT(ISNUMBER(I1983))),"",IF(G1983=Lists!$B$5,I1983/2,IF(G1983=Lists!$B$6,I1983,0)))</f>
        <v/>
      </c>
      <c r="N1983" s="52">
        <f>IF(OR(A1983="",NOT(ISNUMBER(I1983))),"",IF(G1983=Lists!$B$5,I1983/2,IF(G1983=Lists!$B$7,I1983,0)))</f>
        <v/>
      </c>
      <c r="O1983" s="53">
        <f>IF(COUNTA(A1983:K1983)=0,"",IF(OR(A1983="",B1983="",C1983="",D1983="",E1983="",F1983="",G1983="",NOT(ISNUMBER(I1983))),"Incomplete",IF(COUNTIF(Lists!$H$4:$AA$4,C1983)=0,"Check category",IF(COUNTIF(INDEX(Lists!$H$6:$AA$45,0,MATCH(C1983,Lists!$H$4:$AA$4,0)),D1983)=0,"Check sub-category","OK"))))</f>
        <v/>
      </c>
      <c r="P1983">
        <f>IF(ISNUMBER(I1983),I1983+ROW()/10000000,"")</f>
        <v/>
      </c>
      <c r="Q1983">
        <f>IF(AND(ISNUMBER(P1983),ISNUMBER(A1983)),IF(AND(A1983&gt;=Dashboard!$Q$3,A1983&lt;=Dashboard!$Q$4,OR(J1983&lt;&gt;"Yes",Dashboard!$Q$15="Yes")),P1983,""),"")</f>
        <v/>
      </c>
    </row>
    <row r="1984">
      <c r="A1984" s="47" t="n"/>
      <c r="B1984" s="48" t="n"/>
      <c r="C1984" s="48" t="n"/>
      <c r="D1984" s="48" t="n"/>
      <c r="E1984" s="48" t="n"/>
      <c r="F1984" s="48" t="n"/>
      <c r="G1984" s="48" t="n"/>
      <c r="H1984" s="48" t="n"/>
      <c r="I1984" s="49" t="n"/>
      <c r="J1984" s="50" t="n"/>
      <c r="K1984" s="48" t="n"/>
      <c r="L1984" s="51">
        <f>IF(A1984="","",DATE(YEAR(A1984),MONTH(A1984),1))</f>
        <v/>
      </c>
      <c r="M1984" s="52">
        <f>IF(OR(A1984="",NOT(ISNUMBER(I1984))),"",IF(G1984=Lists!$B$5,I1984/2,IF(G1984=Lists!$B$6,I1984,0)))</f>
        <v/>
      </c>
      <c r="N1984" s="52">
        <f>IF(OR(A1984="",NOT(ISNUMBER(I1984))),"",IF(G1984=Lists!$B$5,I1984/2,IF(G1984=Lists!$B$7,I1984,0)))</f>
        <v/>
      </c>
      <c r="O1984" s="53">
        <f>IF(COUNTA(A1984:K1984)=0,"",IF(OR(A1984="",B1984="",C1984="",D1984="",E1984="",F1984="",G1984="",NOT(ISNUMBER(I1984))),"Incomplete",IF(COUNTIF(Lists!$H$4:$AA$4,C1984)=0,"Check category",IF(COUNTIF(INDEX(Lists!$H$6:$AA$45,0,MATCH(C1984,Lists!$H$4:$AA$4,0)),D1984)=0,"Check sub-category","OK"))))</f>
        <v/>
      </c>
      <c r="P1984">
        <f>IF(ISNUMBER(I1984),I1984+ROW()/10000000,"")</f>
        <v/>
      </c>
      <c r="Q1984">
        <f>IF(AND(ISNUMBER(P1984),ISNUMBER(A1984)),IF(AND(A1984&gt;=Dashboard!$Q$3,A1984&lt;=Dashboard!$Q$4,OR(J1984&lt;&gt;"Yes",Dashboard!$Q$15="Yes")),P1984,""),"")</f>
        <v/>
      </c>
    </row>
    <row r="1985">
      <c r="A1985" s="47" t="n"/>
      <c r="B1985" s="48" t="n"/>
      <c r="C1985" s="48" t="n"/>
      <c r="D1985" s="48" t="n"/>
      <c r="E1985" s="48" t="n"/>
      <c r="F1985" s="48" t="n"/>
      <c r="G1985" s="48" t="n"/>
      <c r="H1985" s="48" t="n"/>
      <c r="I1985" s="49" t="n"/>
      <c r="J1985" s="50" t="n"/>
      <c r="K1985" s="48" t="n"/>
      <c r="L1985" s="51">
        <f>IF(A1985="","",DATE(YEAR(A1985),MONTH(A1985),1))</f>
        <v/>
      </c>
      <c r="M1985" s="52">
        <f>IF(OR(A1985="",NOT(ISNUMBER(I1985))),"",IF(G1985=Lists!$B$5,I1985/2,IF(G1985=Lists!$B$6,I1985,0)))</f>
        <v/>
      </c>
      <c r="N1985" s="52">
        <f>IF(OR(A1985="",NOT(ISNUMBER(I1985))),"",IF(G1985=Lists!$B$5,I1985/2,IF(G1985=Lists!$B$7,I1985,0)))</f>
        <v/>
      </c>
      <c r="O1985" s="53">
        <f>IF(COUNTA(A1985:K1985)=0,"",IF(OR(A1985="",B1985="",C1985="",D1985="",E1985="",F1985="",G1985="",NOT(ISNUMBER(I1985))),"Incomplete",IF(COUNTIF(Lists!$H$4:$AA$4,C1985)=0,"Check category",IF(COUNTIF(INDEX(Lists!$H$6:$AA$45,0,MATCH(C1985,Lists!$H$4:$AA$4,0)),D1985)=0,"Check sub-category","OK"))))</f>
        <v/>
      </c>
      <c r="P1985">
        <f>IF(ISNUMBER(I1985),I1985+ROW()/10000000,"")</f>
        <v/>
      </c>
      <c r="Q1985">
        <f>IF(AND(ISNUMBER(P1985),ISNUMBER(A1985)),IF(AND(A1985&gt;=Dashboard!$Q$3,A1985&lt;=Dashboard!$Q$4,OR(J1985&lt;&gt;"Yes",Dashboard!$Q$15="Yes")),P1985,""),"")</f>
        <v/>
      </c>
    </row>
    <row r="1986">
      <c r="A1986" s="47" t="n"/>
      <c r="B1986" s="48" t="n"/>
      <c r="C1986" s="48" t="n"/>
      <c r="D1986" s="48" t="n"/>
      <c r="E1986" s="48" t="n"/>
      <c r="F1986" s="48" t="n"/>
      <c r="G1986" s="48" t="n"/>
      <c r="H1986" s="48" t="n"/>
      <c r="I1986" s="49" t="n"/>
      <c r="J1986" s="50" t="n"/>
      <c r="K1986" s="48" t="n"/>
      <c r="L1986" s="51">
        <f>IF(A1986="","",DATE(YEAR(A1986),MONTH(A1986),1))</f>
        <v/>
      </c>
      <c r="M1986" s="52">
        <f>IF(OR(A1986="",NOT(ISNUMBER(I1986))),"",IF(G1986=Lists!$B$5,I1986/2,IF(G1986=Lists!$B$6,I1986,0)))</f>
        <v/>
      </c>
      <c r="N1986" s="52">
        <f>IF(OR(A1986="",NOT(ISNUMBER(I1986))),"",IF(G1986=Lists!$B$5,I1986/2,IF(G1986=Lists!$B$7,I1986,0)))</f>
        <v/>
      </c>
      <c r="O1986" s="53">
        <f>IF(COUNTA(A1986:K1986)=0,"",IF(OR(A1986="",B1986="",C1986="",D1986="",E1986="",F1986="",G1986="",NOT(ISNUMBER(I1986))),"Incomplete",IF(COUNTIF(Lists!$H$4:$AA$4,C1986)=0,"Check category",IF(COUNTIF(INDEX(Lists!$H$6:$AA$45,0,MATCH(C1986,Lists!$H$4:$AA$4,0)),D1986)=0,"Check sub-category","OK"))))</f>
        <v/>
      </c>
      <c r="P1986">
        <f>IF(ISNUMBER(I1986),I1986+ROW()/10000000,"")</f>
        <v/>
      </c>
      <c r="Q1986">
        <f>IF(AND(ISNUMBER(P1986),ISNUMBER(A1986)),IF(AND(A1986&gt;=Dashboard!$Q$3,A1986&lt;=Dashboard!$Q$4,OR(J1986&lt;&gt;"Yes",Dashboard!$Q$15="Yes")),P1986,""),"")</f>
        <v/>
      </c>
    </row>
    <row r="1987">
      <c r="A1987" s="47" t="n"/>
      <c r="B1987" s="48" t="n"/>
      <c r="C1987" s="48" t="n"/>
      <c r="D1987" s="48" t="n"/>
      <c r="E1987" s="48" t="n"/>
      <c r="F1987" s="48" t="n"/>
      <c r="G1987" s="48" t="n"/>
      <c r="H1987" s="48" t="n"/>
      <c r="I1987" s="49" t="n"/>
      <c r="J1987" s="50" t="n"/>
      <c r="K1987" s="48" t="n"/>
      <c r="L1987" s="51">
        <f>IF(A1987="","",DATE(YEAR(A1987),MONTH(A1987),1))</f>
        <v/>
      </c>
      <c r="M1987" s="52">
        <f>IF(OR(A1987="",NOT(ISNUMBER(I1987))),"",IF(G1987=Lists!$B$5,I1987/2,IF(G1987=Lists!$B$6,I1987,0)))</f>
        <v/>
      </c>
      <c r="N1987" s="52">
        <f>IF(OR(A1987="",NOT(ISNUMBER(I1987))),"",IF(G1987=Lists!$B$5,I1987/2,IF(G1987=Lists!$B$7,I1987,0)))</f>
        <v/>
      </c>
      <c r="O1987" s="53">
        <f>IF(COUNTA(A1987:K1987)=0,"",IF(OR(A1987="",B1987="",C1987="",D1987="",E1987="",F1987="",G1987="",NOT(ISNUMBER(I1987))),"Incomplete",IF(COUNTIF(Lists!$H$4:$AA$4,C1987)=0,"Check category",IF(COUNTIF(INDEX(Lists!$H$6:$AA$45,0,MATCH(C1987,Lists!$H$4:$AA$4,0)),D1987)=0,"Check sub-category","OK"))))</f>
        <v/>
      </c>
      <c r="P1987">
        <f>IF(ISNUMBER(I1987),I1987+ROW()/10000000,"")</f>
        <v/>
      </c>
      <c r="Q1987">
        <f>IF(AND(ISNUMBER(P1987),ISNUMBER(A1987)),IF(AND(A1987&gt;=Dashboard!$Q$3,A1987&lt;=Dashboard!$Q$4,OR(J1987&lt;&gt;"Yes",Dashboard!$Q$15="Yes")),P1987,""),"")</f>
        <v/>
      </c>
    </row>
    <row r="1988">
      <c r="A1988" s="47" t="n"/>
      <c r="B1988" s="48" t="n"/>
      <c r="C1988" s="48" t="n"/>
      <c r="D1988" s="48" t="n"/>
      <c r="E1988" s="48" t="n"/>
      <c r="F1988" s="48" t="n"/>
      <c r="G1988" s="48" t="n"/>
      <c r="H1988" s="48" t="n"/>
      <c r="I1988" s="49" t="n"/>
      <c r="J1988" s="50" t="n"/>
      <c r="K1988" s="48" t="n"/>
      <c r="L1988" s="51">
        <f>IF(A1988="","",DATE(YEAR(A1988),MONTH(A1988),1))</f>
        <v/>
      </c>
      <c r="M1988" s="52">
        <f>IF(OR(A1988="",NOT(ISNUMBER(I1988))),"",IF(G1988=Lists!$B$5,I1988/2,IF(G1988=Lists!$B$6,I1988,0)))</f>
        <v/>
      </c>
      <c r="N1988" s="52">
        <f>IF(OR(A1988="",NOT(ISNUMBER(I1988))),"",IF(G1988=Lists!$B$5,I1988/2,IF(G1988=Lists!$B$7,I1988,0)))</f>
        <v/>
      </c>
      <c r="O1988" s="53">
        <f>IF(COUNTA(A1988:K1988)=0,"",IF(OR(A1988="",B1988="",C1988="",D1988="",E1988="",F1988="",G1988="",NOT(ISNUMBER(I1988))),"Incomplete",IF(COUNTIF(Lists!$H$4:$AA$4,C1988)=0,"Check category",IF(COUNTIF(INDEX(Lists!$H$6:$AA$45,0,MATCH(C1988,Lists!$H$4:$AA$4,0)),D1988)=0,"Check sub-category","OK"))))</f>
        <v/>
      </c>
      <c r="P1988">
        <f>IF(ISNUMBER(I1988),I1988+ROW()/10000000,"")</f>
        <v/>
      </c>
      <c r="Q1988">
        <f>IF(AND(ISNUMBER(P1988),ISNUMBER(A1988)),IF(AND(A1988&gt;=Dashboard!$Q$3,A1988&lt;=Dashboard!$Q$4,OR(J1988&lt;&gt;"Yes",Dashboard!$Q$15="Yes")),P1988,""),"")</f>
        <v/>
      </c>
    </row>
    <row r="1989">
      <c r="A1989" s="47" t="n"/>
      <c r="B1989" s="48" t="n"/>
      <c r="C1989" s="48" t="n"/>
      <c r="D1989" s="48" t="n"/>
      <c r="E1989" s="48" t="n"/>
      <c r="F1989" s="48" t="n"/>
      <c r="G1989" s="48" t="n"/>
      <c r="H1989" s="48" t="n"/>
      <c r="I1989" s="49" t="n"/>
      <c r="J1989" s="50" t="n"/>
      <c r="K1989" s="48" t="n"/>
      <c r="L1989" s="51">
        <f>IF(A1989="","",DATE(YEAR(A1989),MONTH(A1989),1))</f>
        <v/>
      </c>
      <c r="M1989" s="52">
        <f>IF(OR(A1989="",NOT(ISNUMBER(I1989))),"",IF(G1989=Lists!$B$5,I1989/2,IF(G1989=Lists!$B$6,I1989,0)))</f>
        <v/>
      </c>
      <c r="N1989" s="52">
        <f>IF(OR(A1989="",NOT(ISNUMBER(I1989))),"",IF(G1989=Lists!$B$5,I1989/2,IF(G1989=Lists!$B$7,I1989,0)))</f>
        <v/>
      </c>
      <c r="O1989" s="53">
        <f>IF(COUNTA(A1989:K1989)=0,"",IF(OR(A1989="",B1989="",C1989="",D1989="",E1989="",F1989="",G1989="",NOT(ISNUMBER(I1989))),"Incomplete",IF(COUNTIF(Lists!$H$4:$AA$4,C1989)=0,"Check category",IF(COUNTIF(INDEX(Lists!$H$6:$AA$45,0,MATCH(C1989,Lists!$H$4:$AA$4,0)),D1989)=0,"Check sub-category","OK"))))</f>
        <v/>
      </c>
      <c r="P1989">
        <f>IF(ISNUMBER(I1989),I1989+ROW()/10000000,"")</f>
        <v/>
      </c>
      <c r="Q1989">
        <f>IF(AND(ISNUMBER(P1989),ISNUMBER(A1989)),IF(AND(A1989&gt;=Dashboard!$Q$3,A1989&lt;=Dashboard!$Q$4,OR(J1989&lt;&gt;"Yes",Dashboard!$Q$15="Yes")),P1989,""),"")</f>
        <v/>
      </c>
    </row>
    <row r="1990">
      <c r="A1990" s="47" t="n"/>
      <c r="B1990" s="48" t="n"/>
      <c r="C1990" s="48" t="n"/>
      <c r="D1990" s="48" t="n"/>
      <c r="E1990" s="48" t="n"/>
      <c r="F1990" s="48" t="n"/>
      <c r="G1990" s="48" t="n"/>
      <c r="H1990" s="48" t="n"/>
      <c r="I1990" s="49" t="n"/>
      <c r="J1990" s="50" t="n"/>
      <c r="K1990" s="48" t="n"/>
      <c r="L1990" s="51">
        <f>IF(A1990="","",DATE(YEAR(A1990),MONTH(A1990),1))</f>
        <v/>
      </c>
      <c r="M1990" s="52">
        <f>IF(OR(A1990="",NOT(ISNUMBER(I1990))),"",IF(G1990=Lists!$B$5,I1990/2,IF(G1990=Lists!$B$6,I1990,0)))</f>
        <v/>
      </c>
      <c r="N1990" s="52">
        <f>IF(OR(A1990="",NOT(ISNUMBER(I1990))),"",IF(G1990=Lists!$B$5,I1990/2,IF(G1990=Lists!$B$7,I1990,0)))</f>
        <v/>
      </c>
      <c r="O1990" s="53">
        <f>IF(COUNTA(A1990:K1990)=0,"",IF(OR(A1990="",B1990="",C1990="",D1990="",E1990="",F1990="",G1990="",NOT(ISNUMBER(I1990))),"Incomplete",IF(COUNTIF(Lists!$H$4:$AA$4,C1990)=0,"Check category",IF(COUNTIF(INDEX(Lists!$H$6:$AA$45,0,MATCH(C1990,Lists!$H$4:$AA$4,0)),D1990)=0,"Check sub-category","OK"))))</f>
        <v/>
      </c>
      <c r="P1990">
        <f>IF(ISNUMBER(I1990),I1990+ROW()/10000000,"")</f>
        <v/>
      </c>
      <c r="Q1990">
        <f>IF(AND(ISNUMBER(P1990),ISNUMBER(A1990)),IF(AND(A1990&gt;=Dashboard!$Q$3,A1990&lt;=Dashboard!$Q$4,OR(J1990&lt;&gt;"Yes",Dashboard!$Q$15="Yes")),P1990,""),"")</f>
        <v/>
      </c>
    </row>
    <row r="1991">
      <c r="A1991" s="47" t="n"/>
      <c r="B1991" s="48" t="n"/>
      <c r="C1991" s="48" t="n"/>
      <c r="D1991" s="48" t="n"/>
      <c r="E1991" s="48" t="n"/>
      <c r="F1991" s="48" t="n"/>
      <c r="G1991" s="48" t="n"/>
      <c r="H1991" s="48" t="n"/>
      <c r="I1991" s="49" t="n"/>
      <c r="J1991" s="50" t="n"/>
      <c r="K1991" s="48" t="n"/>
      <c r="L1991" s="51">
        <f>IF(A1991="","",DATE(YEAR(A1991),MONTH(A1991),1))</f>
        <v/>
      </c>
      <c r="M1991" s="52">
        <f>IF(OR(A1991="",NOT(ISNUMBER(I1991))),"",IF(G1991=Lists!$B$5,I1991/2,IF(G1991=Lists!$B$6,I1991,0)))</f>
        <v/>
      </c>
      <c r="N1991" s="52">
        <f>IF(OR(A1991="",NOT(ISNUMBER(I1991))),"",IF(G1991=Lists!$B$5,I1991/2,IF(G1991=Lists!$B$7,I1991,0)))</f>
        <v/>
      </c>
      <c r="O1991" s="53">
        <f>IF(COUNTA(A1991:K1991)=0,"",IF(OR(A1991="",B1991="",C1991="",D1991="",E1991="",F1991="",G1991="",NOT(ISNUMBER(I1991))),"Incomplete",IF(COUNTIF(Lists!$H$4:$AA$4,C1991)=0,"Check category",IF(COUNTIF(INDEX(Lists!$H$6:$AA$45,0,MATCH(C1991,Lists!$H$4:$AA$4,0)),D1991)=0,"Check sub-category","OK"))))</f>
        <v/>
      </c>
      <c r="P1991">
        <f>IF(ISNUMBER(I1991),I1991+ROW()/10000000,"")</f>
        <v/>
      </c>
      <c r="Q1991">
        <f>IF(AND(ISNUMBER(P1991),ISNUMBER(A1991)),IF(AND(A1991&gt;=Dashboard!$Q$3,A1991&lt;=Dashboard!$Q$4,OR(J1991&lt;&gt;"Yes",Dashboard!$Q$15="Yes")),P1991,""),"")</f>
        <v/>
      </c>
    </row>
    <row r="1992">
      <c r="A1992" s="47" t="n"/>
      <c r="B1992" s="48" t="n"/>
      <c r="C1992" s="48" t="n"/>
      <c r="D1992" s="48" t="n"/>
      <c r="E1992" s="48" t="n"/>
      <c r="F1992" s="48" t="n"/>
      <c r="G1992" s="48" t="n"/>
      <c r="H1992" s="48" t="n"/>
      <c r="I1992" s="49" t="n"/>
      <c r="J1992" s="50" t="n"/>
      <c r="K1992" s="48" t="n"/>
      <c r="L1992" s="51">
        <f>IF(A1992="","",DATE(YEAR(A1992),MONTH(A1992),1))</f>
        <v/>
      </c>
      <c r="M1992" s="52">
        <f>IF(OR(A1992="",NOT(ISNUMBER(I1992))),"",IF(G1992=Lists!$B$5,I1992/2,IF(G1992=Lists!$B$6,I1992,0)))</f>
        <v/>
      </c>
      <c r="N1992" s="52">
        <f>IF(OR(A1992="",NOT(ISNUMBER(I1992))),"",IF(G1992=Lists!$B$5,I1992/2,IF(G1992=Lists!$B$7,I1992,0)))</f>
        <v/>
      </c>
      <c r="O1992" s="53">
        <f>IF(COUNTA(A1992:K1992)=0,"",IF(OR(A1992="",B1992="",C1992="",D1992="",E1992="",F1992="",G1992="",NOT(ISNUMBER(I1992))),"Incomplete",IF(COUNTIF(Lists!$H$4:$AA$4,C1992)=0,"Check category",IF(COUNTIF(INDEX(Lists!$H$6:$AA$45,0,MATCH(C1992,Lists!$H$4:$AA$4,0)),D1992)=0,"Check sub-category","OK"))))</f>
        <v/>
      </c>
      <c r="P1992">
        <f>IF(ISNUMBER(I1992),I1992+ROW()/10000000,"")</f>
        <v/>
      </c>
      <c r="Q1992">
        <f>IF(AND(ISNUMBER(P1992),ISNUMBER(A1992)),IF(AND(A1992&gt;=Dashboard!$Q$3,A1992&lt;=Dashboard!$Q$4,OR(J1992&lt;&gt;"Yes",Dashboard!$Q$15="Yes")),P1992,""),"")</f>
        <v/>
      </c>
    </row>
    <row r="1993">
      <c r="A1993" s="47" t="n"/>
      <c r="B1993" s="48" t="n"/>
      <c r="C1993" s="48" t="n"/>
      <c r="D1993" s="48" t="n"/>
      <c r="E1993" s="48" t="n"/>
      <c r="F1993" s="48" t="n"/>
      <c r="G1993" s="48" t="n"/>
      <c r="H1993" s="48" t="n"/>
      <c r="I1993" s="49" t="n"/>
      <c r="J1993" s="50" t="n"/>
      <c r="K1993" s="48" t="n"/>
      <c r="L1993" s="51">
        <f>IF(A1993="","",DATE(YEAR(A1993),MONTH(A1993),1))</f>
        <v/>
      </c>
      <c r="M1993" s="52">
        <f>IF(OR(A1993="",NOT(ISNUMBER(I1993))),"",IF(G1993=Lists!$B$5,I1993/2,IF(G1993=Lists!$B$6,I1993,0)))</f>
        <v/>
      </c>
      <c r="N1993" s="52">
        <f>IF(OR(A1993="",NOT(ISNUMBER(I1993))),"",IF(G1993=Lists!$B$5,I1993/2,IF(G1993=Lists!$B$7,I1993,0)))</f>
        <v/>
      </c>
      <c r="O1993" s="53">
        <f>IF(COUNTA(A1993:K1993)=0,"",IF(OR(A1993="",B1993="",C1993="",D1993="",E1993="",F1993="",G1993="",NOT(ISNUMBER(I1993))),"Incomplete",IF(COUNTIF(Lists!$H$4:$AA$4,C1993)=0,"Check category",IF(COUNTIF(INDEX(Lists!$H$6:$AA$45,0,MATCH(C1993,Lists!$H$4:$AA$4,0)),D1993)=0,"Check sub-category","OK"))))</f>
        <v/>
      </c>
      <c r="P1993">
        <f>IF(ISNUMBER(I1993),I1993+ROW()/10000000,"")</f>
        <v/>
      </c>
      <c r="Q1993">
        <f>IF(AND(ISNUMBER(P1993),ISNUMBER(A1993)),IF(AND(A1993&gt;=Dashboard!$Q$3,A1993&lt;=Dashboard!$Q$4,OR(J1993&lt;&gt;"Yes",Dashboard!$Q$15="Yes")),P1993,""),"")</f>
        <v/>
      </c>
    </row>
    <row r="1994">
      <c r="A1994" s="47" t="n"/>
      <c r="B1994" s="48" t="n"/>
      <c r="C1994" s="48" t="n"/>
      <c r="D1994" s="48" t="n"/>
      <c r="E1994" s="48" t="n"/>
      <c r="F1994" s="48" t="n"/>
      <c r="G1994" s="48" t="n"/>
      <c r="H1994" s="48" t="n"/>
      <c r="I1994" s="49" t="n"/>
      <c r="J1994" s="50" t="n"/>
      <c r="K1994" s="48" t="n"/>
      <c r="L1994" s="51">
        <f>IF(A1994="","",DATE(YEAR(A1994),MONTH(A1994),1))</f>
        <v/>
      </c>
      <c r="M1994" s="52">
        <f>IF(OR(A1994="",NOT(ISNUMBER(I1994))),"",IF(G1994=Lists!$B$5,I1994/2,IF(G1994=Lists!$B$6,I1994,0)))</f>
        <v/>
      </c>
      <c r="N1994" s="52">
        <f>IF(OR(A1994="",NOT(ISNUMBER(I1994))),"",IF(G1994=Lists!$B$5,I1994/2,IF(G1994=Lists!$B$7,I1994,0)))</f>
        <v/>
      </c>
      <c r="O1994" s="53">
        <f>IF(COUNTA(A1994:K1994)=0,"",IF(OR(A1994="",B1994="",C1994="",D1994="",E1994="",F1994="",G1994="",NOT(ISNUMBER(I1994))),"Incomplete",IF(COUNTIF(Lists!$H$4:$AA$4,C1994)=0,"Check category",IF(COUNTIF(INDEX(Lists!$H$6:$AA$45,0,MATCH(C1994,Lists!$H$4:$AA$4,0)),D1994)=0,"Check sub-category","OK"))))</f>
        <v/>
      </c>
      <c r="P1994">
        <f>IF(ISNUMBER(I1994),I1994+ROW()/10000000,"")</f>
        <v/>
      </c>
      <c r="Q1994">
        <f>IF(AND(ISNUMBER(P1994),ISNUMBER(A1994)),IF(AND(A1994&gt;=Dashboard!$Q$3,A1994&lt;=Dashboard!$Q$4,OR(J1994&lt;&gt;"Yes",Dashboard!$Q$15="Yes")),P1994,""),"")</f>
        <v/>
      </c>
    </row>
    <row r="1995">
      <c r="A1995" s="47" t="n"/>
      <c r="B1995" s="48" t="n"/>
      <c r="C1995" s="48" t="n"/>
      <c r="D1995" s="48" t="n"/>
      <c r="E1995" s="48" t="n"/>
      <c r="F1995" s="48" t="n"/>
      <c r="G1995" s="48" t="n"/>
      <c r="H1995" s="48" t="n"/>
      <c r="I1995" s="49" t="n"/>
      <c r="J1995" s="50" t="n"/>
      <c r="K1995" s="48" t="n"/>
      <c r="L1995" s="51">
        <f>IF(A1995="","",DATE(YEAR(A1995),MONTH(A1995),1))</f>
        <v/>
      </c>
      <c r="M1995" s="52">
        <f>IF(OR(A1995="",NOT(ISNUMBER(I1995))),"",IF(G1995=Lists!$B$5,I1995/2,IF(G1995=Lists!$B$6,I1995,0)))</f>
        <v/>
      </c>
      <c r="N1995" s="52">
        <f>IF(OR(A1995="",NOT(ISNUMBER(I1995))),"",IF(G1995=Lists!$B$5,I1995/2,IF(G1995=Lists!$B$7,I1995,0)))</f>
        <v/>
      </c>
      <c r="O1995" s="53">
        <f>IF(COUNTA(A1995:K1995)=0,"",IF(OR(A1995="",B1995="",C1995="",D1995="",E1995="",F1995="",G1995="",NOT(ISNUMBER(I1995))),"Incomplete",IF(COUNTIF(Lists!$H$4:$AA$4,C1995)=0,"Check category",IF(COUNTIF(INDEX(Lists!$H$6:$AA$45,0,MATCH(C1995,Lists!$H$4:$AA$4,0)),D1995)=0,"Check sub-category","OK"))))</f>
        <v/>
      </c>
      <c r="P1995">
        <f>IF(ISNUMBER(I1995),I1995+ROW()/10000000,"")</f>
        <v/>
      </c>
      <c r="Q1995">
        <f>IF(AND(ISNUMBER(P1995),ISNUMBER(A1995)),IF(AND(A1995&gt;=Dashboard!$Q$3,A1995&lt;=Dashboard!$Q$4,OR(J1995&lt;&gt;"Yes",Dashboard!$Q$15="Yes")),P1995,""),"")</f>
        <v/>
      </c>
    </row>
    <row r="1996">
      <c r="A1996" s="47" t="n"/>
      <c r="B1996" s="48" t="n"/>
      <c r="C1996" s="48" t="n"/>
      <c r="D1996" s="48" t="n"/>
      <c r="E1996" s="48" t="n"/>
      <c r="F1996" s="48" t="n"/>
      <c r="G1996" s="48" t="n"/>
      <c r="H1996" s="48" t="n"/>
      <c r="I1996" s="49" t="n"/>
      <c r="J1996" s="50" t="n"/>
      <c r="K1996" s="48" t="n"/>
      <c r="L1996" s="51">
        <f>IF(A1996="","",DATE(YEAR(A1996),MONTH(A1996),1))</f>
        <v/>
      </c>
      <c r="M1996" s="52">
        <f>IF(OR(A1996="",NOT(ISNUMBER(I1996))),"",IF(G1996=Lists!$B$5,I1996/2,IF(G1996=Lists!$B$6,I1996,0)))</f>
        <v/>
      </c>
      <c r="N1996" s="52">
        <f>IF(OR(A1996="",NOT(ISNUMBER(I1996))),"",IF(G1996=Lists!$B$5,I1996/2,IF(G1996=Lists!$B$7,I1996,0)))</f>
        <v/>
      </c>
      <c r="O1996" s="53">
        <f>IF(COUNTA(A1996:K1996)=0,"",IF(OR(A1996="",B1996="",C1996="",D1996="",E1996="",F1996="",G1996="",NOT(ISNUMBER(I1996))),"Incomplete",IF(COUNTIF(Lists!$H$4:$AA$4,C1996)=0,"Check category",IF(COUNTIF(INDEX(Lists!$H$6:$AA$45,0,MATCH(C1996,Lists!$H$4:$AA$4,0)),D1996)=0,"Check sub-category","OK"))))</f>
        <v/>
      </c>
      <c r="P1996">
        <f>IF(ISNUMBER(I1996),I1996+ROW()/10000000,"")</f>
        <v/>
      </c>
      <c r="Q1996">
        <f>IF(AND(ISNUMBER(P1996),ISNUMBER(A1996)),IF(AND(A1996&gt;=Dashboard!$Q$3,A1996&lt;=Dashboard!$Q$4,OR(J1996&lt;&gt;"Yes",Dashboard!$Q$15="Yes")),P1996,""),"")</f>
        <v/>
      </c>
    </row>
    <row r="1997">
      <c r="A1997" s="47" t="n"/>
      <c r="B1997" s="48" t="n"/>
      <c r="C1997" s="48" t="n"/>
      <c r="D1997" s="48" t="n"/>
      <c r="E1997" s="48" t="n"/>
      <c r="F1997" s="48" t="n"/>
      <c r="G1997" s="48" t="n"/>
      <c r="H1997" s="48" t="n"/>
      <c r="I1997" s="49" t="n"/>
      <c r="J1997" s="50" t="n"/>
      <c r="K1997" s="48" t="n"/>
      <c r="L1997" s="51">
        <f>IF(A1997="","",DATE(YEAR(A1997),MONTH(A1997),1))</f>
        <v/>
      </c>
      <c r="M1997" s="52">
        <f>IF(OR(A1997="",NOT(ISNUMBER(I1997))),"",IF(G1997=Lists!$B$5,I1997/2,IF(G1997=Lists!$B$6,I1997,0)))</f>
        <v/>
      </c>
      <c r="N1997" s="52">
        <f>IF(OR(A1997="",NOT(ISNUMBER(I1997))),"",IF(G1997=Lists!$B$5,I1997/2,IF(G1997=Lists!$B$7,I1997,0)))</f>
        <v/>
      </c>
      <c r="O1997" s="53">
        <f>IF(COUNTA(A1997:K1997)=0,"",IF(OR(A1997="",B1997="",C1997="",D1997="",E1997="",F1997="",G1997="",NOT(ISNUMBER(I1997))),"Incomplete",IF(COUNTIF(Lists!$H$4:$AA$4,C1997)=0,"Check category",IF(COUNTIF(INDEX(Lists!$H$6:$AA$45,0,MATCH(C1997,Lists!$H$4:$AA$4,0)),D1997)=0,"Check sub-category","OK"))))</f>
        <v/>
      </c>
      <c r="P1997">
        <f>IF(ISNUMBER(I1997),I1997+ROW()/10000000,"")</f>
        <v/>
      </c>
      <c r="Q1997">
        <f>IF(AND(ISNUMBER(P1997),ISNUMBER(A1997)),IF(AND(A1997&gt;=Dashboard!$Q$3,A1997&lt;=Dashboard!$Q$4,OR(J1997&lt;&gt;"Yes",Dashboard!$Q$15="Yes")),P1997,""),"")</f>
        <v/>
      </c>
    </row>
    <row r="1998">
      <c r="A1998" s="47" t="n"/>
      <c r="B1998" s="48" t="n"/>
      <c r="C1998" s="48" t="n"/>
      <c r="D1998" s="48" t="n"/>
      <c r="E1998" s="48" t="n"/>
      <c r="F1998" s="48" t="n"/>
      <c r="G1998" s="48" t="n"/>
      <c r="H1998" s="48" t="n"/>
      <c r="I1998" s="49" t="n"/>
      <c r="J1998" s="50" t="n"/>
      <c r="K1998" s="48" t="n"/>
      <c r="L1998" s="51">
        <f>IF(A1998="","",DATE(YEAR(A1998),MONTH(A1998),1))</f>
        <v/>
      </c>
      <c r="M1998" s="52">
        <f>IF(OR(A1998="",NOT(ISNUMBER(I1998))),"",IF(G1998=Lists!$B$5,I1998/2,IF(G1998=Lists!$B$6,I1998,0)))</f>
        <v/>
      </c>
      <c r="N1998" s="52">
        <f>IF(OR(A1998="",NOT(ISNUMBER(I1998))),"",IF(G1998=Lists!$B$5,I1998/2,IF(G1998=Lists!$B$7,I1998,0)))</f>
        <v/>
      </c>
      <c r="O1998" s="53">
        <f>IF(COUNTA(A1998:K1998)=0,"",IF(OR(A1998="",B1998="",C1998="",D1998="",E1998="",F1998="",G1998="",NOT(ISNUMBER(I1998))),"Incomplete",IF(COUNTIF(Lists!$H$4:$AA$4,C1998)=0,"Check category",IF(COUNTIF(INDEX(Lists!$H$6:$AA$45,0,MATCH(C1998,Lists!$H$4:$AA$4,0)),D1998)=0,"Check sub-category","OK"))))</f>
        <v/>
      </c>
      <c r="P1998">
        <f>IF(ISNUMBER(I1998),I1998+ROW()/10000000,"")</f>
        <v/>
      </c>
      <c r="Q1998">
        <f>IF(AND(ISNUMBER(P1998),ISNUMBER(A1998)),IF(AND(A1998&gt;=Dashboard!$Q$3,A1998&lt;=Dashboard!$Q$4,OR(J1998&lt;&gt;"Yes",Dashboard!$Q$15="Yes")),P1998,""),"")</f>
        <v/>
      </c>
    </row>
    <row r="1999">
      <c r="A1999" s="47" t="n"/>
      <c r="B1999" s="48" t="n"/>
      <c r="C1999" s="48" t="n"/>
      <c r="D1999" s="48" t="n"/>
      <c r="E1999" s="48" t="n"/>
      <c r="F1999" s="48" t="n"/>
      <c r="G1999" s="48" t="n"/>
      <c r="H1999" s="48" t="n"/>
      <c r="I1999" s="49" t="n"/>
      <c r="J1999" s="50" t="n"/>
      <c r="K1999" s="48" t="n"/>
      <c r="L1999" s="51">
        <f>IF(A1999="","",DATE(YEAR(A1999),MONTH(A1999),1))</f>
        <v/>
      </c>
      <c r="M1999" s="52">
        <f>IF(OR(A1999="",NOT(ISNUMBER(I1999))),"",IF(G1999=Lists!$B$5,I1999/2,IF(G1999=Lists!$B$6,I1999,0)))</f>
        <v/>
      </c>
      <c r="N1999" s="52">
        <f>IF(OR(A1999="",NOT(ISNUMBER(I1999))),"",IF(G1999=Lists!$B$5,I1999/2,IF(G1999=Lists!$B$7,I1999,0)))</f>
        <v/>
      </c>
      <c r="O1999" s="53">
        <f>IF(COUNTA(A1999:K1999)=0,"",IF(OR(A1999="",B1999="",C1999="",D1999="",E1999="",F1999="",G1999="",NOT(ISNUMBER(I1999))),"Incomplete",IF(COUNTIF(Lists!$H$4:$AA$4,C1999)=0,"Check category",IF(COUNTIF(INDEX(Lists!$H$6:$AA$45,0,MATCH(C1999,Lists!$H$4:$AA$4,0)),D1999)=0,"Check sub-category","OK"))))</f>
        <v/>
      </c>
      <c r="P1999">
        <f>IF(ISNUMBER(I1999),I1999+ROW()/10000000,"")</f>
        <v/>
      </c>
      <c r="Q1999">
        <f>IF(AND(ISNUMBER(P1999),ISNUMBER(A1999)),IF(AND(A1999&gt;=Dashboard!$Q$3,A1999&lt;=Dashboard!$Q$4,OR(J1999&lt;&gt;"Yes",Dashboard!$Q$15="Yes")),P1999,""),"")</f>
        <v/>
      </c>
    </row>
    <row r="2000">
      <c r="A2000" s="47" t="n"/>
      <c r="B2000" s="48" t="n"/>
      <c r="C2000" s="48" t="n"/>
      <c r="D2000" s="48" t="n"/>
      <c r="E2000" s="48" t="n"/>
      <c r="F2000" s="48" t="n"/>
      <c r="G2000" s="48" t="n"/>
      <c r="H2000" s="48" t="n"/>
      <c r="I2000" s="49" t="n"/>
      <c r="J2000" s="50" t="n"/>
      <c r="K2000" s="48" t="n"/>
      <c r="L2000" s="51">
        <f>IF(A2000="","",DATE(YEAR(A2000),MONTH(A2000),1))</f>
        <v/>
      </c>
      <c r="M2000" s="52">
        <f>IF(OR(A2000="",NOT(ISNUMBER(I2000))),"",IF(G2000=Lists!$B$5,I2000/2,IF(G2000=Lists!$B$6,I2000,0)))</f>
        <v/>
      </c>
      <c r="N2000" s="52">
        <f>IF(OR(A2000="",NOT(ISNUMBER(I2000))),"",IF(G2000=Lists!$B$5,I2000/2,IF(G2000=Lists!$B$7,I2000,0)))</f>
        <v/>
      </c>
      <c r="O2000" s="53">
        <f>IF(COUNTA(A2000:K2000)=0,"",IF(OR(A2000="",B2000="",C2000="",D2000="",E2000="",F2000="",G2000="",NOT(ISNUMBER(I2000))),"Incomplete",IF(COUNTIF(Lists!$H$4:$AA$4,C2000)=0,"Check category",IF(COUNTIF(INDEX(Lists!$H$6:$AA$45,0,MATCH(C2000,Lists!$H$4:$AA$4,0)),D2000)=0,"Check sub-category","OK"))))</f>
        <v/>
      </c>
      <c r="P2000">
        <f>IF(ISNUMBER(I2000),I2000+ROW()/10000000,"")</f>
        <v/>
      </c>
      <c r="Q2000">
        <f>IF(AND(ISNUMBER(P2000),ISNUMBER(A2000)),IF(AND(A2000&gt;=Dashboard!$Q$3,A2000&lt;=Dashboard!$Q$4,OR(J2000&lt;&gt;"Yes",Dashboard!$Q$15="Yes")),P2000,""),"")</f>
        <v/>
      </c>
    </row>
    <row r="2001">
      <c r="A2001" s="47" t="n"/>
      <c r="B2001" s="48" t="n"/>
      <c r="C2001" s="48" t="n"/>
      <c r="D2001" s="48" t="n"/>
      <c r="E2001" s="48" t="n"/>
      <c r="F2001" s="48" t="n"/>
      <c r="G2001" s="48" t="n"/>
      <c r="H2001" s="48" t="n"/>
      <c r="I2001" s="49" t="n"/>
      <c r="J2001" s="50" t="n"/>
      <c r="K2001" s="48" t="n"/>
      <c r="L2001" s="51">
        <f>IF(A2001="","",DATE(YEAR(A2001),MONTH(A2001),1))</f>
        <v/>
      </c>
      <c r="M2001" s="52">
        <f>IF(OR(A2001="",NOT(ISNUMBER(I2001))),"",IF(G2001=Lists!$B$5,I2001/2,IF(G2001=Lists!$B$6,I2001,0)))</f>
        <v/>
      </c>
      <c r="N2001" s="52">
        <f>IF(OR(A2001="",NOT(ISNUMBER(I2001))),"",IF(G2001=Lists!$B$5,I2001/2,IF(G2001=Lists!$B$7,I2001,0)))</f>
        <v/>
      </c>
      <c r="O2001" s="53">
        <f>IF(COUNTA(A2001:K2001)=0,"",IF(OR(A2001="",B2001="",C2001="",D2001="",E2001="",F2001="",G2001="",NOT(ISNUMBER(I2001))),"Incomplete",IF(COUNTIF(Lists!$H$4:$AA$4,C2001)=0,"Check category",IF(COUNTIF(INDEX(Lists!$H$6:$AA$45,0,MATCH(C2001,Lists!$H$4:$AA$4,0)),D2001)=0,"Check sub-category","OK"))))</f>
        <v/>
      </c>
      <c r="P2001">
        <f>IF(ISNUMBER(I2001),I2001+ROW()/10000000,"")</f>
        <v/>
      </c>
      <c r="Q2001">
        <f>IF(AND(ISNUMBER(P2001),ISNUMBER(A2001)),IF(AND(A2001&gt;=Dashboard!$Q$3,A2001&lt;=Dashboard!$Q$4,OR(J2001&lt;&gt;"Yes",Dashboard!$Q$15="Yes")),P2001,""),"")</f>
        <v/>
      </c>
    </row>
    <row r="2002">
      <c r="A2002" s="47" t="n"/>
      <c r="B2002" s="48" t="n"/>
      <c r="C2002" s="48" t="n"/>
      <c r="D2002" s="48" t="n"/>
      <c r="E2002" s="48" t="n"/>
      <c r="F2002" s="48" t="n"/>
      <c r="G2002" s="48" t="n"/>
      <c r="H2002" s="48" t="n"/>
      <c r="I2002" s="49" t="n"/>
      <c r="J2002" s="50" t="n"/>
      <c r="K2002" s="48" t="n"/>
      <c r="L2002" s="51">
        <f>IF(A2002="","",DATE(YEAR(A2002),MONTH(A2002),1))</f>
        <v/>
      </c>
      <c r="M2002" s="52">
        <f>IF(OR(A2002="",NOT(ISNUMBER(I2002))),"",IF(G2002=Lists!$B$5,I2002/2,IF(G2002=Lists!$B$6,I2002,0)))</f>
        <v/>
      </c>
      <c r="N2002" s="52">
        <f>IF(OR(A2002="",NOT(ISNUMBER(I2002))),"",IF(G2002=Lists!$B$5,I2002/2,IF(G2002=Lists!$B$7,I2002,0)))</f>
        <v/>
      </c>
      <c r="O2002" s="53">
        <f>IF(COUNTA(A2002:K2002)=0,"",IF(OR(A2002="",B2002="",C2002="",D2002="",E2002="",F2002="",G2002="",NOT(ISNUMBER(I2002))),"Incomplete",IF(COUNTIF(Lists!$H$4:$AA$4,C2002)=0,"Check category",IF(COUNTIF(INDEX(Lists!$H$6:$AA$45,0,MATCH(C2002,Lists!$H$4:$AA$4,0)),D2002)=0,"Check sub-category","OK"))))</f>
        <v/>
      </c>
      <c r="P2002">
        <f>IF(ISNUMBER(I2002),I2002+ROW()/10000000,"")</f>
        <v/>
      </c>
      <c r="Q2002">
        <f>IF(AND(ISNUMBER(P2002),ISNUMBER(A2002)),IF(AND(A2002&gt;=Dashboard!$Q$3,A2002&lt;=Dashboard!$Q$4,OR(J2002&lt;&gt;"Yes",Dashboard!$Q$15="Yes")),P2002,""),"")</f>
        <v/>
      </c>
    </row>
    <row r="2003">
      <c r="A2003" s="47" t="n"/>
      <c r="B2003" s="48" t="n"/>
      <c r="C2003" s="48" t="n"/>
      <c r="D2003" s="48" t="n"/>
      <c r="E2003" s="48" t="n"/>
      <c r="F2003" s="48" t="n"/>
      <c r="G2003" s="48" t="n"/>
      <c r="H2003" s="48" t="n"/>
      <c r="I2003" s="49" t="n"/>
      <c r="J2003" s="50" t="n"/>
      <c r="K2003" s="48" t="n"/>
      <c r="L2003" s="51">
        <f>IF(A2003="","",DATE(YEAR(A2003),MONTH(A2003),1))</f>
        <v/>
      </c>
      <c r="M2003" s="52">
        <f>IF(OR(A2003="",NOT(ISNUMBER(I2003))),"",IF(G2003=Lists!$B$5,I2003/2,IF(G2003=Lists!$B$6,I2003,0)))</f>
        <v/>
      </c>
      <c r="N2003" s="52">
        <f>IF(OR(A2003="",NOT(ISNUMBER(I2003))),"",IF(G2003=Lists!$B$5,I2003/2,IF(G2003=Lists!$B$7,I2003,0)))</f>
        <v/>
      </c>
      <c r="O2003" s="53">
        <f>IF(COUNTA(A2003:K2003)=0,"",IF(OR(A2003="",B2003="",C2003="",D2003="",E2003="",F2003="",G2003="",NOT(ISNUMBER(I2003))),"Incomplete",IF(COUNTIF(Lists!$H$4:$AA$4,C2003)=0,"Check category",IF(COUNTIF(INDEX(Lists!$H$6:$AA$45,0,MATCH(C2003,Lists!$H$4:$AA$4,0)),D2003)=0,"Check sub-category","OK"))))</f>
        <v/>
      </c>
      <c r="P2003">
        <f>IF(ISNUMBER(I2003),I2003+ROW()/10000000,"")</f>
        <v/>
      </c>
      <c r="Q2003">
        <f>IF(AND(ISNUMBER(P2003),ISNUMBER(A2003)),IF(AND(A2003&gt;=Dashboard!$Q$3,A2003&lt;=Dashboard!$Q$4,OR(J2003&lt;&gt;"Yes",Dashboard!$Q$15="Yes")),P2003,""),"")</f>
        <v/>
      </c>
    </row>
    <row r="2004">
      <c r="A2004" s="47" t="n"/>
      <c r="B2004" s="48" t="n"/>
      <c r="C2004" s="48" t="n"/>
      <c r="D2004" s="48" t="n"/>
      <c r="E2004" s="48" t="n"/>
      <c r="F2004" s="48" t="n"/>
      <c r="G2004" s="48" t="n"/>
      <c r="H2004" s="48" t="n"/>
      <c r="I2004" s="49" t="n"/>
      <c r="J2004" s="50" t="n"/>
      <c r="K2004" s="48" t="n"/>
      <c r="L2004" s="51">
        <f>IF(A2004="","",DATE(YEAR(A2004),MONTH(A2004),1))</f>
        <v/>
      </c>
      <c r="M2004" s="52">
        <f>IF(OR(A2004="",NOT(ISNUMBER(I2004))),"",IF(G2004=Lists!$B$5,I2004/2,IF(G2004=Lists!$B$6,I2004,0)))</f>
        <v/>
      </c>
      <c r="N2004" s="52">
        <f>IF(OR(A2004="",NOT(ISNUMBER(I2004))),"",IF(G2004=Lists!$B$5,I2004/2,IF(G2004=Lists!$B$7,I2004,0)))</f>
        <v/>
      </c>
      <c r="O2004" s="53">
        <f>IF(COUNTA(A2004:K2004)=0,"",IF(OR(A2004="",B2004="",C2004="",D2004="",E2004="",F2004="",G2004="",NOT(ISNUMBER(I2004))),"Incomplete",IF(COUNTIF(Lists!$H$4:$AA$4,C2004)=0,"Check category",IF(COUNTIF(INDEX(Lists!$H$6:$AA$45,0,MATCH(C2004,Lists!$H$4:$AA$4,0)),D2004)=0,"Check sub-category","OK"))))</f>
        <v/>
      </c>
      <c r="P2004">
        <f>IF(ISNUMBER(I2004),I2004+ROW()/10000000,"")</f>
        <v/>
      </c>
      <c r="Q2004">
        <f>IF(AND(ISNUMBER(P2004),ISNUMBER(A2004)),IF(AND(A2004&gt;=Dashboard!$Q$3,A2004&lt;=Dashboard!$Q$4,OR(J2004&lt;&gt;"Yes",Dashboard!$Q$15="Yes")),P2004,""),"")</f>
        <v/>
      </c>
    </row>
    <row r="2005">
      <c r="A2005" s="47" t="n"/>
      <c r="B2005" s="48" t="n"/>
      <c r="C2005" s="48" t="n"/>
      <c r="D2005" s="48" t="n"/>
      <c r="E2005" s="48" t="n"/>
      <c r="F2005" s="48" t="n"/>
      <c r="G2005" s="48" t="n"/>
      <c r="H2005" s="48" t="n"/>
      <c r="I2005" s="49" t="n"/>
      <c r="J2005" s="50" t="n"/>
      <c r="K2005" s="48" t="n"/>
      <c r="L2005" s="51">
        <f>IF(A2005="","",DATE(YEAR(A2005),MONTH(A2005),1))</f>
        <v/>
      </c>
      <c r="M2005" s="52">
        <f>IF(OR(A2005="",NOT(ISNUMBER(I2005))),"",IF(G2005=Lists!$B$5,I2005/2,IF(G2005=Lists!$B$6,I2005,0)))</f>
        <v/>
      </c>
      <c r="N2005" s="52">
        <f>IF(OR(A2005="",NOT(ISNUMBER(I2005))),"",IF(G2005=Lists!$B$5,I2005/2,IF(G2005=Lists!$B$7,I2005,0)))</f>
        <v/>
      </c>
      <c r="O2005" s="53">
        <f>IF(COUNTA(A2005:K2005)=0,"",IF(OR(A2005="",B2005="",C2005="",D2005="",E2005="",F2005="",G2005="",NOT(ISNUMBER(I2005))),"Incomplete",IF(COUNTIF(Lists!$H$4:$AA$4,C2005)=0,"Check category",IF(COUNTIF(INDEX(Lists!$H$6:$AA$45,0,MATCH(C2005,Lists!$H$4:$AA$4,0)),D2005)=0,"Check sub-category","OK"))))</f>
        <v/>
      </c>
      <c r="P2005">
        <f>IF(ISNUMBER(I2005),I2005+ROW()/10000000,"")</f>
        <v/>
      </c>
      <c r="Q2005">
        <f>IF(AND(ISNUMBER(P2005),ISNUMBER(A2005)),IF(AND(A2005&gt;=Dashboard!$Q$3,A2005&lt;=Dashboard!$Q$4,OR(J2005&lt;&gt;"Yes",Dashboard!$Q$15="Yes")),P2005,""),"")</f>
        <v/>
      </c>
    </row>
    <row r="2006">
      <c r="A2006" s="47" t="n"/>
      <c r="B2006" s="48" t="n"/>
      <c r="C2006" s="48" t="n"/>
      <c r="D2006" s="48" t="n"/>
      <c r="E2006" s="48" t="n"/>
      <c r="F2006" s="48" t="n"/>
      <c r="G2006" s="48" t="n"/>
      <c r="H2006" s="48" t="n"/>
      <c r="I2006" s="49" t="n"/>
      <c r="J2006" s="50" t="n"/>
      <c r="K2006" s="48" t="n"/>
      <c r="L2006" s="51">
        <f>IF(A2006="","",DATE(YEAR(A2006),MONTH(A2006),1))</f>
        <v/>
      </c>
      <c r="M2006" s="52">
        <f>IF(OR(A2006="",NOT(ISNUMBER(I2006))),"",IF(G2006=Lists!$B$5,I2006/2,IF(G2006=Lists!$B$6,I2006,0)))</f>
        <v/>
      </c>
      <c r="N2006" s="52">
        <f>IF(OR(A2006="",NOT(ISNUMBER(I2006))),"",IF(G2006=Lists!$B$5,I2006/2,IF(G2006=Lists!$B$7,I2006,0)))</f>
        <v/>
      </c>
      <c r="O2006" s="53">
        <f>IF(COUNTA(A2006:K2006)=0,"",IF(OR(A2006="",B2006="",C2006="",D2006="",E2006="",F2006="",G2006="",NOT(ISNUMBER(I2006))),"Incomplete",IF(COUNTIF(Lists!$H$4:$AA$4,C2006)=0,"Check category",IF(COUNTIF(INDEX(Lists!$H$6:$AA$45,0,MATCH(C2006,Lists!$H$4:$AA$4,0)),D2006)=0,"Check sub-category","OK"))))</f>
        <v/>
      </c>
      <c r="P2006">
        <f>IF(ISNUMBER(I2006),I2006+ROW()/10000000,"")</f>
        <v/>
      </c>
      <c r="Q2006">
        <f>IF(AND(ISNUMBER(P2006),ISNUMBER(A2006)),IF(AND(A2006&gt;=Dashboard!$Q$3,A2006&lt;=Dashboard!$Q$4,OR(J2006&lt;&gt;"Yes",Dashboard!$Q$15="Yes")),P2006,""),"")</f>
        <v/>
      </c>
    </row>
    <row r="2007">
      <c r="A2007" s="47" t="n"/>
      <c r="B2007" s="48" t="n"/>
      <c r="C2007" s="48" t="n"/>
      <c r="D2007" s="48" t="n"/>
      <c r="E2007" s="48" t="n"/>
      <c r="F2007" s="48" t="n"/>
      <c r="G2007" s="48" t="n"/>
      <c r="H2007" s="48" t="n"/>
      <c r="I2007" s="49" t="n"/>
      <c r="J2007" s="50" t="n"/>
      <c r="K2007" s="48" t="n"/>
      <c r="L2007" s="51">
        <f>IF(A2007="","",DATE(YEAR(A2007),MONTH(A2007),1))</f>
        <v/>
      </c>
      <c r="M2007" s="52">
        <f>IF(OR(A2007="",NOT(ISNUMBER(I2007))),"",IF(G2007=Lists!$B$5,I2007/2,IF(G2007=Lists!$B$6,I2007,0)))</f>
        <v/>
      </c>
      <c r="N2007" s="52">
        <f>IF(OR(A2007="",NOT(ISNUMBER(I2007))),"",IF(G2007=Lists!$B$5,I2007/2,IF(G2007=Lists!$B$7,I2007,0)))</f>
        <v/>
      </c>
      <c r="O2007" s="53">
        <f>IF(COUNTA(A2007:K2007)=0,"",IF(OR(A2007="",B2007="",C2007="",D2007="",E2007="",F2007="",G2007="",NOT(ISNUMBER(I2007))),"Incomplete",IF(COUNTIF(Lists!$H$4:$AA$4,C2007)=0,"Check category",IF(COUNTIF(INDEX(Lists!$H$6:$AA$45,0,MATCH(C2007,Lists!$H$4:$AA$4,0)),D2007)=0,"Check sub-category","OK"))))</f>
        <v/>
      </c>
      <c r="P2007">
        <f>IF(ISNUMBER(I2007),I2007+ROW()/10000000,"")</f>
        <v/>
      </c>
      <c r="Q2007">
        <f>IF(AND(ISNUMBER(P2007),ISNUMBER(A2007)),IF(AND(A2007&gt;=Dashboard!$Q$3,A2007&lt;=Dashboard!$Q$4,OR(J2007&lt;&gt;"Yes",Dashboard!$Q$15="Yes")),P2007,""),"")</f>
        <v/>
      </c>
    </row>
    <row r="2008">
      <c r="A2008" s="47" t="n"/>
      <c r="B2008" s="48" t="n"/>
      <c r="C2008" s="48" t="n"/>
      <c r="D2008" s="48" t="n"/>
      <c r="E2008" s="48" t="n"/>
      <c r="F2008" s="48" t="n"/>
      <c r="G2008" s="48" t="n"/>
      <c r="H2008" s="48" t="n"/>
      <c r="I2008" s="49" t="n"/>
      <c r="J2008" s="50" t="n"/>
      <c r="K2008" s="48" t="n"/>
      <c r="L2008" s="51">
        <f>IF(A2008="","",DATE(YEAR(A2008),MONTH(A2008),1))</f>
        <v/>
      </c>
      <c r="M2008" s="52">
        <f>IF(OR(A2008="",NOT(ISNUMBER(I2008))),"",IF(G2008=Lists!$B$5,I2008/2,IF(G2008=Lists!$B$6,I2008,0)))</f>
        <v/>
      </c>
      <c r="N2008" s="52">
        <f>IF(OR(A2008="",NOT(ISNUMBER(I2008))),"",IF(G2008=Lists!$B$5,I2008/2,IF(G2008=Lists!$B$7,I2008,0)))</f>
        <v/>
      </c>
      <c r="O2008" s="53">
        <f>IF(COUNTA(A2008:K2008)=0,"",IF(OR(A2008="",B2008="",C2008="",D2008="",E2008="",F2008="",G2008="",NOT(ISNUMBER(I2008))),"Incomplete",IF(COUNTIF(Lists!$H$4:$AA$4,C2008)=0,"Check category",IF(COUNTIF(INDEX(Lists!$H$6:$AA$45,0,MATCH(C2008,Lists!$H$4:$AA$4,0)),D2008)=0,"Check sub-category","OK"))))</f>
        <v/>
      </c>
      <c r="P2008">
        <f>IF(ISNUMBER(I2008),I2008+ROW()/10000000,"")</f>
        <v/>
      </c>
      <c r="Q2008">
        <f>IF(AND(ISNUMBER(P2008),ISNUMBER(A2008)),IF(AND(A2008&gt;=Dashboard!$Q$3,A2008&lt;=Dashboard!$Q$4,OR(J2008&lt;&gt;"Yes",Dashboard!$Q$15="Yes")),P2008,""),"")</f>
        <v/>
      </c>
    </row>
    <row r="2009">
      <c r="A2009" s="47" t="n"/>
      <c r="B2009" s="48" t="n"/>
      <c r="C2009" s="48" t="n"/>
      <c r="D2009" s="48" t="n"/>
      <c r="E2009" s="48" t="n"/>
      <c r="F2009" s="48" t="n"/>
      <c r="G2009" s="48" t="n"/>
      <c r="H2009" s="48" t="n"/>
      <c r="I2009" s="49" t="n"/>
      <c r="J2009" s="50" t="n"/>
      <c r="K2009" s="48" t="n"/>
      <c r="L2009" s="51">
        <f>IF(A2009="","",DATE(YEAR(A2009),MONTH(A2009),1))</f>
        <v/>
      </c>
      <c r="M2009" s="52">
        <f>IF(OR(A2009="",NOT(ISNUMBER(I2009))),"",IF(G2009=Lists!$B$5,I2009/2,IF(G2009=Lists!$B$6,I2009,0)))</f>
        <v/>
      </c>
      <c r="N2009" s="52">
        <f>IF(OR(A2009="",NOT(ISNUMBER(I2009))),"",IF(G2009=Lists!$B$5,I2009/2,IF(G2009=Lists!$B$7,I2009,0)))</f>
        <v/>
      </c>
      <c r="O2009" s="53">
        <f>IF(COUNTA(A2009:K2009)=0,"",IF(OR(A2009="",B2009="",C2009="",D2009="",E2009="",F2009="",G2009="",NOT(ISNUMBER(I2009))),"Incomplete",IF(COUNTIF(Lists!$H$4:$AA$4,C2009)=0,"Check category",IF(COUNTIF(INDEX(Lists!$H$6:$AA$45,0,MATCH(C2009,Lists!$H$4:$AA$4,0)),D2009)=0,"Check sub-category","OK"))))</f>
        <v/>
      </c>
      <c r="P2009">
        <f>IF(ISNUMBER(I2009),I2009+ROW()/10000000,"")</f>
        <v/>
      </c>
      <c r="Q2009">
        <f>IF(AND(ISNUMBER(P2009),ISNUMBER(A2009)),IF(AND(A2009&gt;=Dashboard!$Q$3,A2009&lt;=Dashboard!$Q$4,OR(J2009&lt;&gt;"Yes",Dashboard!$Q$15="Yes")),P2009,""),"")</f>
        <v/>
      </c>
    </row>
    <row r="2010">
      <c r="A2010" s="47" t="n"/>
      <c r="B2010" s="48" t="n"/>
      <c r="C2010" s="48" t="n"/>
      <c r="D2010" s="48" t="n"/>
      <c r="E2010" s="48" t="n"/>
      <c r="F2010" s="48" t="n"/>
      <c r="G2010" s="48" t="n"/>
      <c r="H2010" s="48" t="n"/>
      <c r="I2010" s="49" t="n"/>
      <c r="J2010" s="50" t="n"/>
      <c r="K2010" s="48" t="n"/>
      <c r="L2010" s="51">
        <f>IF(A2010="","",DATE(YEAR(A2010),MONTH(A2010),1))</f>
        <v/>
      </c>
      <c r="M2010" s="52">
        <f>IF(OR(A2010="",NOT(ISNUMBER(I2010))),"",IF(G2010=Lists!$B$5,I2010/2,IF(G2010=Lists!$B$6,I2010,0)))</f>
        <v/>
      </c>
      <c r="N2010" s="52">
        <f>IF(OR(A2010="",NOT(ISNUMBER(I2010))),"",IF(G2010=Lists!$B$5,I2010/2,IF(G2010=Lists!$B$7,I2010,0)))</f>
        <v/>
      </c>
      <c r="O2010" s="53">
        <f>IF(COUNTA(A2010:K2010)=0,"",IF(OR(A2010="",B2010="",C2010="",D2010="",E2010="",F2010="",G2010="",NOT(ISNUMBER(I2010))),"Incomplete",IF(COUNTIF(Lists!$H$4:$AA$4,C2010)=0,"Check category",IF(COUNTIF(INDEX(Lists!$H$6:$AA$45,0,MATCH(C2010,Lists!$H$4:$AA$4,0)),D2010)=0,"Check sub-category","OK"))))</f>
        <v/>
      </c>
      <c r="P2010">
        <f>IF(ISNUMBER(I2010),I2010+ROW()/10000000,"")</f>
        <v/>
      </c>
      <c r="Q2010">
        <f>IF(AND(ISNUMBER(P2010),ISNUMBER(A2010)),IF(AND(A2010&gt;=Dashboard!$Q$3,A2010&lt;=Dashboard!$Q$4,OR(J2010&lt;&gt;"Yes",Dashboard!$Q$15="Yes")),P2010,""),"")</f>
        <v/>
      </c>
    </row>
    <row r="2011">
      <c r="A2011" s="47" t="n"/>
      <c r="B2011" s="48" t="n"/>
      <c r="C2011" s="48" t="n"/>
      <c r="D2011" s="48" t="n"/>
      <c r="E2011" s="48" t="n"/>
      <c r="F2011" s="48" t="n"/>
      <c r="G2011" s="48" t="n"/>
      <c r="H2011" s="48" t="n"/>
      <c r="I2011" s="49" t="n"/>
      <c r="J2011" s="50" t="n"/>
      <c r="K2011" s="48" t="n"/>
      <c r="L2011" s="51">
        <f>IF(A2011="","",DATE(YEAR(A2011),MONTH(A2011),1))</f>
        <v/>
      </c>
      <c r="M2011" s="52">
        <f>IF(OR(A2011="",NOT(ISNUMBER(I2011))),"",IF(G2011=Lists!$B$5,I2011/2,IF(G2011=Lists!$B$6,I2011,0)))</f>
        <v/>
      </c>
      <c r="N2011" s="52">
        <f>IF(OR(A2011="",NOT(ISNUMBER(I2011))),"",IF(G2011=Lists!$B$5,I2011/2,IF(G2011=Lists!$B$7,I2011,0)))</f>
        <v/>
      </c>
      <c r="O2011" s="53">
        <f>IF(COUNTA(A2011:K2011)=0,"",IF(OR(A2011="",B2011="",C2011="",D2011="",E2011="",F2011="",G2011="",NOT(ISNUMBER(I2011))),"Incomplete",IF(COUNTIF(Lists!$H$4:$AA$4,C2011)=0,"Check category",IF(COUNTIF(INDEX(Lists!$H$6:$AA$45,0,MATCH(C2011,Lists!$H$4:$AA$4,0)),D2011)=0,"Check sub-category","OK"))))</f>
        <v/>
      </c>
      <c r="P2011">
        <f>IF(ISNUMBER(I2011),I2011+ROW()/10000000,"")</f>
        <v/>
      </c>
      <c r="Q2011">
        <f>IF(AND(ISNUMBER(P2011),ISNUMBER(A2011)),IF(AND(A2011&gt;=Dashboard!$Q$3,A2011&lt;=Dashboard!$Q$4,OR(J2011&lt;&gt;"Yes",Dashboard!$Q$15="Yes")),P2011,""),"")</f>
        <v/>
      </c>
    </row>
    <row r="2012">
      <c r="A2012" s="47" t="n"/>
      <c r="B2012" s="48" t="n"/>
      <c r="C2012" s="48" t="n"/>
      <c r="D2012" s="48" t="n"/>
      <c r="E2012" s="48" t="n"/>
      <c r="F2012" s="48" t="n"/>
      <c r="G2012" s="48" t="n"/>
      <c r="H2012" s="48" t="n"/>
      <c r="I2012" s="49" t="n"/>
      <c r="J2012" s="50" t="n"/>
      <c r="K2012" s="48" t="n"/>
      <c r="L2012" s="51">
        <f>IF(A2012="","",DATE(YEAR(A2012),MONTH(A2012),1))</f>
        <v/>
      </c>
      <c r="M2012" s="52">
        <f>IF(OR(A2012="",NOT(ISNUMBER(I2012))),"",IF(G2012=Lists!$B$5,I2012/2,IF(G2012=Lists!$B$6,I2012,0)))</f>
        <v/>
      </c>
      <c r="N2012" s="52">
        <f>IF(OR(A2012="",NOT(ISNUMBER(I2012))),"",IF(G2012=Lists!$B$5,I2012/2,IF(G2012=Lists!$B$7,I2012,0)))</f>
        <v/>
      </c>
      <c r="O2012" s="53">
        <f>IF(COUNTA(A2012:K2012)=0,"",IF(OR(A2012="",B2012="",C2012="",D2012="",E2012="",F2012="",G2012="",NOT(ISNUMBER(I2012))),"Incomplete",IF(COUNTIF(Lists!$H$4:$AA$4,C2012)=0,"Check category",IF(COUNTIF(INDEX(Lists!$H$6:$AA$45,0,MATCH(C2012,Lists!$H$4:$AA$4,0)),D2012)=0,"Check sub-category","OK"))))</f>
        <v/>
      </c>
      <c r="P2012">
        <f>IF(ISNUMBER(I2012),I2012+ROW()/10000000,"")</f>
        <v/>
      </c>
      <c r="Q2012">
        <f>IF(AND(ISNUMBER(P2012),ISNUMBER(A2012)),IF(AND(A2012&gt;=Dashboard!$Q$3,A2012&lt;=Dashboard!$Q$4,OR(J2012&lt;&gt;"Yes",Dashboard!$Q$15="Yes")),P2012,""),"")</f>
        <v/>
      </c>
    </row>
    <row r="2013">
      <c r="A2013" s="47" t="n"/>
      <c r="B2013" s="48" t="n"/>
      <c r="C2013" s="48" t="n"/>
      <c r="D2013" s="48" t="n"/>
      <c r="E2013" s="48" t="n"/>
      <c r="F2013" s="48" t="n"/>
      <c r="G2013" s="48" t="n"/>
      <c r="H2013" s="48" t="n"/>
      <c r="I2013" s="49" t="n"/>
      <c r="J2013" s="50" t="n"/>
      <c r="K2013" s="48" t="n"/>
      <c r="L2013" s="51">
        <f>IF(A2013="","",DATE(YEAR(A2013),MONTH(A2013),1))</f>
        <v/>
      </c>
      <c r="M2013" s="52">
        <f>IF(OR(A2013="",NOT(ISNUMBER(I2013))),"",IF(G2013=Lists!$B$5,I2013/2,IF(G2013=Lists!$B$6,I2013,0)))</f>
        <v/>
      </c>
      <c r="N2013" s="52">
        <f>IF(OR(A2013="",NOT(ISNUMBER(I2013))),"",IF(G2013=Lists!$B$5,I2013/2,IF(G2013=Lists!$B$7,I2013,0)))</f>
        <v/>
      </c>
      <c r="O2013" s="53">
        <f>IF(COUNTA(A2013:K2013)=0,"",IF(OR(A2013="",B2013="",C2013="",D2013="",E2013="",F2013="",G2013="",NOT(ISNUMBER(I2013))),"Incomplete",IF(COUNTIF(Lists!$H$4:$AA$4,C2013)=0,"Check category",IF(COUNTIF(INDEX(Lists!$H$6:$AA$45,0,MATCH(C2013,Lists!$H$4:$AA$4,0)),D2013)=0,"Check sub-category","OK"))))</f>
        <v/>
      </c>
      <c r="P2013">
        <f>IF(ISNUMBER(I2013),I2013+ROW()/10000000,"")</f>
        <v/>
      </c>
      <c r="Q2013">
        <f>IF(AND(ISNUMBER(P2013),ISNUMBER(A2013)),IF(AND(A2013&gt;=Dashboard!$Q$3,A2013&lt;=Dashboard!$Q$4,OR(J2013&lt;&gt;"Yes",Dashboard!$Q$15="Yes")),P2013,""),"")</f>
        <v/>
      </c>
    </row>
    <row r="2014">
      <c r="A2014" s="47" t="n"/>
      <c r="B2014" s="48" t="n"/>
      <c r="C2014" s="48" t="n"/>
      <c r="D2014" s="48" t="n"/>
      <c r="E2014" s="48" t="n"/>
      <c r="F2014" s="48" t="n"/>
      <c r="G2014" s="48" t="n"/>
      <c r="H2014" s="48" t="n"/>
      <c r="I2014" s="49" t="n"/>
      <c r="J2014" s="50" t="n"/>
      <c r="K2014" s="48" t="n"/>
      <c r="L2014" s="51">
        <f>IF(A2014="","",DATE(YEAR(A2014),MONTH(A2014),1))</f>
        <v/>
      </c>
      <c r="M2014" s="52">
        <f>IF(OR(A2014="",NOT(ISNUMBER(I2014))),"",IF(G2014=Lists!$B$5,I2014/2,IF(G2014=Lists!$B$6,I2014,0)))</f>
        <v/>
      </c>
      <c r="N2014" s="52">
        <f>IF(OR(A2014="",NOT(ISNUMBER(I2014))),"",IF(G2014=Lists!$B$5,I2014/2,IF(G2014=Lists!$B$7,I2014,0)))</f>
        <v/>
      </c>
      <c r="O2014" s="53">
        <f>IF(COUNTA(A2014:K2014)=0,"",IF(OR(A2014="",B2014="",C2014="",D2014="",E2014="",F2014="",G2014="",NOT(ISNUMBER(I2014))),"Incomplete",IF(COUNTIF(Lists!$H$4:$AA$4,C2014)=0,"Check category",IF(COUNTIF(INDEX(Lists!$H$6:$AA$45,0,MATCH(C2014,Lists!$H$4:$AA$4,0)),D2014)=0,"Check sub-category","OK"))))</f>
        <v/>
      </c>
      <c r="P2014">
        <f>IF(ISNUMBER(I2014),I2014+ROW()/10000000,"")</f>
        <v/>
      </c>
      <c r="Q2014">
        <f>IF(AND(ISNUMBER(P2014),ISNUMBER(A2014)),IF(AND(A2014&gt;=Dashboard!$Q$3,A2014&lt;=Dashboard!$Q$4,OR(J2014&lt;&gt;"Yes",Dashboard!$Q$15="Yes")),P2014,""),"")</f>
        <v/>
      </c>
    </row>
    <row r="2015">
      <c r="A2015" s="47" t="n"/>
      <c r="B2015" s="48" t="n"/>
      <c r="C2015" s="48" t="n"/>
      <c r="D2015" s="48" t="n"/>
      <c r="E2015" s="48" t="n"/>
      <c r="F2015" s="48" t="n"/>
      <c r="G2015" s="48" t="n"/>
      <c r="H2015" s="48" t="n"/>
      <c r="I2015" s="49" t="n"/>
      <c r="J2015" s="50" t="n"/>
      <c r="K2015" s="48" t="n"/>
      <c r="L2015" s="51">
        <f>IF(A2015="","",DATE(YEAR(A2015),MONTH(A2015),1))</f>
        <v/>
      </c>
      <c r="M2015" s="52">
        <f>IF(OR(A2015="",NOT(ISNUMBER(I2015))),"",IF(G2015=Lists!$B$5,I2015/2,IF(G2015=Lists!$B$6,I2015,0)))</f>
        <v/>
      </c>
      <c r="N2015" s="52">
        <f>IF(OR(A2015="",NOT(ISNUMBER(I2015))),"",IF(G2015=Lists!$B$5,I2015/2,IF(G2015=Lists!$B$7,I2015,0)))</f>
        <v/>
      </c>
      <c r="O2015" s="53">
        <f>IF(COUNTA(A2015:K2015)=0,"",IF(OR(A2015="",B2015="",C2015="",D2015="",E2015="",F2015="",G2015="",NOT(ISNUMBER(I2015))),"Incomplete",IF(COUNTIF(Lists!$H$4:$AA$4,C2015)=0,"Check category",IF(COUNTIF(INDEX(Lists!$H$6:$AA$45,0,MATCH(C2015,Lists!$H$4:$AA$4,0)),D2015)=0,"Check sub-category","OK"))))</f>
        <v/>
      </c>
      <c r="P2015">
        <f>IF(ISNUMBER(I2015),I2015+ROW()/10000000,"")</f>
        <v/>
      </c>
      <c r="Q2015">
        <f>IF(AND(ISNUMBER(P2015),ISNUMBER(A2015)),IF(AND(A2015&gt;=Dashboard!$Q$3,A2015&lt;=Dashboard!$Q$4,OR(J2015&lt;&gt;"Yes",Dashboard!$Q$15="Yes")),P2015,""),"")</f>
        <v/>
      </c>
    </row>
    <row r="2016">
      <c r="A2016" s="47" t="n"/>
      <c r="B2016" s="48" t="n"/>
      <c r="C2016" s="48" t="n"/>
      <c r="D2016" s="48" t="n"/>
      <c r="E2016" s="48" t="n"/>
      <c r="F2016" s="48" t="n"/>
      <c r="G2016" s="48" t="n"/>
      <c r="H2016" s="48" t="n"/>
      <c r="I2016" s="49" t="n"/>
      <c r="J2016" s="50" t="n"/>
      <c r="K2016" s="48" t="n"/>
      <c r="L2016" s="51">
        <f>IF(A2016="","",DATE(YEAR(A2016),MONTH(A2016),1))</f>
        <v/>
      </c>
      <c r="M2016" s="52">
        <f>IF(OR(A2016="",NOT(ISNUMBER(I2016))),"",IF(G2016=Lists!$B$5,I2016/2,IF(G2016=Lists!$B$6,I2016,0)))</f>
        <v/>
      </c>
      <c r="N2016" s="52">
        <f>IF(OR(A2016="",NOT(ISNUMBER(I2016))),"",IF(G2016=Lists!$B$5,I2016/2,IF(G2016=Lists!$B$7,I2016,0)))</f>
        <v/>
      </c>
      <c r="O2016" s="53">
        <f>IF(COUNTA(A2016:K2016)=0,"",IF(OR(A2016="",B2016="",C2016="",D2016="",E2016="",F2016="",G2016="",NOT(ISNUMBER(I2016))),"Incomplete",IF(COUNTIF(Lists!$H$4:$AA$4,C2016)=0,"Check category",IF(COUNTIF(INDEX(Lists!$H$6:$AA$45,0,MATCH(C2016,Lists!$H$4:$AA$4,0)),D2016)=0,"Check sub-category","OK"))))</f>
        <v/>
      </c>
      <c r="P2016">
        <f>IF(ISNUMBER(I2016),I2016+ROW()/10000000,"")</f>
        <v/>
      </c>
      <c r="Q2016">
        <f>IF(AND(ISNUMBER(P2016),ISNUMBER(A2016)),IF(AND(A2016&gt;=Dashboard!$Q$3,A2016&lt;=Dashboard!$Q$4,OR(J2016&lt;&gt;"Yes",Dashboard!$Q$15="Yes")),P2016,""),"")</f>
        <v/>
      </c>
    </row>
    <row r="2017">
      <c r="A2017" s="47" t="n"/>
      <c r="B2017" s="48" t="n"/>
      <c r="C2017" s="48" t="n"/>
      <c r="D2017" s="48" t="n"/>
      <c r="E2017" s="48" t="n"/>
      <c r="F2017" s="48" t="n"/>
      <c r="G2017" s="48" t="n"/>
      <c r="H2017" s="48" t="n"/>
      <c r="I2017" s="49" t="n"/>
      <c r="J2017" s="50" t="n"/>
      <c r="K2017" s="48" t="n"/>
      <c r="L2017" s="51">
        <f>IF(A2017="","",DATE(YEAR(A2017),MONTH(A2017),1))</f>
        <v/>
      </c>
      <c r="M2017" s="52">
        <f>IF(OR(A2017="",NOT(ISNUMBER(I2017))),"",IF(G2017=Lists!$B$5,I2017/2,IF(G2017=Lists!$B$6,I2017,0)))</f>
        <v/>
      </c>
      <c r="N2017" s="52">
        <f>IF(OR(A2017="",NOT(ISNUMBER(I2017))),"",IF(G2017=Lists!$B$5,I2017/2,IF(G2017=Lists!$B$7,I2017,0)))</f>
        <v/>
      </c>
      <c r="O2017" s="53">
        <f>IF(COUNTA(A2017:K2017)=0,"",IF(OR(A2017="",B2017="",C2017="",D2017="",E2017="",F2017="",G2017="",NOT(ISNUMBER(I2017))),"Incomplete",IF(COUNTIF(Lists!$H$4:$AA$4,C2017)=0,"Check category",IF(COUNTIF(INDEX(Lists!$H$6:$AA$45,0,MATCH(C2017,Lists!$H$4:$AA$4,0)),D2017)=0,"Check sub-category","OK"))))</f>
        <v/>
      </c>
      <c r="P2017">
        <f>IF(ISNUMBER(I2017),I2017+ROW()/10000000,"")</f>
        <v/>
      </c>
      <c r="Q2017">
        <f>IF(AND(ISNUMBER(P2017),ISNUMBER(A2017)),IF(AND(A2017&gt;=Dashboard!$Q$3,A2017&lt;=Dashboard!$Q$4,OR(J2017&lt;&gt;"Yes",Dashboard!$Q$15="Yes")),P2017,""),"")</f>
        <v/>
      </c>
    </row>
    <row r="2018">
      <c r="A2018" s="47" t="n"/>
      <c r="B2018" s="48" t="n"/>
      <c r="C2018" s="48" t="n"/>
      <c r="D2018" s="48" t="n"/>
      <c r="E2018" s="48" t="n"/>
      <c r="F2018" s="48" t="n"/>
      <c r="G2018" s="48" t="n"/>
      <c r="H2018" s="48" t="n"/>
      <c r="I2018" s="49" t="n"/>
      <c r="J2018" s="50" t="n"/>
      <c r="K2018" s="48" t="n"/>
      <c r="L2018" s="51">
        <f>IF(A2018="","",DATE(YEAR(A2018),MONTH(A2018),1))</f>
        <v/>
      </c>
      <c r="M2018" s="52">
        <f>IF(OR(A2018="",NOT(ISNUMBER(I2018))),"",IF(G2018=Lists!$B$5,I2018/2,IF(G2018=Lists!$B$6,I2018,0)))</f>
        <v/>
      </c>
      <c r="N2018" s="52">
        <f>IF(OR(A2018="",NOT(ISNUMBER(I2018))),"",IF(G2018=Lists!$B$5,I2018/2,IF(G2018=Lists!$B$7,I2018,0)))</f>
        <v/>
      </c>
      <c r="O2018" s="53">
        <f>IF(COUNTA(A2018:K2018)=0,"",IF(OR(A2018="",B2018="",C2018="",D2018="",E2018="",F2018="",G2018="",NOT(ISNUMBER(I2018))),"Incomplete",IF(COUNTIF(Lists!$H$4:$AA$4,C2018)=0,"Check category",IF(COUNTIF(INDEX(Lists!$H$6:$AA$45,0,MATCH(C2018,Lists!$H$4:$AA$4,0)),D2018)=0,"Check sub-category","OK"))))</f>
        <v/>
      </c>
      <c r="P2018">
        <f>IF(ISNUMBER(I2018),I2018+ROW()/10000000,"")</f>
        <v/>
      </c>
      <c r="Q2018">
        <f>IF(AND(ISNUMBER(P2018),ISNUMBER(A2018)),IF(AND(A2018&gt;=Dashboard!$Q$3,A2018&lt;=Dashboard!$Q$4,OR(J2018&lt;&gt;"Yes",Dashboard!$Q$15="Yes")),P2018,""),"")</f>
        <v/>
      </c>
    </row>
    <row r="2019">
      <c r="A2019" s="47" t="n"/>
      <c r="B2019" s="48" t="n"/>
      <c r="C2019" s="48" t="n"/>
      <c r="D2019" s="48" t="n"/>
      <c r="E2019" s="48" t="n"/>
      <c r="F2019" s="48" t="n"/>
      <c r="G2019" s="48" t="n"/>
      <c r="H2019" s="48" t="n"/>
      <c r="I2019" s="49" t="n"/>
      <c r="J2019" s="50" t="n"/>
      <c r="K2019" s="48" t="n"/>
      <c r="L2019" s="51">
        <f>IF(A2019="","",DATE(YEAR(A2019),MONTH(A2019),1))</f>
        <v/>
      </c>
      <c r="M2019" s="52">
        <f>IF(OR(A2019="",NOT(ISNUMBER(I2019))),"",IF(G2019=Lists!$B$5,I2019/2,IF(G2019=Lists!$B$6,I2019,0)))</f>
        <v/>
      </c>
      <c r="N2019" s="52">
        <f>IF(OR(A2019="",NOT(ISNUMBER(I2019))),"",IF(G2019=Lists!$B$5,I2019/2,IF(G2019=Lists!$B$7,I2019,0)))</f>
        <v/>
      </c>
      <c r="O2019" s="53">
        <f>IF(COUNTA(A2019:K2019)=0,"",IF(OR(A2019="",B2019="",C2019="",D2019="",E2019="",F2019="",G2019="",NOT(ISNUMBER(I2019))),"Incomplete",IF(COUNTIF(Lists!$H$4:$AA$4,C2019)=0,"Check category",IF(COUNTIF(INDEX(Lists!$H$6:$AA$45,0,MATCH(C2019,Lists!$H$4:$AA$4,0)),D2019)=0,"Check sub-category","OK"))))</f>
        <v/>
      </c>
      <c r="P2019">
        <f>IF(ISNUMBER(I2019),I2019+ROW()/10000000,"")</f>
        <v/>
      </c>
      <c r="Q2019">
        <f>IF(AND(ISNUMBER(P2019),ISNUMBER(A2019)),IF(AND(A2019&gt;=Dashboard!$Q$3,A2019&lt;=Dashboard!$Q$4,OR(J2019&lt;&gt;"Yes",Dashboard!$Q$15="Yes")),P2019,""),"")</f>
        <v/>
      </c>
    </row>
    <row r="2020">
      <c r="A2020" s="47" t="n"/>
      <c r="B2020" s="48" t="n"/>
      <c r="C2020" s="48" t="n"/>
      <c r="D2020" s="48" t="n"/>
      <c r="E2020" s="48" t="n"/>
      <c r="F2020" s="48" t="n"/>
      <c r="G2020" s="48" t="n"/>
      <c r="H2020" s="48" t="n"/>
      <c r="I2020" s="49" t="n"/>
      <c r="J2020" s="50" t="n"/>
      <c r="K2020" s="48" t="n"/>
      <c r="L2020" s="51">
        <f>IF(A2020="","",DATE(YEAR(A2020),MONTH(A2020),1))</f>
        <v/>
      </c>
      <c r="M2020" s="52">
        <f>IF(OR(A2020="",NOT(ISNUMBER(I2020))),"",IF(G2020=Lists!$B$5,I2020/2,IF(G2020=Lists!$B$6,I2020,0)))</f>
        <v/>
      </c>
      <c r="N2020" s="52">
        <f>IF(OR(A2020="",NOT(ISNUMBER(I2020))),"",IF(G2020=Lists!$B$5,I2020/2,IF(G2020=Lists!$B$7,I2020,0)))</f>
        <v/>
      </c>
      <c r="O2020" s="53">
        <f>IF(COUNTA(A2020:K2020)=0,"",IF(OR(A2020="",B2020="",C2020="",D2020="",E2020="",F2020="",G2020="",NOT(ISNUMBER(I2020))),"Incomplete",IF(COUNTIF(Lists!$H$4:$AA$4,C2020)=0,"Check category",IF(COUNTIF(INDEX(Lists!$H$6:$AA$45,0,MATCH(C2020,Lists!$H$4:$AA$4,0)),D2020)=0,"Check sub-category","OK"))))</f>
        <v/>
      </c>
      <c r="P2020">
        <f>IF(ISNUMBER(I2020),I2020+ROW()/10000000,"")</f>
        <v/>
      </c>
      <c r="Q2020">
        <f>IF(AND(ISNUMBER(P2020),ISNUMBER(A2020)),IF(AND(A2020&gt;=Dashboard!$Q$3,A2020&lt;=Dashboard!$Q$4,OR(J2020&lt;&gt;"Yes",Dashboard!$Q$15="Yes")),P2020,""),"")</f>
        <v/>
      </c>
    </row>
    <row r="2021">
      <c r="A2021" s="47" t="n"/>
      <c r="B2021" s="48" t="n"/>
      <c r="C2021" s="48" t="n"/>
      <c r="D2021" s="48" t="n"/>
      <c r="E2021" s="48" t="n"/>
      <c r="F2021" s="48" t="n"/>
      <c r="G2021" s="48" t="n"/>
      <c r="H2021" s="48" t="n"/>
      <c r="I2021" s="49" t="n"/>
      <c r="J2021" s="50" t="n"/>
      <c r="K2021" s="48" t="n"/>
      <c r="L2021" s="51">
        <f>IF(A2021="","",DATE(YEAR(A2021),MONTH(A2021),1))</f>
        <v/>
      </c>
      <c r="M2021" s="52">
        <f>IF(OR(A2021="",NOT(ISNUMBER(I2021))),"",IF(G2021=Lists!$B$5,I2021/2,IF(G2021=Lists!$B$6,I2021,0)))</f>
        <v/>
      </c>
      <c r="N2021" s="52">
        <f>IF(OR(A2021="",NOT(ISNUMBER(I2021))),"",IF(G2021=Lists!$B$5,I2021/2,IF(G2021=Lists!$B$7,I2021,0)))</f>
        <v/>
      </c>
      <c r="O2021" s="53">
        <f>IF(COUNTA(A2021:K2021)=0,"",IF(OR(A2021="",B2021="",C2021="",D2021="",E2021="",F2021="",G2021="",NOT(ISNUMBER(I2021))),"Incomplete",IF(COUNTIF(Lists!$H$4:$AA$4,C2021)=0,"Check category",IF(COUNTIF(INDEX(Lists!$H$6:$AA$45,0,MATCH(C2021,Lists!$H$4:$AA$4,0)),D2021)=0,"Check sub-category","OK"))))</f>
        <v/>
      </c>
      <c r="P2021">
        <f>IF(ISNUMBER(I2021),I2021+ROW()/10000000,"")</f>
        <v/>
      </c>
      <c r="Q2021">
        <f>IF(AND(ISNUMBER(P2021),ISNUMBER(A2021)),IF(AND(A2021&gt;=Dashboard!$Q$3,A2021&lt;=Dashboard!$Q$4,OR(J2021&lt;&gt;"Yes",Dashboard!$Q$15="Yes")),P2021,""),"")</f>
        <v/>
      </c>
    </row>
    <row r="2022">
      <c r="A2022" s="47" t="n"/>
      <c r="B2022" s="48" t="n"/>
      <c r="C2022" s="48" t="n"/>
      <c r="D2022" s="48" t="n"/>
      <c r="E2022" s="48" t="n"/>
      <c r="F2022" s="48" t="n"/>
      <c r="G2022" s="48" t="n"/>
      <c r="H2022" s="48" t="n"/>
      <c r="I2022" s="49" t="n"/>
      <c r="J2022" s="50" t="n"/>
      <c r="K2022" s="48" t="n"/>
      <c r="L2022" s="51">
        <f>IF(A2022="","",DATE(YEAR(A2022),MONTH(A2022),1))</f>
        <v/>
      </c>
      <c r="M2022" s="52">
        <f>IF(OR(A2022="",NOT(ISNUMBER(I2022))),"",IF(G2022=Lists!$B$5,I2022/2,IF(G2022=Lists!$B$6,I2022,0)))</f>
        <v/>
      </c>
      <c r="N2022" s="52">
        <f>IF(OR(A2022="",NOT(ISNUMBER(I2022))),"",IF(G2022=Lists!$B$5,I2022/2,IF(G2022=Lists!$B$7,I2022,0)))</f>
        <v/>
      </c>
      <c r="O2022" s="53">
        <f>IF(COUNTA(A2022:K2022)=0,"",IF(OR(A2022="",B2022="",C2022="",D2022="",E2022="",F2022="",G2022="",NOT(ISNUMBER(I2022))),"Incomplete",IF(COUNTIF(Lists!$H$4:$AA$4,C2022)=0,"Check category",IF(COUNTIF(INDEX(Lists!$H$6:$AA$45,0,MATCH(C2022,Lists!$H$4:$AA$4,0)),D2022)=0,"Check sub-category","OK"))))</f>
        <v/>
      </c>
      <c r="P2022">
        <f>IF(ISNUMBER(I2022),I2022+ROW()/10000000,"")</f>
        <v/>
      </c>
      <c r="Q2022">
        <f>IF(AND(ISNUMBER(P2022),ISNUMBER(A2022)),IF(AND(A2022&gt;=Dashboard!$Q$3,A2022&lt;=Dashboard!$Q$4,OR(J2022&lt;&gt;"Yes",Dashboard!$Q$15="Yes")),P2022,""),"")</f>
        <v/>
      </c>
    </row>
    <row r="2023">
      <c r="A2023" s="47" t="n"/>
      <c r="B2023" s="48" t="n"/>
      <c r="C2023" s="48" t="n"/>
      <c r="D2023" s="48" t="n"/>
      <c r="E2023" s="48" t="n"/>
      <c r="F2023" s="48" t="n"/>
      <c r="G2023" s="48" t="n"/>
      <c r="H2023" s="48" t="n"/>
      <c r="I2023" s="49" t="n"/>
      <c r="J2023" s="50" t="n"/>
      <c r="K2023" s="48" t="n"/>
      <c r="L2023" s="51">
        <f>IF(A2023="","",DATE(YEAR(A2023),MONTH(A2023),1))</f>
        <v/>
      </c>
      <c r="M2023" s="52">
        <f>IF(OR(A2023="",NOT(ISNUMBER(I2023))),"",IF(G2023=Lists!$B$5,I2023/2,IF(G2023=Lists!$B$6,I2023,0)))</f>
        <v/>
      </c>
      <c r="N2023" s="52">
        <f>IF(OR(A2023="",NOT(ISNUMBER(I2023))),"",IF(G2023=Lists!$B$5,I2023/2,IF(G2023=Lists!$B$7,I2023,0)))</f>
        <v/>
      </c>
      <c r="O2023" s="53">
        <f>IF(COUNTA(A2023:K2023)=0,"",IF(OR(A2023="",B2023="",C2023="",D2023="",E2023="",F2023="",G2023="",NOT(ISNUMBER(I2023))),"Incomplete",IF(COUNTIF(Lists!$H$4:$AA$4,C2023)=0,"Check category",IF(COUNTIF(INDEX(Lists!$H$6:$AA$45,0,MATCH(C2023,Lists!$H$4:$AA$4,0)),D2023)=0,"Check sub-category","OK"))))</f>
        <v/>
      </c>
      <c r="P2023">
        <f>IF(ISNUMBER(I2023),I2023+ROW()/10000000,"")</f>
        <v/>
      </c>
      <c r="Q2023">
        <f>IF(AND(ISNUMBER(P2023),ISNUMBER(A2023)),IF(AND(A2023&gt;=Dashboard!$Q$3,A2023&lt;=Dashboard!$Q$4,OR(J2023&lt;&gt;"Yes",Dashboard!$Q$15="Yes")),P2023,""),"")</f>
        <v/>
      </c>
    </row>
    <row r="2024">
      <c r="A2024" s="47" t="n"/>
      <c r="B2024" s="48" t="n"/>
      <c r="C2024" s="48" t="n"/>
      <c r="D2024" s="48" t="n"/>
      <c r="E2024" s="48" t="n"/>
      <c r="F2024" s="48" t="n"/>
      <c r="G2024" s="48" t="n"/>
      <c r="H2024" s="48" t="n"/>
      <c r="I2024" s="49" t="n"/>
      <c r="J2024" s="50" t="n"/>
      <c r="K2024" s="48" t="n"/>
      <c r="L2024" s="51">
        <f>IF(A2024="","",DATE(YEAR(A2024),MONTH(A2024),1))</f>
        <v/>
      </c>
      <c r="M2024" s="52">
        <f>IF(OR(A2024="",NOT(ISNUMBER(I2024))),"",IF(G2024=Lists!$B$5,I2024/2,IF(G2024=Lists!$B$6,I2024,0)))</f>
        <v/>
      </c>
      <c r="N2024" s="52">
        <f>IF(OR(A2024="",NOT(ISNUMBER(I2024))),"",IF(G2024=Lists!$B$5,I2024/2,IF(G2024=Lists!$B$7,I2024,0)))</f>
        <v/>
      </c>
      <c r="O2024" s="53">
        <f>IF(COUNTA(A2024:K2024)=0,"",IF(OR(A2024="",B2024="",C2024="",D2024="",E2024="",F2024="",G2024="",NOT(ISNUMBER(I2024))),"Incomplete",IF(COUNTIF(Lists!$H$4:$AA$4,C2024)=0,"Check category",IF(COUNTIF(INDEX(Lists!$H$6:$AA$45,0,MATCH(C2024,Lists!$H$4:$AA$4,0)),D2024)=0,"Check sub-category","OK"))))</f>
        <v/>
      </c>
      <c r="P2024">
        <f>IF(ISNUMBER(I2024),I2024+ROW()/10000000,"")</f>
        <v/>
      </c>
      <c r="Q2024">
        <f>IF(AND(ISNUMBER(P2024),ISNUMBER(A2024)),IF(AND(A2024&gt;=Dashboard!$Q$3,A2024&lt;=Dashboard!$Q$4,OR(J2024&lt;&gt;"Yes",Dashboard!$Q$15="Yes")),P2024,""),"")</f>
        <v/>
      </c>
    </row>
    <row r="2025">
      <c r="A2025" s="47" t="n"/>
      <c r="B2025" s="48" t="n"/>
      <c r="C2025" s="48" t="n"/>
      <c r="D2025" s="48" t="n"/>
      <c r="E2025" s="48" t="n"/>
      <c r="F2025" s="48" t="n"/>
      <c r="G2025" s="48" t="n"/>
      <c r="H2025" s="48" t="n"/>
      <c r="I2025" s="49" t="n"/>
      <c r="J2025" s="50" t="n"/>
      <c r="K2025" s="48" t="n"/>
      <c r="L2025" s="51">
        <f>IF(A2025="","",DATE(YEAR(A2025),MONTH(A2025),1))</f>
        <v/>
      </c>
      <c r="M2025" s="52">
        <f>IF(OR(A2025="",NOT(ISNUMBER(I2025))),"",IF(G2025=Lists!$B$5,I2025/2,IF(G2025=Lists!$B$6,I2025,0)))</f>
        <v/>
      </c>
      <c r="N2025" s="52">
        <f>IF(OR(A2025="",NOT(ISNUMBER(I2025))),"",IF(G2025=Lists!$B$5,I2025/2,IF(G2025=Lists!$B$7,I2025,0)))</f>
        <v/>
      </c>
      <c r="O2025" s="53">
        <f>IF(COUNTA(A2025:K2025)=0,"",IF(OR(A2025="",B2025="",C2025="",D2025="",E2025="",F2025="",G2025="",NOT(ISNUMBER(I2025))),"Incomplete",IF(COUNTIF(Lists!$H$4:$AA$4,C2025)=0,"Check category",IF(COUNTIF(INDEX(Lists!$H$6:$AA$45,0,MATCH(C2025,Lists!$H$4:$AA$4,0)),D2025)=0,"Check sub-category","OK"))))</f>
        <v/>
      </c>
      <c r="P2025">
        <f>IF(ISNUMBER(I2025),I2025+ROW()/10000000,"")</f>
        <v/>
      </c>
      <c r="Q2025">
        <f>IF(AND(ISNUMBER(P2025),ISNUMBER(A2025)),IF(AND(A2025&gt;=Dashboard!$Q$3,A2025&lt;=Dashboard!$Q$4,OR(J2025&lt;&gt;"Yes",Dashboard!$Q$15="Yes")),P2025,""),"")</f>
        <v/>
      </c>
    </row>
    <row r="2026">
      <c r="A2026" s="47" t="n"/>
      <c r="B2026" s="48" t="n"/>
      <c r="C2026" s="48" t="n"/>
      <c r="D2026" s="48" t="n"/>
      <c r="E2026" s="48" t="n"/>
      <c r="F2026" s="48" t="n"/>
      <c r="G2026" s="48" t="n"/>
      <c r="H2026" s="48" t="n"/>
      <c r="I2026" s="49" t="n"/>
      <c r="J2026" s="50" t="n"/>
      <c r="K2026" s="48" t="n"/>
      <c r="L2026" s="51">
        <f>IF(A2026="","",DATE(YEAR(A2026),MONTH(A2026),1))</f>
        <v/>
      </c>
      <c r="M2026" s="52">
        <f>IF(OR(A2026="",NOT(ISNUMBER(I2026))),"",IF(G2026=Lists!$B$5,I2026/2,IF(G2026=Lists!$B$6,I2026,0)))</f>
        <v/>
      </c>
      <c r="N2026" s="52">
        <f>IF(OR(A2026="",NOT(ISNUMBER(I2026))),"",IF(G2026=Lists!$B$5,I2026/2,IF(G2026=Lists!$B$7,I2026,0)))</f>
        <v/>
      </c>
      <c r="O2026" s="53">
        <f>IF(COUNTA(A2026:K2026)=0,"",IF(OR(A2026="",B2026="",C2026="",D2026="",E2026="",F2026="",G2026="",NOT(ISNUMBER(I2026))),"Incomplete",IF(COUNTIF(Lists!$H$4:$AA$4,C2026)=0,"Check category",IF(COUNTIF(INDEX(Lists!$H$6:$AA$45,0,MATCH(C2026,Lists!$H$4:$AA$4,0)),D2026)=0,"Check sub-category","OK"))))</f>
        <v/>
      </c>
      <c r="P2026">
        <f>IF(ISNUMBER(I2026),I2026+ROW()/10000000,"")</f>
        <v/>
      </c>
      <c r="Q2026">
        <f>IF(AND(ISNUMBER(P2026),ISNUMBER(A2026)),IF(AND(A2026&gt;=Dashboard!$Q$3,A2026&lt;=Dashboard!$Q$4,OR(J2026&lt;&gt;"Yes",Dashboard!$Q$15="Yes")),P2026,""),"")</f>
        <v/>
      </c>
    </row>
    <row r="2027">
      <c r="A2027" s="47" t="n"/>
      <c r="B2027" s="48" t="n"/>
      <c r="C2027" s="48" t="n"/>
      <c r="D2027" s="48" t="n"/>
      <c r="E2027" s="48" t="n"/>
      <c r="F2027" s="48" t="n"/>
      <c r="G2027" s="48" t="n"/>
      <c r="H2027" s="48" t="n"/>
      <c r="I2027" s="49" t="n"/>
      <c r="J2027" s="50" t="n"/>
      <c r="K2027" s="48" t="n"/>
      <c r="L2027" s="51">
        <f>IF(A2027="","",DATE(YEAR(A2027),MONTH(A2027),1))</f>
        <v/>
      </c>
      <c r="M2027" s="52">
        <f>IF(OR(A2027="",NOT(ISNUMBER(I2027))),"",IF(G2027=Lists!$B$5,I2027/2,IF(G2027=Lists!$B$6,I2027,0)))</f>
        <v/>
      </c>
      <c r="N2027" s="52">
        <f>IF(OR(A2027="",NOT(ISNUMBER(I2027))),"",IF(G2027=Lists!$B$5,I2027/2,IF(G2027=Lists!$B$7,I2027,0)))</f>
        <v/>
      </c>
      <c r="O2027" s="53">
        <f>IF(COUNTA(A2027:K2027)=0,"",IF(OR(A2027="",B2027="",C2027="",D2027="",E2027="",F2027="",G2027="",NOT(ISNUMBER(I2027))),"Incomplete",IF(COUNTIF(Lists!$H$4:$AA$4,C2027)=0,"Check category",IF(COUNTIF(INDEX(Lists!$H$6:$AA$45,0,MATCH(C2027,Lists!$H$4:$AA$4,0)),D2027)=0,"Check sub-category","OK"))))</f>
        <v/>
      </c>
      <c r="P2027">
        <f>IF(ISNUMBER(I2027),I2027+ROW()/10000000,"")</f>
        <v/>
      </c>
      <c r="Q2027">
        <f>IF(AND(ISNUMBER(P2027),ISNUMBER(A2027)),IF(AND(A2027&gt;=Dashboard!$Q$3,A2027&lt;=Dashboard!$Q$4,OR(J2027&lt;&gt;"Yes",Dashboard!$Q$15="Yes")),P2027,""),"")</f>
        <v/>
      </c>
    </row>
    <row r="2028">
      <c r="A2028" s="47" t="n"/>
      <c r="B2028" s="48" t="n"/>
      <c r="C2028" s="48" t="n"/>
      <c r="D2028" s="48" t="n"/>
      <c r="E2028" s="48" t="n"/>
      <c r="F2028" s="48" t="n"/>
      <c r="G2028" s="48" t="n"/>
      <c r="H2028" s="48" t="n"/>
      <c r="I2028" s="49" t="n"/>
      <c r="J2028" s="50" t="n"/>
      <c r="K2028" s="48" t="n"/>
      <c r="L2028" s="51">
        <f>IF(A2028="","",DATE(YEAR(A2028),MONTH(A2028),1))</f>
        <v/>
      </c>
      <c r="M2028" s="52">
        <f>IF(OR(A2028="",NOT(ISNUMBER(I2028))),"",IF(G2028=Lists!$B$5,I2028/2,IF(G2028=Lists!$B$6,I2028,0)))</f>
        <v/>
      </c>
      <c r="N2028" s="52">
        <f>IF(OR(A2028="",NOT(ISNUMBER(I2028))),"",IF(G2028=Lists!$B$5,I2028/2,IF(G2028=Lists!$B$7,I2028,0)))</f>
        <v/>
      </c>
      <c r="O2028" s="53">
        <f>IF(COUNTA(A2028:K2028)=0,"",IF(OR(A2028="",B2028="",C2028="",D2028="",E2028="",F2028="",G2028="",NOT(ISNUMBER(I2028))),"Incomplete",IF(COUNTIF(Lists!$H$4:$AA$4,C2028)=0,"Check category",IF(COUNTIF(INDEX(Lists!$H$6:$AA$45,0,MATCH(C2028,Lists!$H$4:$AA$4,0)),D2028)=0,"Check sub-category","OK"))))</f>
        <v/>
      </c>
      <c r="P2028">
        <f>IF(ISNUMBER(I2028),I2028+ROW()/10000000,"")</f>
        <v/>
      </c>
      <c r="Q2028">
        <f>IF(AND(ISNUMBER(P2028),ISNUMBER(A2028)),IF(AND(A2028&gt;=Dashboard!$Q$3,A2028&lt;=Dashboard!$Q$4,OR(J2028&lt;&gt;"Yes",Dashboard!$Q$15="Yes")),P2028,""),"")</f>
        <v/>
      </c>
    </row>
    <row r="2029">
      <c r="A2029" s="47" t="n"/>
      <c r="B2029" s="48" t="n"/>
      <c r="C2029" s="48" t="n"/>
      <c r="D2029" s="48" t="n"/>
      <c r="E2029" s="48" t="n"/>
      <c r="F2029" s="48" t="n"/>
      <c r="G2029" s="48" t="n"/>
      <c r="H2029" s="48" t="n"/>
      <c r="I2029" s="49" t="n"/>
      <c r="J2029" s="50" t="n"/>
      <c r="K2029" s="48" t="n"/>
      <c r="L2029" s="51">
        <f>IF(A2029="","",DATE(YEAR(A2029),MONTH(A2029),1))</f>
        <v/>
      </c>
      <c r="M2029" s="52">
        <f>IF(OR(A2029="",NOT(ISNUMBER(I2029))),"",IF(G2029=Lists!$B$5,I2029/2,IF(G2029=Lists!$B$6,I2029,0)))</f>
        <v/>
      </c>
      <c r="N2029" s="52">
        <f>IF(OR(A2029="",NOT(ISNUMBER(I2029))),"",IF(G2029=Lists!$B$5,I2029/2,IF(G2029=Lists!$B$7,I2029,0)))</f>
        <v/>
      </c>
      <c r="O2029" s="53">
        <f>IF(COUNTA(A2029:K2029)=0,"",IF(OR(A2029="",B2029="",C2029="",D2029="",E2029="",F2029="",G2029="",NOT(ISNUMBER(I2029))),"Incomplete",IF(COUNTIF(Lists!$H$4:$AA$4,C2029)=0,"Check category",IF(COUNTIF(INDEX(Lists!$H$6:$AA$45,0,MATCH(C2029,Lists!$H$4:$AA$4,0)),D2029)=0,"Check sub-category","OK"))))</f>
        <v/>
      </c>
      <c r="P2029">
        <f>IF(ISNUMBER(I2029),I2029+ROW()/10000000,"")</f>
        <v/>
      </c>
      <c r="Q2029">
        <f>IF(AND(ISNUMBER(P2029),ISNUMBER(A2029)),IF(AND(A2029&gt;=Dashboard!$Q$3,A2029&lt;=Dashboard!$Q$4,OR(J2029&lt;&gt;"Yes",Dashboard!$Q$15="Yes")),P2029,""),"")</f>
        <v/>
      </c>
    </row>
    <row r="2030">
      <c r="A2030" s="47" t="n"/>
      <c r="B2030" s="48" t="n"/>
      <c r="C2030" s="48" t="n"/>
      <c r="D2030" s="48" t="n"/>
      <c r="E2030" s="48" t="n"/>
      <c r="F2030" s="48" t="n"/>
      <c r="G2030" s="48" t="n"/>
      <c r="H2030" s="48" t="n"/>
      <c r="I2030" s="49" t="n"/>
      <c r="J2030" s="50" t="n"/>
      <c r="K2030" s="48" t="n"/>
      <c r="L2030" s="51">
        <f>IF(A2030="","",DATE(YEAR(A2030),MONTH(A2030),1))</f>
        <v/>
      </c>
      <c r="M2030" s="52">
        <f>IF(OR(A2030="",NOT(ISNUMBER(I2030))),"",IF(G2030=Lists!$B$5,I2030/2,IF(G2030=Lists!$B$6,I2030,0)))</f>
        <v/>
      </c>
      <c r="N2030" s="52">
        <f>IF(OR(A2030="",NOT(ISNUMBER(I2030))),"",IF(G2030=Lists!$B$5,I2030/2,IF(G2030=Lists!$B$7,I2030,0)))</f>
        <v/>
      </c>
      <c r="O2030" s="53">
        <f>IF(COUNTA(A2030:K2030)=0,"",IF(OR(A2030="",B2030="",C2030="",D2030="",E2030="",F2030="",G2030="",NOT(ISNUMBER(I2030))),"Incomplete",IF(COUNTIF(Lists!$H$4:$AA$4,C2030)=0,"Check category",IF(COUNTIF(INDEX(Lists!$H$6:$AA$45,0,MATCH(C2030,Lists!$H$4:$AA$4,0)),D2030)=0,"Check sub-category","OK"))))</f>
        <v/>
      </c>
      <c r="P2030">
        <f>IF(ISNUMBER(I2030),I2030+ROW()/10000000,"")</f>
        <v/>
      </c>
      <c r="Q2030">
        <f>IF(AND(ISNUMBER(P2030),ISNUMBER(A2030)),IF(AND(A2030&gt;=Dashboard!$Q$3,A2030&lt;=Dashboard!$Q$4,OR(J2030&lt;&gt;"Yes",Dashboard!$Q$15="Yes")),P2030,""),"")</f>
        <v/>
      </c>
    </row>
    <row r="2031">
      <c r="A2031" s="47" t="n"/>
      <c r="B2031" s="48" t="n"/>
      <c r="C2031" s="48" t="n"/>
      <c r="D2031" s="48" t="n"/>
      <c r="E2031" s="48" t="n"/>
      <c r="F2031" s="48" t="n"/>
      <c r="G2031" s="48" t="n"/>
      <c r="H2031" s="48" t="n"/>
      <c r="I2031" s="49" t="n"/>
      <c r="J2031" s="50" t="n"/>
      <c r="K2031" s="48" t="n"/>
      <c r="L2031" s="51">
        <f>IF(A2031="","",DATE(YEAR(A2031),MONTH(A2031),1))</f>
        <v/>
      </c>
      <c r="M2031" s="52">
        <f>IF(OR(A2031="",NOT(ISNUMBER(I2031))),"",IF(G2031=Lists!$B$5,I2031/2,IF(G2031=Lists!$B$6,I2031,0)))</f>
        <v/>
      </c>
      <c r="N2031" s="52">
        <f>IF(OR(A2031="",NOT(ISNUMBER(I2031))),"",IF(G2031=Lists!$B$5,I2031/2,IF(G2031=Lists!$B$7,I2031,0)))</f>
        <v/>
      </c>
      <c r="O2031" s="53">
        <f>IF(COUNTA(A2031:K2031)=0,"",IF(OR(A2031="",B2031="",C2031="",D2031="",E2031="",F2031="",G2031="",NOT(ISNUMBER(I2031))),"Incomplete",IF(COUNTIF(Lists!$H$4:$AA$4,C2031)=0,"Check category",IF(COUNTIF(INDEX(Lists!$H$6:$AA$45,0,MATCH(C2031,Lists!$H$4:$AA$4,0)),D2031)=0,"Check sub-category","OK"))))</f>
        <v/>
      </c>
      <c r="P2031">
        <f>IF(ISNUMBER(I2031),I2031+ROW()/10000000,"")</f>
        <v/>
      </c>
      <c r="Q2031">
        <f>IF(AND(ISNUMBER(P2031),ISNUMBER(A2031)),IF(AND(A2031&gt;=Dashboard!$Q$3,A2031&lt;=Dashboard!$Q$4,OR(J2031&lt;&gt;"Yes",Dashboard!$Q$15="Yes")),P2031,""),"")</f>
        <v/>
      </c>
    </row>
    <row r="2032">
      <c r="A2032" s="47" t="n"/>
      <c r="B2032" s="48" t="n"/>
      <c r="C2032" s="48" t="n"/>
      <c r="D2032" s="48" t="n"/>
      <c r="E2032" s="48" t="n"/>
      <c r="F2032" s="48" t="n"/>
      <c r="G2032" s="48" t="n"/>
      <c r="H2032" s="48" t="n"/>
      <c r="I2032" s="49" t="n"/>
      <c r="J2032" s="50" t="n"/>
      <c r="K2032" s="48" t="n"/>
      <c r="L2032" s="51">
        <f>IF(A2032="","",DATE(YEAR(A2032),MONTH(A2032),1))</f>
        <v/>
      </c>
      <c r="M2032" s="52">
        <f>IF(OR(A2032="",NOT(ISNUMBER(I2032))),"",IF(G2032=Lists!$B$5,I2032/2,IF(G2032=Lists!$B$6,I2032,0)))</f>
        <v/>
      </c>
      <c r="N2032" s="52">
        <f>IF(OR(A2032="",NOT(ISNUMBER(I2032))),"",IF(G2032=Lists!$B$5,I2032/2,IF(G2032=Lists!$B$7,I2032,0)))</f>
        <v/>
      </c>
      <c r="O2032" s="53">
        <f>IF(COUNTA(A2032:K2032)=0,"",IF(OR(A2032="",B2032="",C2032="",D2032="",E2032="",F2032="",G2032="",NOT(ISNUMBER(I2032))),"Incomplete",IF(COUNTIF(Lists!$H$4:$AA$4,C2032)=0,"Check category",IF(COUNTIF(INDEX(Lists!$H$6:$AA$45,0,MATCH(C2032,Lists!$H$4:$AA$4,0)),D2032)=0,"Check sub-category","OK"))))</f>
        <v/>
      </c>
      <c r="P2032">
        <f>IF(ISNUMBER(I2032),I2032+ROW()/10000000,"")</f>
        <v/>
      </c>
      <c r="Q2032">
        <f>IF(AND(ISNUMBER(P2032),ISNUMBER(A2032)),IF(AND(A2032&gt;=Dashboard!$Q$3,A2032&lt;=Dashboard!$Q$4,OR(J2032&lt;&gt;"Yes",Dashboard!$Q$15="Yes")),P2032,""),"")</f>
        <v/>
      </c>
    </row>
    <row r="2033">
      <c r="A2033" s="47" t="n"/>
      <c r="B2033" s="48" t="n"/>
      <c r="C2033" s="48" t="n"/>
      <c r="D2033" s="48" t="n"/>
      <c r="E2033" s="48" t="n"/>
      <c r="F2033" s="48" t="n"/>
      <c r="G2033" s="48" t="n"/>
      <c r="H2033" s="48" t="n"/>
      <c r="I2033" s="49" t="n"/>
      <c r="J2033" s="50" t="n"/>
      <c r="K2033" s="48" t="n"/>
      <c r="L2033" s="51">
        <f>IF(A2033="","",DATE(YEAR(A2033),MONTH(A2033),1))</f>
        <v/>
      </c>
      <c r="M2033" s="52">
        <f>IF(OR(A2033="",NOT(ISNUMBER(I2033))),"",IF(G2033=Lists!$B$5,I2033/2,IF(G2033=Lists!$B$6,I2033,0)))</f>
        <v/>
      </c>
      <c r="N2033" s="52">
        <f>IF(OR(A2033="",NOT(ISNUMBER(I2033))),"",IF(G2033=Lists!$B$5,I2033/2,IF(G2033=Lists!$B$7,I2033,0)))</f>
        <v/>
      </c>
      <c r="O2033" s="53">
        <f>IF(COUNTA(A2033:K2033)=0,"",IF(OR(A2033="",B2033="",C2033="",D2033="",E2033="",F2033="",G2033="",NOT(ISNUMBER(I2033))),"Incomplete",IF(COUNTIF(Lists!$H$4:$AA$4,C2033)=0,"Check category",IF(COUNTIF(INDEX(Lists!$H$6:$AA$45,0,MATCH(C2033,Lists!$H$4:$AA$4,0)),D2033)=0,"Check sub-category","OK"))))</f>
        <v/>
      </c>
      <c r="P2033">
        <f>IF(ISNUMBER(I2033),I2033+ROW()/10000000,"")</f>
        <v/>
      </c>
      <c r="Q2033">
        <f>IF(AND(ISNUMBER(P2033),ISNUMBER(A2033)),IF(AND(A2033&gt;=Dashboard!$Q$3,A2033&lt;=Dashboard!$Q$4,OR(J2033&lt;&gt;"Yes",Dashboard!$Q$15="Yes")),P2033,""),"")</f>
        <v/>
      </c>
    </row>
    <row r="2034">
      <c r="A2034" s="47" t="n"/>
      <c r="B2034" s="48" t="n"/>
      <c r="C2034" s="48" t="n"/>
      <c r="D2034" s="48" t="n"/>
      <c r="E2034" s="48" t="n"/>
      <c r="F2034" s="48" t="n"/>
      <c r="G2034" s="48" t="n"/>
      <c r="H2034" s="48" t="n"/>
      <c r="I2034" s="49" t="n"/>
      <c r="J2034" s="50" t="n"/>
      <c r="K2034" s="48" t="n"/>
      <c r="L2034" s="51">
        <f>IF(A2034="","",DATE(YEAR(A2034),MONTH(A2034),1))</f>
        <v/>
      </c>
      <c r="M2034" s="52">
        <f>IF(OR(A2034="",NOT(ISNUMBER(I2034))),"",IF(G2034=Lists!$B$5,I2034/2,IF(G2034=Lists!$B$6,I2034,0)))</f>
        <v/>
      </c>
      <c r="N2034" s="52">
        <f>IF(OR(A2034="",NOT(ISNUMBER(I2034))),"",IF(G2034=Lists!$B$5,I2034/2,IF(G2034=Lists!$B$7,I2034,0)))</f>
        <v/>
      </c>
      <c r="O2034" s="53">
        <f>IF(COUNTA(A2034:K2034)=0,"",IF(OR(A2034="",B2034="",C2034="",D2034="",E2034="",F2034="",G2034="",NOT(ISNUMBER(I2034))),"Incomplete",IF(COUNTIF(Lists!$H$4:$AA$4,C2034)=0,"Check category",IF(COUNTIF(INDEX(Lists!$H$6:$AA$45,0,MATCH(C2034,Lists!$H$4:$AA$4,0)),D2034)=0,"Check sub-category","OK"))))</f>
        <v/>
      </c>
      <c r="P2034">
        <f>IF(ISNUMBER(I2034),I2034+ROW()/10000000,"")</f>
        <v/>
      </c>
      <c r="Q2034">
        <f>IF(AND(ISNUMBER(P2034),ISNUMBER(A2034)),IF(AND(A2034&gt;=Dashboard!$Q$3,A2034&lt;=Dashboard!$Q$4,OR(J2034&lt;&gt;"Yes",Dashboard!$Q$15="Yes")),P2034,""),"")</f>
        <v/>
      </c>
    </row>
    <row r="2035">
      <c r="A2035" s="47" t="n"/>
      <c r="B2035" s="48" t="n"/>
      <c r="C2035" s="48" t="n"/>
      <c r="D2035" s="48" t="n"/>
      <c r="E2035" s="48" t="n"/>
      <c r="F2035" s="48" t="n"/>
      <c r="G2035" s="48" t="n"/>
      <c r="H2035" s="48" t="n"/>
      <c r="I2035" s="49" t="n"/>
      <c r="J2035" s="50" t="n"/>
      <c r="K2035" s="48" t="n"/>
      <c r="L2035" s="51">
        <f>IF(A2035="","",DATE(YEAR(A2035),MONTH(A2035),1))</f>
        <v/>
      </c>
      <c r="M2035" s="52">
        <f>IF(OR(A2035="",NOT(ISNUMBER(I2035))),"",IF(G2035=Lists!$B$5,I2035/2,IF(G2035=Lists!$B$6,I2035,0)))</f>
        <v/>
      </c>
      <c r="N2035" s="52">
        <f>IF(OR(A2035="",NOT(ISNUMBER(I2035))),"",IF(G2035=Lists!$B$5,I2035/2,IF(G2035=Lists!$B$7,I2035,0)))</f>
        <v/>
      </c>
      <c r="O2035" s="53">
        <f>IF(COUNTA(A2035:K2035)=0,"",IF(OR(A2035="",B2035="",C2035="",D2035="",E2035="",F2035="",G2035="",NOT(ISNUMBER(I2035))),"Incomplete",IF(COUNTIF(Lists!$H$4:$AA$4,C2035)=0,"Check category",IF(COUNTIF(INDEX(Lists!$H$6:$AA$45,0,MATCH(C2035,Lists!$H$4:$AA$4,0)),D2035)=0,"Check sub-category","OK"))))</f>
        <v/>
      </c>
      <c r="P2035">
        <f>IF(ISNUMBER(I2035),I2035+ROW()/10000000,"")</f>
        <v/>
      </c>
      <c r="Q2035">
        <f>IF(AND(ISNUMBER(P2035),ISNUMBER(A2035)),IF(AND(A2035&gt;=Dashboard!$Q$3,A2035&lt;=Dashboard!$Q$4,OR(J2035&lt;&gt;"Yes",Dashboard!$Q$15="Yes")),P2035,""),"")</f>
        <v/>
      </c>
    </row>
    <row r="2036">
      <c r="A2036" s="47" t="n"/>
      <c r="B2036" s="48" t="n"/>
      <c r="C2036" s="48" t="n"/>
      <c r="D2036" s="48" t="n"/>
      <c r="E2036" s="48" t="n"/>
      <c r="F2036" s="48" t="n"/>
      <c r="G2036" s="48" t="n"/>
      <c r="H2036" s="48" t="n"/>
      <c r="I2036" s="49" t="n"/>
      <c r="J2036" s="50" t="n"/>
      <c r="K2036" s="48" t="n"/>
      <c r="L2036" s="51">
        <f>IF(A2036="","",DATE(YEAR(A2036),MONTH(A2036),1))</f>
        <v/>
      </c>
      <c r="M2036" s="52">
        <f>IF(OR(A2036="",NOT(ISNUMBER(I2036))),"",IF(G2036=Lists!$B$5,I2036/2,IF(G2036=Lists!$B$6,I2036,0)))</f>
        <v/>
      </c>
      <c r="N2036" s="52">
        <f>IF(OR(A2036="",NOT(ISNUMBER(I2036))),"",IF(G2036=Lists!$B$5,I2036/2,IF(G2036=Lists!$B$7,I2036,0)))</f>
        <v/>
      </c>
      <c r="O2036" s="53">
        <f>IF(COUNTA(A2036:K2036)=0,"",IF(OR(A2036="",B2036="",C2036="",D2036="",E2036="",F2036="",G2036="",NOT(ISNUMBER(I2036))),"Incomplete",IF(COUNTIF(Lists!$H$4:$AA$4,C2036)=0,"Check category",IF(COUNTIF(INDEX(Lists!$H$6:$AA$45,0,MATCH(C2036,Lists!$H$4:$AA$4,0)),D2036)=0,"Check sub-category","OK"))))</f>
        <v/>
      </c>
      <c r="P2036">
        <f>IF(ISNUMBER(I2036),I2036+ROW()/10000000,"")</f>
        <v/>
      </c>
      <c r="Q2036">
        <f>IF(AND(ISNUMBER(P2036),ISNUMBER(A2036)),IF(AND(A2036&gt;=Dashboard!$Q$3,A2036&lt;=Dashboard!$Q$4,OR(J2036&lt;&gt;"Yes",Dashboard!$Q$15="Yes")),P2036,""),"")</f>
        <v/>
      </c>
    </row>
    <row r="2037">
      <c r="A2037" s="47" t="n"/>
      <c r="B2037" s="48" t="n"/>
      <c r="C2037" s="48" t="n"/>
      <c r="D2037" s="48" t="n"/>
      <c r="E2037" s="48" t="n"/>
      <c r="F2037" s="48" t="n"/>
      <c r="G2037" s="48" t="n"/>
      <c r="H2037" s="48" t="n"/>
      <c r="I2037" s="49" t="n"/>
      <c r="J2037" s="50" t="n"/>
      <c r="K2037" s="48" t="n"/>
      <c r="L2037" s="51">
        <f>IF(A2037="","",DATE(YEAR(A2037),MONTH(A2037),1))</f>
        <v/>
      </c>
      <c r="M2037" s="52">
        <f>IF(OR(A2037="",NOT(ISNUMBER(I2037))),"",IF(G2037=Lists!$B$5,I2037/2,IF(G2037=Lists!$B$6,I2037,0)))</f>
        <v/>
      </c>
      <c r="N2037" s="52">
        <f>IF(OR(A2037="",NOT(ISNUMBER(I2037))),"",IF(G2037=Lists!$B$5,I2037/2,IF(G2037=Lists!$B$7,I2037,0)))</f>
        <v/>
      </c>
      <c r="O2037" s="53">
        <f>IF(COUNTA(A2037:K2037)=0,"",IF(OR(A2037="",B2037="",C2037="",D2037="",E2037="",F2037="",G2037="",NOT(ISNUMBER(I2037))),"Incomplete",IF(COUNTIF(Lists!$H$4:$AA$4,C2037)=0,"Check category",IF(COUNTIF(INDEX(Lists!$H$6:$AA$45,0,MATCH(C2037,Lists!$H$4:$AA$4,0)),D2037)=0,"Check sub-category","OK"))))</f>
        <v/>
      </c>
      <c r="P2037">
        <f>IF(ISNUMBER(I2037),I2037+ROW()/10000000,"")</f>
        <v/>
      </c>
      <c r="Q2037">
        <f>IF(AND(ISNUMBER(P2037),ISNUMBER(A2037)),IF(AND(A2037&gt;=Dashboard!$Q$3,A2037&lt;=Dashboard!$Q$4,OR(J2037&lt;&gt;"Yes",Dashboard!$Q$15="Yes")),P2037,""),"")</f>
        <v/>
      </c>
    </row>
    <row r="2038">
      <c r="A2038" s="47" t="n"/>
      <c r="B2038" s="48" t="n"/>
      <c r="C2038" s="48" t="n"/>
      <c r="D2038" s="48" t="n"/>
      <c r="E2038" s="48" t="n"/>
      <c r="F2038" s="48" t="n"/>
      <c r="G2038" s="48" t="n"/>
      <c r="H2038" s="48" t="n"/>
      <c r="I2038" s="49" t="n"/>
      <c r="J2038" s="50" t="n"/>
      <c r="K2038" s="48" t="n"/>
      <c r="L2038" s="51">
        <f>IF(A2038="","",DATE(YEAR(A2038),MONTH(A2038),1))</f>
        <v/>
      </c>
      <c r="M2038" s="52">
        <f>IF(OR(A2038="",NOT(ISNUMBER(I2038))),"",IF(G2038=Lists!$B$5,I2038/2,IF(G2038=Lists!$B$6,I2038,0)))</f>
        <v/>
      </c>
      <c r="N2038" s="52">
        <f>IF(OR(A2038="",NOT(ISNUMBER(I2038))),"",IF(G2038=Lists!$B$5,I2038/2,IF(G2038=Lists!$B$7,I2038,0)))</f>
        <v/>
      </c>
      <c r="O2038" s="53">
        <f>IF(COUNTA(A2038:K2038)=0,"",IF(OR(A2038="",B2038="",C2038="",D2038="",E2038="",F2038="",G2038="",NOT(ISNUMBER(I2038))),"Incomplete",IF(COUNTIF(Lists!$H$4:$AA$4,C2038)=0,"Check category",IF(COUNTIF(INDEX(Lists!$H$6:$AA$45,0,MATCH(C2038,Lists!$H$4:$AA$4,0)),D2038)=0,"Check sub-category","OK"))))</f>
        <v/>
      </c>
      <c r="P2038">
        <f>IF(ISNUMBER(I2038),I2038+ROW()/10000000,"")</f>
        <v/>
      </c>
      <c r="Q2038">
        <f>IF(AND(ISNUMBER(P2038),ISNUMBER(A2038)),IF(AND(A2038&gt;=Dashboard!$Q$3,A2038&lt;=Dashboard!$Q$4,OR(J2038&lt;&gt;"Yes",Dashboard!$Q$15="Yes")),P2038,""),"")</f>
        <v/>
      </c>
    </row>
    <row r="2039">
      <c r="A2039" s="47" t="n"/>
      <c r="B2039" s="48" t="n"/>
      <c r="C2039" s="48" t="n"/>
      <c r="D2039" s="48" t="n"/>
      <c r="E2039" s="48" t="n"/>
      <c r="F2039" s="48" t="n"/>
      <c r="G2039" s="48" t="n"/>
      <c r="H2039" s="48" t="n"/>
      <c r="I2039" s="49" t="n"/>
      <c r="J2039" s="50" t="n"/>
      <c r="K2039" s="48" t="n"/>
      <c r="L2039" s="51">
        <f>IF(A2039="","",DATE(YEAR(A2039),MONTH(A2039),1))</f>
        <v/>
      </c>
      <c r="M2039" s="52">
        <f>IF(OR(A2039="",NOT(ISNUMBER(I2039))),"",IF(G2039=Lists!$B$5,I2039/2,IF(G2039=Lists!$B$6,I2039,0)))</f>
        <v/>
      </c>
      <c r="N2039" s="52">
        <f>IF(OR(A2039="",NOT(ISNUMBER(I2039))),"",IF(G2039=Lists!$B$5,I2039/2,IF(G2039=Lists!$B$7,I2039,0)))</f>
        <v/>
      </c>
      <c r="O2039" s="53">
        <f>IF(COUNTA(A2039:K2039)=0,"",IF(OR(A2039="",B2039="",C2039="",D2039="",E2039="",F2039="",G2039="",NOT(ISNUMBER(I2039))),"Incomplete",IF(COUNTIF(Lists!$H$4:$AA$4,C2039)=0,"Check category",IF(COUNTIF(INDEX(Lists!$H$6:$AA$45,0,MATCH(C2039,Lists!$H$4:$AA$4,0)),D2039)=0,"Check sub-category","OK"))))</f>
        <v/>
      </c>
      <c r="P2039">
        <f>IF(ISNUMBER(I2039),I2039+ROW()/10000000,"")</f>
        <v/>
      </c>
      <c r="Q2039">
        <f>IF(AND(ISNUMBER(P2039),ISNUMBER(A2039)),IF(AND(A2039&gt;=Dashboard!$Q$3,A2039&lt;=Dashboard!$Q$4,OR(J2039&lt;&gt;"Yes",Dashboard!$Q$15="Yes")),P2039,""),"")</f>
        <v/>
      </c>
    </row>
    <row r="2040">
      <c r="A2040" s="47" t="n"/>
      <c r="B2040" s="48" t="n"/>
      <c r="C2040" s="48" t="n"/>
      <c r="D2040" s="48" t="n"/>
      <c r="E2040" s="48" t="n"/>
      <c r="F2040" s="48" t="n"/>
      <c r="G2040" s="48" t="n"/>
      <c r="H2040" s="48" t="n"/>
      <c r="I2040" s="49" t="n"/>
      <c r="J2040" s="50" t="n"/>
      <c r="K2040" s="48" t="n"/>
      <c r="L2040" s="51">
        <f>IF(A2040="","",DATE(YEAR(A2040),MONTH(A2040),1))</f>
        <v/>
      </c>
      <c r="M2040" s="52">
        <f>IF(OR(A2040="",NOT(ISNUMBER(I2040))),"",IF(G2040=Lists!$B$5,I2040/2,IF(G2040=Lists!$B$6,I2040,0)))</f>
        <v/>
      </c>
      <c r="N2040" s="52">
        <f>IF(OR(A2040="",NOT(ISNUMBER(I2040))),"",IF(G2040=Lists!$B$5,I2040/2,IF(G2040=Lists!$B$7,I2040,0)))</f>
        <v/>
      </c>
      <c r="O2040" s="53">
        <f>IF(COUNTA(A2040:K2040)=0,"",IF(OR(A2040="",B2040="",C2040="",D2040="",E2040="",F2040="",G2040="",NOT(ISNUMBER(I2040))),"Incomplete",IF(COUNTIF(Lists!$H$4:$AA$4,C2040)=0,"Check category",IF(COUNTIF(INDEX(Lists!$H$6:$AA$45,0,MATCH(C2040,Lists!$H$4:$AA$4,0)),D2040)=0,"Check sub-category","OK"))))</f>
        <v/>
      </c>
      <c r="P2040">
        <f>IF(ISNUMBER(I2040),I2040+ROW()/10000000,"")</f>
        <v/>
      </c>
      <c r="Q2040">
        <f>IF(AND(ISNUMBER(P2040),ISNUMBER(A2040)),IF(AND(A2040&gt;=Dashboard!$Q$3,A2040&lt;=Dashboard!$Q$4,OR(J2040&lt;&gt;"Yes",Dashboard!$Q$15="Yes")),P2040,""),"")</f>
        <v/>
      </c>
    </row>
    <row r="2041">
      <c r="A2041" s="47" t="n"/>
      <c r="B2041" s="48" t="n"/>
      <c r="C2041" s="48" t="n"/>
      <c r="D2041" s="48" t="n"/>
      <c r="E2041" s="48" t="n"/>
      <c r="F2041" s="48" t="n"/>
      <c r="G2041" s="48" t="n"/>
      <c r="H2041" s="48" t="n"/>
      <c r="I2041" s="49" t="n"/>
      <c r="J2041" s="50" t="n"/>
      <c r="K2041" s="48" t="n"/>
      <c r="L2041" s="51">
        <f>IF(A2041="","",DATE(YEAR(A2041),MONTH(A2041),1))</f>
        <v/>
      </c>
      <c r="M2041" s="52">
        <f>IF(OR(A2041="",NOT(ISNUMBER(I2041))),"",IF(G2041=Lists!$B$5,I2041/2,IF(G2041=Lists!$B$6,I2041,0)))</f>
        <v/>
      </c>
      <c r="N2041" s="52">
        <f>IF(OR(A2041="",NOT(ISNUMBER(I2041))),"",IF(G2041=Lists!$B$5,I2041/2,IF(G2041=Lists!$B$7,I2041,0)))</f>
        <v/>
      </c>
      <c r="O2041" s="53">
        <f>IF(COUNTA(A2041:K2041)=0,"",IF(OR(A2041="",B2041="",C2041="",D2041="",E2041="",F2041="",G2041="",NOT(ISNUMBER(I2041))),"Incomplete",IF(COUNTIF(Lists!$H$4:$AA$4,C2041)=0,"Check category",IF(COUNTIF(INDEX(Lists!$H$6:$AA$45,0,MATCH(C2041,Lists!$H$4:$AA$4,0)),D2041)=0,"Check sub-category","OK"))))</f>
        <v/>
      </c>
      <c r="P2041">
        <f>IF(ISNUMBER(I2041),I2041+ROW()/10000000,"")</f>
        <v/>
      </c>
      <c r="Q2041">
        <f>IF(AND(ISNUMBER(P2041),ISNUMBER(A2041)),IF(AND(A2041&gt;=Dashboard!$Q$3,A2041&lt;=Dashboard!$Q$4,OR(J2041&lt;&gt;"Yes",Dashboard!$Q$15="Yes")),P2041,""),"")</f>
        <v/>
      </c>
    </row>
    <row r="2042">
      <c r="A2042" s="47" t="n"/>
      <c r="B2042" s="48" t="n"/>
      <c r="C2042" s="48" t="n"/>
      <c r="D2042" s="48" t="n"/>
      <c r="E2042" s="48" t="n"/>
      <c r="F2042" s="48" t="n"/>
      <c r="G2042" s="48" t="n"/>
      <c r="H2042" s="48" t="n"/>
      <c r="I2042" s="49" t="n"/>
      <c r="J2042" s="50" t="n"/>
      <c r="K2042" s="48" t="n"/>
      <c r="L2042" s="51">
        <f>IF(A2042="","",DATE(YEAR(A2042),MONTH(A2042),1))</f>
        <v/>
      </c>
      <c r="M2042" s="52">
        <f>IF(OR(A2042="",NOT(ISNUMBER(I2042))),"",IF(G2042=Lists!$B$5,I2042/2,IF(G2042=Lists!$B$6,I2042,0)))</f>
        <v/>
      </c>
      <c r="N2042" s="52">
        <f>IF(OR(A2042="",NOT(ISNUMBER(I2042))),"",IF(G2042=Lists!$B$5,I2042/2,IF(G2042=Lists!$B$7,I2042,0)))</f>
        <v/>
      </c>
      <c r="O2042" s="53">
        <f>IF(COUNTA(A2042:K2042)=0,"",IF(OR(A2042="",B2042="",C2042="",D2042="",E2042="",F2042="",G2042="",NOT(ISNUMBER(I2042))),"Incomplete",IF(COUNTIF(Lists!$H$4:$AA$4,C2042)=0,"Check category",IF(COUNTIF(INDEX(Lists!$H$6:$AA$45,0,MATCH(C2042,Lists!$H$4:$AA$4,0)),D2042)=0,"Check sub-category","OK"))))</f>
        <v/>
      </c>
      <c r="P2042">
        <f>IF(ISNUMBER(I2042),I2042+ROW()/10000000,"")</f>
        <v/>
      </c>
      <c r="Q2042">
        <f>IF(AND(ISNUMBER(P2042),ISNUMBER(A2042)),IF(AND(A2042&gt;=Dashboard!$Q$3,A2042&lt;=Dashboard!$Q$4,OR(J2042&lt;&gt;"Yes",Dashboard!$Q$15="Yes")),P2042,""),"")</f>
        <v/>
      </c>
    </row>
    <row r="2043">
      <c r="A2043" s="47" t="n"/>
      <c r="B2043" s="48" t="n"/>
      <c r="C2043" s="48" t="n"/>
      <c r="D2043" s="48" t="n"/>
      <c r="E2043" s="48" t="n"/>
      <c r="F2043" s="48" t="n"/>
      <c r="G2043" s="48" t="n"/>
      <c r="H2043" s="48" t="n"/>
      <c r="I2043" s="49" t="n"/>
      <c r="J2043" s="50" t="n"/>
      <c r="K2043" s="48" t="n"/>
      <c r="L2043" s="51">
        <f>IF(A2043="","",DATE(YEAR(A2043),MONTH(A2043),1))</f>
        <v/>
      </c>
      <c r="M2043" s="52">
        <f>IF(OR(A2043="",NOT(ISNUMBER(I2043))),"",IF(G2043=Lists!$B$5,I2043/2,IF(G2043=Lists!$B$6,I2043,0)))</f>
        <v/>
      </c>
      <c r="N2043" s="52">
        <f>IF(OR(A2043="",NOT(ISNUMBER(I2043))),"",IF(G2043=Lists!$B$5,I2043/2,IF(G2043=Lists!$B$7,I2043,0)))</f>
        <v/>
      </c>
      <c r="O2043" s="53">
        <f>IF(COUNTA(A2043:K2043)=0,"",IF(OR(A2043="",B2043="",C2043="",D2043="",E2043="",F2043="",G2043="",NOT(ISNUMBER(I2043))),"Incomplete",IF(COUNTIF(Lists!$H$4:$AA$4,C2043)=0,"Check category",IF(COUNTIF(INDEX(Lists!$H$6:$AA$45,0,MATCH(C2043,Lists!$H$4:$AA$4,0)),D2043)=0,"Check sub-category","OK"))))</f>
        <v/>
      </c>
      <c r="P2043">
        <f>IF(ISNUMBER(I2043),I2043+ROW()/10000000,"")</f>
        <v/>
      </c>
      <c r="Q2043">
        <f>IF(AND(ISNUMBER(P2043),ISNUMBER(A2043)),IF(AND(A2043&gt;=Dashboard!$Q$3,A2043&lt;=Dashboard!$Q$4,OR(J2043&lt;&gt;"Yes",Dashboard!$Q$15="Yes")),P2043,""),"")</f>
        <v/>
      </c>
    </row>
    <row r="2044">
      <c r="A2044" s="47" t="n"/>
      <c r="B2044" s="48" t="n"/>
      <c r="C2044" s="48" t="n"/>
      <c r="D2044" s="48" t="n"/>
      <c r="E2044" s="48" t="n"/>
      <c r="F2044" s="48" t="n"/>
      <c r="G2044" s="48" t="n"/>
      <c r="H2044" s="48" t="n"/>
      <c r="I2044" s="49" t="n"/>
      <c r="J2044" s="50" t="n"/>
      <c r="K2044" s="48" t="n"/>
      <c r="L2044" s="51">
        <f>IF(A2044="","",DATE(YEAR(A2044),MONTH(A2044),1))</f>
        <v/>
      </c>
      <c r="M2044" s="52">
        <f>IF(OR(A2044="",NOT(ISNUMBER(I2044))),"",IF(G2044=Lists!$B$5,I2044/2,IF(G2044=Lists!$B$6,I2044,0)))</f>
        <v/>
      </c>
      <c r="N2044" s="52">
        <f>IF(OR(A2044="",NOT(ISNUMBER(I2044))),"",IF(G2044=Lists!$B$5,I2044/2,IF(G2044=Lists!$B$7,I2044,0)))</f>
        <v/>
      </c>
      <c r="O2044" s="53">
        <f>IF(COUNTA(A2044:K2044)=0,"",IF(OR(A2044="",B2044="",C2044="",D2044="",E2044="",F2044="",G2044="",NOT(ISNUMBER(I2044))),"Incomplete",IF(COUNTIF(Lists!$H$4:$AA$4,C2044)=0,"Check category",IF(COUNTIF(INDEX(Lists!$H$6:$AA$45,0,MATCH(C2044,Lists!$H$4:$AA$4,0)),D2044)=0,"Check sub-category","OK"))))</f>
        <v/>
      </c>
      <c r="P2044">
        <f>IF(ISNUMBER(I2044),I2044+ROW()/10000000,"")</f>
        <v/>
      </c>
      <c r="Q2044">
        <f>IF(AND(ISNUMBER(P2044),ISNUMBER(A2044)),IF(AND(A2044&gt;=Dashboard!$Q$3,A2044&lt;=Dashboard!$Q$4,OR(J2044&lt;&gt;"Yes",Dashboard!$Q$15="Yes")),P2044,""),"")</f>
        <v/>
      </c>
    </row>
    <row r="2045">
      <c r="A2045" s="47" t="n"/>
      <c r="B2045" s="48" t="n"/>
      <c r="C2045" s="48" t="n"/>
      <c r="D2045" s="48" t="n"/>
      <c r="E2045" s="48" t="n"/>
      <c r="F2045" s="48" t="n"/>
      <c r="G2045" s="48" t="n"/>
      <c r="H2045" s="48" t="n"/>
      <c r="I2045" s="49" t="n"/>
      <c r="J2045" s="50" t="n"/>
      <c r="K2045" s="48" t="n"/>
      <c r="L2045" s="51">
        <f>IF(A2045="","",DATE(YEAR(A2045),MONTH(A2045),1))</f>
        <v/>
      </c>
      <c r="M2045" s="52">
        <f>IF(OR(A2045="",NOT(ISNUMBER(I2045))),"",IF(G2045=Lists!$B$5,I2045/2,IF(G2045=Lists!$B$6,I2045,0)))</f>
        <v/>
      </c>
      <c r="N2045" s="52">
        <f>IF(OR(A2045="",NOT(ISNUMBER(I2045))),"",IF(G2045=Lists!$B$5,I2045/2,IF(G2045=Lists!$B$7,I2045,0)))</f>
        <v/>
      </c>
      <c r="O2045" s="53">
        <f>IF(COUNTA(A2045:K2045)=0,"",IF(OR(A2045="",B2045="",C2045="",D2045="",E2045="",F2045="",G2045="",NOT(ISNUMBER(I2045))),"Incomplete",IF(COUNTIF(Lists!$H$4:$AA$4,C2045)=0,"Check category",IF(COUNTIF(INDEX(Lists!$H$6:$AA$45,0,MATCH(C2045,Lists!$H$4:$AA$4,0)),D2045)=0,"Check sub-category","OK"))))</f>
        <v/>
      </c>
      <c r="P2045">
        <f>IF(ISNUMBER(I2045),I2045+ROW()/10000000,"")</f>
        <v/>
      </c>
      <c r="Q2045">
        <f>IF(AND(ISNUMBER(P2045),ISNUMBER(A2045)),IF(AND(A2045&gt;=Dashboard!$Q$3,A2045&lt;=Dashboard!$Q$4,OR(J2045&lt;&gt;"Yes",Dashboard!$Q$15="Yes")),P2045,""),"")</f>
        <v/>
      </c>
    </row>
    <row r="2046">
      <c r="A2046" s="47" t="n"/>
      <c r="B2046" s="48" t="n"/>
      <c r="C2046" s="48" t="n"/>
      <c r="D2046" s="48" t="n"/>
      <c r="E2046" s="48" t="n"/>
      <c r="F2046" s="48" t="n"/>
      <c r="G2046" s="48" t="n"/>
      <c r="H2046" s="48" t="n"/>
      <c r="I2046" s="49" t="n"/>
      <c r="J2046" s="50" t="n"/>
      <c r="K2046" s="48" t="n"/>
      <c r="L2046" s="51">
        <f>IF(A2046="","",DATE(YEAR(A2046),MONTH(A2046),1))</f>
        <v/>
      </c>
      <c r="M2046" s="52">
        <f>IF(OR(A2046="",NOT(ISNUMBER(I2046))),"",IF(G2046=Lists!$B$5,I2046/2,IF(G2046=Lists!$B$6,I2046,0)))</f>
        <v/>
      </c>
      <c r="N2046" s="52">
        <f>IF(OR(A2046="",NOT(ISNUMBER(I2046))),"",IF(G2046=Lists!$B$5,I2046/2,IF(G2046=Lists!$B$7,I2046,0)))</f>
        <v/>
      </c>
      <c r="O2046" s="53">
        <f>IF(COUNTA(A2046:K2046)=0,"",IF(OR(A2046="",B2046="",C2046="",D2046="",E2046="",F2046="",G2046="",NOT(ISNUMBER(I2046))),"Incomplete",IF(COUNTIF(Lists!$H$4:$AA$4,C2046)=0,"Check category",IF(COUNTIF(INDEX(Lists!$H$6:$AA$45,0,MATCH(C2046,Lists!$H$4:$AA$4,0)),D2046)=0,"Check sub-category","OK"))))</f>
        <v/>
      </c>
      <c r="P2046">
        <f>IF(ISNUMBER(I2046),I2046+ROW()/10000000,"")</f>
        <v/>
      </c>
      <c r="Q2046">
        <f>IF(AND(ISNUMBER(P2046),ISNUMBER(A2046)),IF(AND(A2046&gt;=Dashboard!$Q$3,A2046&lt;=Dashboard!$Q$4,OR(J2046&lt;&gt;"Yes",Dashboard!$Q$15="Yes")),P2046,""),"")</f>
        <v/>
      </c>
    </row>
    <row r="2047">
      <c r="A2047" s="47" t="n"/>
      <c r="B2047" s="48" t="n"/>
      <c r="C2047" s="48" t="n"/>
      <c r="D2047" s="48" t="n"/>
      <c r="E2047" s="48" t="n"/>
      <c r="F2047" s="48" t="n"/>
      <c r="G2047" s="48" t="n"/>
      <c r="H2047" s="48" t="n"/>
      <c r="I2047" s="49" t="n"/>
      <c r="J2047" s="50" t="n"/>
      <c r="K2047" s="48" t="n"/>
      <c r="L2047" s="51">
        <f>IF(A2047="","",DATE(YEAR(A2047),MONTH(A2047),1))</f>
        <v/>
      </c>
      <c r="M2047" s="52">
        <f>IF(OR(A2047="",NOT(ISNUMBER(I2047))),"",IF(G2047=Lists!$B$5,I2047/2,IF(G2047=Lists!$B$6,I2047,0)))</f>
        <v/>
      </c>
      <c r="N2047" s="52">
        <f>IF(OR(A2047="",NOT(ISNUMBER(I2047))),"",IF(G2047=Lists!$B$5,I2047/2,IF(G2047=Lists!$B$7,I2047,0)))</f>
        <v/>
      </c>
      <c r="O2047" s="53">
        <f>IF(COUNTA(A2047:K2047)=0,"",IF(OR(A2047="",B2047="",C2047="",D2047="",E2047="",F2047="",G2047="",NOT(ISNUMBER(I2047))),"Incomplete",IF(COUNTIF(Lists!$H$4:$AA$4,C2047)=0,"Check category",IF(COUNTIF(INDEX(Lists!$H$6:$AA$45,0,MATCH(C2047,Lists!$H$4:$AA$4,0)),D2047)=0,"Check sub-category","OK"))))</f>
        <v/>
      </c>
      <c r="P2047">
        <f>IF(ISNUMBER(I2047),I2047+ROW()/10000000,"")</f>
        <v/>
      </c>
      <c r="Q2047">
        <f>IF(AND(ISNUMBER(P2047),ISNUMBER(A2047)),IF(AND(A2047&gt;=Dashboard!$Q$3,A2047&lt;=Dashboard!$Q$4,OR(J2047&lt;&gt;"Yes",Dashboard!$Q$15="Yes")),P2047,""),"")</f>
        <v/>
      </c>
    </row>
    <row r="2048">
      <c r="A2048" s="47" t="n"/>
      <c r="B2048" s="48" t="n"/>
      <c r="C2048" s="48" t="n"/>
      <c r="D2048" s="48" t="n"/>
      <c r="E2048" s="48" t="n"/>
      <c r="F2048" s="48" t="n"/>
      <c r="G2048" s="48" t="n"/>
      <c r="H2048" s="48" t="n"/>
      <c r="I2048" s="49" t="n"/>
      <c r="J2048" s="50" t="n"/>
      <c r="K2048" s="48" t="n"/>
      <c r="L2048" s="51">
        <f>IF(A2048="","",DATE(YEAR(A2048),MONTH(A2048),1))</f>
        <v/>
      </c>
      <c r="M2048" s="52">
        <f>IF(OR(A2048="",NOT(ISNUMBER(I2048))),"",IF(G2048=Lists!$B$5,I2048/2,IF(G2048=Lists!$B$6,I2048,0)))</f>
        <v/>
      </c>
      <c r="N2048" s="52">
        <f>IF(OR(A2048="",NOT(ISNUMBER(I2048))),"",IF(G2048=Lists!$B$5,I2048/2,IF(G2048=Lists!$B$7,I2048,0)))</f>
        <v/>
      </c>
      <c r="O2048" s="53">
        <f>IF(COUNTA(A2048:K2048)=0,"",IF(OR(A2048="",B2048="",C2048="",D2048="",E2048="",F2048="",G2048="",NOT(ISNUMBER(I2048))),"Incomplete",IF(COUNTIF(Lists!$H$4:$AA$4,C2048)=0,"Check category",IF(COUNTIF(INDEX(Lists!$H$6:$AA$45,0,MATCH(C2048,Lists!$H$4:$AA$4,0)),D2048)=0,"Check sub-category","OK"))))</f>
        <v/>
      </c>
      <c r="P2048">
        <f>IF(ISNUMBER(I2048),I2048+ROW()/10000000,"")</f>
        <v/>
      </c>
      <c r="Q2048">
        <f>IF(AND(ISNUMBER(P2048),ISNUMBER(A2048)),IF(AND(A2048&gt;=Dashboard!$Q$3,A2048&lt;=Dashboard!$Q$4,OR(J2048&lt;&gt;"Yes",Dashboard!$Q$15="Yes")),P2048,""),"")</f>
        <v/>
      </c>
    </row>
    <row r="2049">
      <c r="A2049" s="47" t="n"/>
      <c r="B2049" s="48" t="n"/>
      <c r="C2049" s="48" t="n"/>
      <c r="D2049" s="48" t="n"/>
      <c r="E2049" s="48" t="n"/>
      <c r="F2049" s="48" t="n"/>
      <c r="G2049" s="48" t="n"/>
      <c r="H2049" s="48" t="n"/>
      <c r="I2049" s="49" t="n"/>
      <c r="J2049" s="50" t="n"/>
      <c r="K2049" s="48" t="n"/>
      <c r="L2049" s="51">
        <f>IF(A2049="","",DATE(YEAR(A2049),MONTH(A2049),1))</f>
        <v/>
      </c>
      <c r="M2049" s="52">
        <f>IF(OR(A2049="",NOT(ISNUMBER(I2049))),"",IF(G2049=Lists!$B$5,I2049/2,IF(G2049=Lists!$B$6,I2049,0)))</f>
        <v/>
      </c>
      <c r="N2049" s="52">
        <f>IF(OR(A2049="",NOT(ISNUMBER(I2049))),"",IF(G2049=Lists!$B$5,I2049/2,IF(G2049=Lists!$B$7,I2049,0)))</f>
        <v/>
      </c>
      <c r="O2049" s="53">
        <f>IF(COUNTA(A2049:K2049)=0,"",IF(OR(A2049="",B2049="",C2049="",D2049="",E2049="",F2049="",G2049="",NOT(ISNUMBER(I2049))),"Incomplete",IF(COUNTIF(Lists!$H$4:$AA$4,C2049)=0,"Check category",IF(COUNTIF(INDEX(Lists!$H$6:$AA$45,0,MATCH(C2049,Lists!$H$4:$AA$4,0)),D2049)=0,"Check sub-category","OK"))))</f>
        <v/>
      </c>
      <c r="P2049">
        <f>IF(ISNUMBER(I2049),I2049+ROW()/10000000,"")</f>
        <v/>
      </c>
      <c r="Q2049">
        <f>IF(AND(ISNUMBER(P2049),ISNUMBER(A2049)),IF(AND(A2049&gt;=Dashboard!$Q$3,A2049&lt;=Dashboard!$Q$4,OR(J2049&lt;&gt;"Yes",Dashboard!$Q$15="Yes")),P2049,""),"")</f>
        <v/>
      </c>
    </row>
    <row r="2050">
      <c r="A2050" s="47" t="n"/>
      <c r="B2050" s="48" t="n"/>
      <c r="C2050" s="48" t="n"/>
      <c r="D2050" s="48" t="n"/>
      <c r="E2050" s="48" t="n"/>
      <c r="F2050" s="48" t="n"/>
      <c r="G2050" s="48" t="n"/>
      <c r="H2050" s="48" t="n"/>
      <c r="I2050" s="49" t="n"/>
      <c r="J2050" s="50" t="n"/>
      <c r="K2050" s="48" t="n"/>
      <c r="L2050" s="51">
        <f>IF(A2050="","",DATE(YEAR(A2050),MONTH(A2050),1))</f>
        <v/>
      </c>
      <c r="M2050" s="52">
        <f>IF(OR(A2050="",NOT(ISNUMBER(I2050))),"",IF(G2050=Lists!$B$5,I2050/2,IF(G2050=Lists!$B$6,I2050,0)))</f>
        <v/>
      </c>
      <c r="N2050" s="52">
        <f>IF(OR(A2050="",NOT(ISNUMBER(I2050))),"",IF(G2050=Lists!$B$5,I2050/2,IF(G2050=Lists!$B$7,I2050,0)))</f>
        <v/>
      </c>
      <c r="O2050" s="53">
        <f>IF(COUNTA(A2050:K2050)=0,"",IF(OR(A2050="",B2050="",C2050="",D2050="",E2050="",F2050="",G2050="",NOT(ISNUMBER(I2050))),"Incomplete",IF(COUNTIF(Lists!$H$4:$AA$4,C2050)=0,"Check category",IF(COUNTIF(INDEX(Lists!$H$6:$AA$45,0,MATCH(C2050,Lists!$H$4:$AA$4,0)),D2050)=0,"Check sub-category","OK"))))</f>
        <v/>
      </c>
      <c r="P2050">
        <f>IF(ISNUMBER(I2050),I2050+ROW()/10000000,"")</f>
        <v/>
      </c>
      <c r="Q2050">
        <f>IF(AND(ISNUMBER(P2050),ISNUMBER(A2050)),IF(AND(A2050&gt;=Dashboard!$Q$3,A2050&lt;=Dashboard!$Q$4,OR(J2050&lt;&gt;"Yes",Dashboard!$Q$15="Yes")),P2050,""),"")</f>
        <v/>
      </c>
    </row>
    <row r="2051">
      <c r="A2051" s="47" t="n"/>
      <c r="B2051" s="48" t="n"/>
      <c r="C2051" s="48" t="n"/>
      <c r="D2051" s="48" t="n"/>
      <c r="E2051" s="48" t="n"/>
      <c r="F2051" s="48" t="n"/>
      <c r="G2051" s="48" t="n"/>
      <c r="H2051" s="48" t="n"/>
      <c r="I2051" s="49" t="n"/>
      <c r="J2051" s="50" t="n"/>
      <c r="K2051" s="48" t="n"/>
      <c r="L2051" s="51">
        <f>IF(A2051="","",DATE(YEAR(A2051),MONTH(A2051),1))</f>
        <v/>
      </c>
      <c r="M2051" s="52">
        <f>IF(OR(A2051="",NOT(ISNUMBER(I2051))),"",IF(G2051=Lists!$B$5,I2051/2,IF(G2051=Lists!$B$6,I2051,0)))</f>
        <v/>
      </c>
      <c r="N2051" s="52">
        <f>IF(OR(A2051="",NOT(ISNUMBER(I2051))),"",IF(G2051=Lists!$B$5,I2051/2,IF(G2051=Lists!$B$7,I2051,0)))</f>
        <v/>
      </c>
      <c r="O2051" s="53">
        <f>IF(COUNTA(A2051:K2051)=0,"",IF(OR(A2051="",B2051="",C2051="",D2051="",E2051="",F2051="",G2051="",NOT(ISNUMBER(I2051))),"Incomplete",IF(COUNTIF(Lists!$H$4:$AA$4,C2051)=0,"Check category",IF(COUNTIF(INDEX(Lists!$H$6:$AA$45,0,MATCH(C2051,Lists!$H$4:$AA$4,0)),D2051)=0,"Check sub-category","OK"))))</f>
        <v/>
      </c>
      <c r="P2051">
        <f>IF(ISNUMBER(I2051),I2051+ROW()/10000000,"")</f>
        <v/>
      </c>
      <c r="Q2051">
        <f>IF(AND(ISNUMBER(P2051),ISNUMBER(A2051)),IF(AND(A2051&gt;=Dashboard!$Q$3,A2051&lt;=Dashboard!$Q$4,OR(J2051&lt;&gt;"Yes",Dashboard!$Q$15="Yes")),P2051,""),"")</f>
        <v/>
      </c>
    </row>
    <row r="2052">
      <c r="A2052" s="47" t="n"/>
      <c r="B2052" s="48" t="n"/>
      <c r="C2052" s="48" t="n"/>
      <c r="D2052" s="48" t="n"/>
      <c r="E2052" s="48" t="n"/>
      <c r="F2052" s="48" t="n"/>
      <c r="G2052" s="48" t="n"/>
      <c r="H2052" s="48" t="n"/>
      <c r="I2052" s="49" t="n"/>
      <c r="J2052" s="50" t="n"/>
      <c r="K2052" s="48" t="n"/>
      <c r="L2052" s="51">
        <f>IF(A2052="","",DATE(YEAR(A2052),MONTH(A2052),1))</f>
        <v/>
      </c>
      <c r="M2052" s="52">
        <f>IF(OR(A2052="",NOT(ISNUMBER(I2052))),"",IF(G2052=Lists!$B$5,I2052/2,IF(G2052=Lists!$B$6,I2052,0)))</f>
        <v/>
      </c>
      <c r="N2052" s="52">
        <f>IF(OR(A2052="",NOT(ISNUMBER(I2052))),"",IF(G2052=Lists!$B$5,I2052/2,IF(G2052=Lists!$B$7,I2052,0)))</f>
        <v/>
      </c>
      <c r="O2052" s="53">
        <f>IF(COUNTA(A2052:K2052)=0,"",IF(OR(A2052="",B2052="",C2052="",D2052="",E2052="",F2052="",G2052="",NOT(ISNUMBER(I2052))),"Incomplete",IF(COUNTIF(Lists!$H$4:$AA$4,C2052)=0,"Check category",IF(COUNTIF(INDEX(Lists!$H$6:$AA$45,0,MATCH(C2052,Lists!$H$4:$AA$4,0)),D2052)=0,"Check sub-category","OK"))))</f>
        <v/>
      </c>
      <c r="P2052">
        <f>IF(ISNUMBER(I2052),I2052+ROW()/10000000,"")</f>
        <v/>
      </c>
      <c r="Q2052">
        <f>IF(AND(ISNUMBER(P2052),ISNUMBER(A2052)),IF(AND(A2052&gt;=Dashboard!$Q$3,A2052&lt;=Dashboard!$Q$4,OR(J2052&lt;&gt;"Yes",Dashboard!$Q$15="Yes")),P2052,""),"")</f>
        <v/>
      </c>
    </row>
    <row r="2053">
      <c r="A2053" s="47" t="n"/>
      <c r="B2053" s="48" t="n"/>
      <c r="C2053" s="48" t="n"/>
      <c r="D2053" s="48" t="n"/>
      <c r="E2053" s="48" t="n"/>
      <c r="F2053" s="48" t="n"/>
      <c r="G2053" s="48" t="n"/>
      <c r="H2053" s="48" t="n"/>
      <c r="I2053" s="49" t="n"/>
      <c r="J2053" s="50" t="n"/>
      <c r="K2053" s="48" t="n"/>
      <c r="L2053" s="51">
        <f>IF(A2053="","",DATE(YEAR(A2053),MONTH(A2053),1))</f>
        <v/>
      </c>
      <c r="M2053" s="52">
        <f>IF(OR(A2053="",NOT(ISNUMBER(I2053))),"",IF(G2053=Lists!$B$5,I2053/2,IF(G2053=Lists!$B$6,I2053,0)))</f>
        <v/>
      </c>
      <c r="N2053" s="52">
        <f>IF(OR(A2053="",NOT(ISNUMBER(I2053))),"",IF(G2053=Lists!$B$5,I2053/2,IF(G2053=Lists!$B$7,I2053,0)))</f>
        <v/>
      </c>
      <c r="O2053" s="53">
        <f>IF(COUNTA(A2053:K2053)=0,"",IF(OR(A2053="",B2053="",C2053="",D2053="",E2053="",F2053="",G2053="",NOT(ISNUMBER(I2053))),"Incomplete",IF(COUNTIF(Lists!$H$4:$AA$4,C2053)=0,"Check category",IF(COUNTIF(INDEX(Lists!$H$6:$AA$45,0,MATCH(C2053,Lists!$H$4:$AA$4,0)),D2053)=0,"Check sub-category","OK"))))</f>
        <v/>
      </c>
      <c r="P2053">
        <f>IF(ISNUMBER(I2053),I2053+ROW()/10000000,"")</f>
        <v/>
      </c>
      <c r="Q2053">
        <f>IF(AND(ISNUMBER(P2053),ISNUMBER(A2053)),IF(AND(A2053&gt;=Dashboard!$Q$3,A2053&lt;=Dashboard!$Q$4,OR(J2053&lt;&gt;"Yes",Dashboard!$Q$15="Yes")),P2053,""),"")</f>
        <v/>
      </c>
    </row>
    <row r="2054">
      <c r="A2054" s="47" t="n"/>
      <c r="B2054" s="48" t="n"/>
      <c r="C2054" s="48" t="n"/>
      <c r="D2054" s="48" t="n"/>
      <c r="E2054" s="48" t="n"/>
      <c r="F2054" s="48" t="n"/>
      <c r="G2054" s="48" t="n"/>
      <c r="H2054" s="48" t="n"/>
      <c r="I2054" s="49" t="n"/>
      <c r="J2054" s="50" t="n"/>
      <c r="K2054" s="48" t="n"/>
      <c r="L2054" s="51">
        <f>IF(A2054="","",DATE(YEAR(A2054),MONTH(A2054),1))</f>
        <v/>
      </c>
      <c r="M2054" s="52">
        <f>IF(OR(A2054="",NOT(ISNUMBER(I2054))),"",IF(G2054=Lists!$B$5,I2054/2,IF(G2054=Lists!$B$6,I2054,0)))</f>
        <v/>
      </c>
      <c r="N2054" s="52">
        <f>IF(OR(A2054="",NOT(ISNUMBER(I2054))),"",IF(G2054=Lists!$B$5,I2054/2,IF(G2054=Lists!$B$7,I2054,0)))</f>
        <v/>
      </c>
      <c r="O2054" s="53">
        <f>IF(COUNTA(A2054:K2054)=0,"",IF(OR(A2054="",B2054="",C2054="",D2054="",E2054="",F2054="",G2054="",NOT(ISNUMBER(I2054))),"Incomplete",IF(COUNTIF(Lists!$H$4:$AA$4,C2054)=0,"Check category",IF(COUNTIF(INDEX(Lists!$H$6:$AA$45,0,MATCH(C2054,Lists!$H$4:$AA$4,0)),D2054)=0,"Check sub-category","OK"))))</f>
        <v/>
      </c>
      <c r="P2054">
        <f>IF(ISNUMBER(I2054),I2054+ROW()/10000000,"")</f>
        <v/>
      </c>
      <c r="Q2054">
        <f>IF(AND(ISNUMBER(P2054),ISNUMBER(A2054)),IF(AND(A2054&gt;=Dashboard!$Q$3,A2054&lt;=Dashboard!$Q$4,OR(J2054&lt;&gt;"Yes",Dashboard!$Q$15="Yes")),P2054,""),"")</f>
        <v/>
      </c>
    </row>
    <row r="2055">
      <c r="A2055" s="47" t="n"/>
      <c r="B2055" s="48" t="n"/>
      <c r="C2055" s="48" t="n"/>
      <c r="D2055" s="48" t="n"/>
      <c r="E2055" s="48" t="n"/>
      <c r="F2055" s="48" t="n"/>
      <c r="G2055" s="48" t="n"/>
      <c r="H2055" s="48" t="n"/>
      <c r="I2055" s="49" t="n"/>
      <c r="J2055" s="50" t="n"/>
      <c r="K2055" s="48" t="n"/>
      <c r="L2055" s="51">
        <f>IF(A2055="","",DATE(YEAR(A2055),MONTH(A2055),1))</f>
        <v/>
      </c>
      <c r="M2055" s="52">
        <f>IF(OR(A2055="",NOT(ISNUMBER(I2055))),"",IF(G2055=Lists!$B$5,I2055/2,IF(G2055=Lists!$B$6,I2055,0)))</f>
        <v/>
      </c>
      <c r="N2055" s="52">
        <f>IF(OR(A2055="",NOT(ISNUMBER(I2055))),"",IF(G2055=Lists!$B$5,I2055/2,IF(G2055=Lists!$B$7,I2055,0)))</f>
        <v/>
      </c>
      <c r="O2055" s="53">
        <f>IF(COUNTA(A2055:K2055)=0,"",IF(OR(A2055="",B2055="",C2055="",D2055="",E2055="",F2055="",G2055="",NOT(ISNUMBER(I2055))),"Incomplete",IF(COUNTIF(Lists!$H$4:$AA$4,C2055)=0,"Check category",IF(COUNTIF(INDEX(Lists!$H$6:$AA$45,0,MATCH(C2055,Lists!$H$4:$AA$4,0)),D2055)=0,"Check sub-category","OK"))))</f>
        <v/>
      </c>
      <c r="P2055">
        <f>IF(ISNUMBER(I2055),I2055+ROW()/10000000,"")</f>
        <v/>
      </c>
      <c r="Q2055">
        <f>IF(AND(ISNUMBER(P2055),ISNUMBER(A2055)),IF(AND(A2055&gt;=Dashboard!$Q$3,A2055&lt;=Dashboard!$Q$4,OR(J2055&lt;&gt;"Yes",Dashboard!$Q$15="Yes")),P2055,""),"")</f>
        <v/>
      </c>
    </row>
    <row r="2056">
      <c r="A2056" s="47" t="n"/>
      <c r="B2056" s="48" t="n"/>
      <c r="C2056" s="48" t="n"/>
      <c r="D2056" s="48" t="n"/>
      <c r="E2056" s="48" t="n"/>
      <c r="F2056" s="48" t="n"/>
      <c r="G2056" s="48" t="n"/>
      <c r="H2056" s="48" t="n"/>
      <c r="I2056" s="49" t="n"/>
      <c r="J2056" s="50" t="n"/>
      <c r="K2056" s="48" t="n"/>
      <c r="L2056" s="51">
        <f>IF(A2056="","",DATE(YEAR(A2056),MONTH(A2056),1))</f>
        <v/>
      </c>
      <c r="M2056" s="52">
        <f>IF(OR(A2056="",NOT(ISNUMBER(I2056))),"",IF(G2056=Lists!$B$5,I2056/2,IF(G2056=Lists!$B$6,I2056,0)))</f>
        <v/>
      </c>
      <c r="N2056" s="52">
        <f>IF(OR(A2056="",NOT(ISNUMBER(I2056))),"",IF(G2056=Lists!$B$5,I2056/2,IF(G2056=Lists!$B$7,I2056,0)))</f>
        <v/>
      </c>
      <c r="O2056" s="53">
        <f>IF(COUNTA(A2056:K2056)=0,"",IF(OR(A2056="",B2056="",C2056="",D2056="",E2056="",F2056="",G2056="",NOT(ISNUMBER(I2056))),"Incomplete",IF(COUNTIF(Lists!$H$4:$AA$4,C2056)=0,"Check category",IF(COUNTIF(INDEX(Lists!$H$6:$AA$45,0,MATCH(C2056,Lists!$H$4:$AA$4,0)),D2056)=0,"Check sub-category","OK"))))</f>
        <v/>
      </c>
      <c r="P2056">
        <f>IF(ISNUMBER(I2056),I2056+ROW()/10000000,"")</f>
        <v/>
      </c>
      <c r="Q2056">
        <f>IF(AND(ISNUMBER(P2056),ISNUMBER(A2056)),IF(AND(A2056&gt;=Dashboard!$Q$3,A2056&lt;=Dashboard!$Q$4,OR(J2056&lt;&gt;"Yes",Dashboard!$Q$15="Yes")),P2056,""),"")</f>
        <v/>
      </c>
    </row>
    <row r="2057">
      <c r="A2057" s="47" t="n"/>
      <c r="B2057" s="48" t="n"/>
      <c r="C2057" s="48" t="n"/>
      <c r="D2057" s="48" t="n"/>
      <c r="E2057" s="48" t="n"/>
      <c r="F2057" s="48" t="n"/>
      <c r="G2057" s="48" t="n"/>
      <c r="H2057" s="48" t="n"/>
      <c r="I2057" s="49" t="n"/>
      <c r="J2057" s="50" t="n"/>
      <c r="K2057" s="48" t="n"/>
      <c r="L2057" s="51">
        <f>IF(A2057="","",DATE(YEAR(A2057),MONTH(A2057),1))</f>
        <v/>
      </c>
      <c r="M2057" s="52">
        <f>IF(OR(A2057="",NOT(ISNUMBER(I2057))),"",IF(G2057=Lists!$B$5,I2057/2,IF(G2057=Lists!$B$6,I2057,0)))</f>
        <v/>
      </c>
      <c r="N2057" s="52">
        <f>IF(OR(A2057="",NOT(ISNUMBER(I2057))),"",IF(G2057=Lists!$B$5,I2057/2,IF(G2057=Lists!$B$7,I2057,0)))</f>
        <v/>
      </c>
      <c r="O2057" s="53">
        <f>IF(COUNTA(A2057:K2057)=0,"",IF(OR(A2057="",B2057="",C2057="",D2057="",E2057="",F2057="",G2057="",NOT(ISNUMBER(I2057))),"Incomplete",IF(COUNTIF(Lists!$H$4:$AA$4,C2057)=0,"Check category",IF(COUNTIF(INDEX(Lists!$H$6:$AA$45,0,MATCH(C2057,Lists!$H$4:$AA$4,0)),D2057)=0,"Check sub-category","OK"))))</f>
        <v/>
      </c>
      <c r="P2057">
        <f>IF(ISNUMBER(I2057),I2057+ROW()/10000000,"")</f>
        <v/>
      </c>
      <c r="Q2057">
        <f>IF(AND(ISNUMBER(P2057),ISNUMBER(A2057)),IF(AND(A2057&gt;=Dashboard!$Q$3,A2057&lt;=Dashboard!$Q$4,OR(J2057&lt;&gt;"Yes",Dashboard!$Q$15="Yes")),P2057,""),"")</f>
        <v/>
      </c>
    </row>
    <row r="2058">
      <c r="A2058" s="47" t="n"/>
      <c r="B2058" s="48" t="n"/>
      <c r="C2058" s="48" t="n"/>
      <c r="D2058" s="48" t="n"/>
      <c r="E2058" s="48" t="n"/>
      <c r="F2058" s="48" t="n"/>
      <c r="G2058" s="48" t="n"/>
      <c r="H2058" s="48" t="n"/>
      <c r="I2058" s="49" t="n"/>
      <c r="J2058" s="50" t="n"/>
      <c r="K2058" s="48" t="n"/>
      <c r="L2058" s="51">
        <f>IF(A2058="","",DATE(YEAR(A2058),MONTH(A2058),1))</f>
        <v/>
      </c>
      <c r="M2058" s="52">
        <f>IF(OR(A2058="",NOT(ISNUMBER(I2058))),"",IF(G2058=Lists!$B$5,I2058/2,IF(G2058=Lists!$B$6,I2058,0)))</f>
        <v/>
      </c>
      <c r="N2058" s="52">
        <f>IF(OR(A2058="",NOT(ISNUMBER(I2058))),"",IF(G2058=Lists!$B$5,I2058/2,IF(G2058=Lists!$B$7,I2058,0)))</f>
        <v/>
      </c>
      <c r="O2058" s="53">
        <f>IF(COUNTA(A2058:K2058)=0,"",IF(OR(A2058="",B2058="",C2058="",D2058="",E2058="",F2058="",G2058="",NOT(ISNUMBER(I2058))),"Incomplete",IF(COUNTIF(Lists!$H$4:$AA$4,C2058)=0,"Check category",IF(COUNTIF(INDEX(Lists!$H$6:$AA$45,0,MATCH(C2058,Lists!$H$4:$AA$4,0)),D2058)=0,"Check sub-category","OK"))))</f>
        <v/>
      </c>
      <c r="P2058">
        <f>IF(ISNUMBER(I2058),I2058+ROW()/10000000,"")</f>
        <v/>
      </c>
      <c r="Q2058">
        <f>IF(AND(ISNUMBER(P2058),ISNUMBER(A2058)),IF(AND(A2058&gt;=Dashboard!$Q$3,A2058&lt;=Dashboard!$Q$4,OR(J2058&lt;&gt;"Yes",Dashboard!$Q$15="Yes")),P2058,""),"")</f>
        <v/>
      </c>
    </row>
    <row r="2059">
      <c r="A2059" s="47" t="n"/>
      <c r="B2059" s="48" t="n"/>
      <c r="C2059" s="48" t="n"/>
      <c r="D2059" s="48" t="n"/>
      <c r="E2059" s="48" t="n"/>
      <c r="F2059" s="48" t="n"/>
      <c r="G2059" s="48" t="n"/>
      <c r="H2059" s="48" t="n"/>
      <c r="I2059" s="49" t="n"/>
      <c r="J2059" s="50" t="n"/>
      <c r="K2059" s="48" t="n"/>
      <c r="L2059" s="51">
        <f>IF(A2059="","",DATE(YEAR(A2059),MONTH(A2059),1))</f>
        <v/>
      </c>
      <c r="M2059" s="52">
        <f>IF(OR(A2059="",NOT(ISNUMBER(I2059))),"",IF(G2059=Lists!$B$5,I2059/2,IF(G2059=Lists!$B$6,I2059,0)))</f>
        <v/>
      </c>
      <c r="N2059" s="52">
        <f>IF(OR(A2059="",NOT(ISNUMBER(I2059))),"",IF(G2059=Lists!$B$5,I2059/2,IF(G2059=Lists!$B$7,I2059,0)))</f>
        <v/>
      </c>
      <c r="O2059" s="53">
        <f>IF(COUNTA(A2059:K2059)=0,"",IF(OR(A2059="",B2059="",C2059="",D2059="",E2059="",F2059="",G2059="",NOT(ISNUMBER(I2059))),"Incomplete",IF(COUNTIF(Lists!$H$4:$AA$4,C2059)=0,"Check category",IF(COUNTIF(INDEX(Lists!$H$6:$AA$45,0,MATCH(C2059,Lists!$H$4:$AA$4,0)),D2059)=0,"Check sub-category","OK"))))</f>
        <v/>
      </c>
      <c r="P2059">
        <f>IF(ISNUMBER(I2059),I2059+ROW()/10000000,"")</f>
        <v/>
      </c>
      <c r="Q2059">
        <f>IF(AND(ISNUMBER(P2059),ISNUMBER(A2059)),IF(AND(A2059&gt;=Dashboard!$Q$3,A2059&lt;=Dashboard!$Q$4,OR(J2059&lt;&gt;"Yes",Dashboard!$Q$15="Yes")),P2059,""),"")</f>
        <v/>
      </c>
    </row>
    <row r="2060">
      <c r="A2060" s="47" t="n"/>
      <c r="B2060" s="48" t="n"/>
      <c r="C2060" s="48" t="n"/>
      <c r="D2060" s="48" t="n"/>
      <c r="E2060" s="48" t="n"/>
      <c r="F2060" s="48" t="n"/>
      <c r="G2060" s="48" t="n"/>
      <c r="H2060" s="48" t="n"/>
      <c r="I2060" s="49" t="n"/>
      <c r="J2060" s="50" t="n"/>
      <c r="K2060" s="48" t="n"/>
      <c r="L2060" s="51">
        <f>IF(A2060="","",DATE(YEAR(A2060),MONTH(A2060),1))</f>
        <v/>
      </c>
      <c r="M2060" s="52">
        <f>IF(OR(A2060="",NOT(ISNUMBER(I2060))),"",IF(G2060=Lists!$B$5,I2060/2,IF(G2060=Lists!$B$6,I2060,0)))</f>
        <v/>
      </c>
      <c r="N2060" s="52">
        <f>IF(OR(A2060="",NOT(ISNUMBER(I2060))),"",IF(G2060=Lists!$B$5,I2060/2,IF(G2060=Lists!$B$7,I2060,0)))</f>
        <v/>
      </c>
      <c r="O2060" s="53">
        <f>IF(COUNTA(A2060:K2060)=0,"",IF(OR(A2060="",B2060="",C2060="",D2060="",E2060="",F2060="",G2060="",NOT(ISNUMBER(I2060))),"Incomplete",IF(COUNTIF(Lists!$H$4:$AA$4,C2060)=0,"Check category",IF(COUNTIF(INDEX(Lists!$H$6:$AA$45,0,MATCH(C2060,Lists!$H$4:$AA$4,0)),D2060)=0,"Check sub-category","OK"))))</f>
        <v/>
      </c>
      <c r="P2060">
        <f>IF(ISNUMBER(I2060),I2060+ROW()/10000000,"")</f>
        <v/>
      </c>
      <c r="Q2060">
        <f>IF(AND(ISNUMBER(P2060),ISNUMBER(A2060)),IF(AND(A2060&gt;=Dashboard!$Q$3,A2060&lt;=Dashboard!$Q$4,OR(J2060&lt;&gt;"Yes",Dashboard!$Q$15="Yes")),P2060,""),"")</f>
        <v/>
      </c>
    </row>
    <row r="2061">
      <c r="A2061" s="47" t="n"/>
      <c r="B2061" s="48" t="n"/>
      <c r="C2061" s="48" t="n"/>
      <c r="D2061" s="48" t="n"/>
      <c r="E2061" s="48" t="n"/>
      <c r="F2061" s="48" t="n"/>
      <c r="G2061" s="48" t="n"/>
      <c r="H2061" s="48" t="n"/>
      <c r="I2061" s="49" t="n"/>
      <c r="J2061" s="50" t="n"/>
      <c r="K2061" s="48" t="n"/>
      <c r="L2061" s="51">
        <f>IF(A2061="","",DATE(YEAR(A2061),MONTH(A2061),1))</f>
        <v/>
      </c>
      <c r="M2061" s="52">
        <f>IF(OR(A2061="",NOT(ISNUMBER(I2061))),"",IF(G2061=Lists!$B$5,I2061/2,IF(G2061=Lists!$B$6,I2061,0)))</f>
        <v/>
      </c>
      <c r="N2061" s="52">
        <f>IF(OR(A2061="",NOT(ISNUMBER(I2061))),"",IF(G2061=Lists!$B$5,I2061/2,IF(G2061=Lists!$B$7,I2061,0)))</f>
        <v/>
      </c>
      <c r="O2061" s="53">
        <f>IF(COUNTA(A2061:K2061)=0,"",IF(OR(A2061="",B2061="",C2061="",D2061="",E2061="",F2061="",G2061="",NOT(ISNUMBER(I2061))),"Incomplete",IF(COUNTIF(Lists!$H$4:$AA$4,C2061)=0,"Check category",IF(COUNTIF(INDEX(Lists!$H$6:$AA$45,0,MATCH(C2061,Lists!$H$4:$AA$4,0)),D2061)=0,"Check sub-category","OK"))))</f>
        <v/>
      </c>
      <c r="P2061">
        <f>IF(ISNUMBER(I2061),I2061+ROW()/10000000,"")</f>
        <v/>
      </c>
      <c r="Q2061">
        <f>IF(AND(ISNUMBER(P2061),ISNUMBER(A2061)),IF(AND(A2061&gt;=Dashboard!$Q$3,A2061&lt;=Dashboard!$Q$4,OR(J2061&lt;&gt;"Yes",Dashboard!$Q$15="Yes")),P2061,""),"")</f>
        <v/>
      </c>
    </row>
    <row r="2062">
      <c r="A2062" s="47" t="n"/>
      <c r="B2062" s="48" t="n"/>
      <c r="C2062" s="48" t="n"/>
      <c r="D2062" s="48" t="n"/>
      <c r="E2062" s="48" t="n"/>
      <c r="F2062" s="48" t="n"/>
      <c r="G2062" s="48" t="n"/>
      <c r="H2062" s="48" t="n"/>
      <c r="I2062" s="49" t="n"/>
      <c r="J2062" s="50" t="n"/>
      <c r="K2062" s="48" t="n"/>
      <c r="L2062" s="51">
        <f>IF(A2062="","",DATE(YEAR(A2062),MONTH(A2062),1))</f>
        <v/>
      </c>
      <c r="M2062" s="52">
        <f>IF(OR(A2062="",NOT(ISNUMBER(I2062))),"",IF(G2062=Lists!$B$5,I2062/2,IF(G2062=Lists!$B$6,I2062,0)))</f>
        <v/>
      </c>
      <c r="N2062" s="52">
        <f>IF(OR(A2062="",NOT(ISNUMBER(I2062))),"",IF(G2062=Lists!$B$5,I2062/2,IF(G2062=Lists!$B$7,I2062,0)))</f>
        <v/>
      </c>
      <c r="O2062" s="53">
        <f>IF(COUNTA(A2062:K2062)=0,"",IF(OR(A2062="",B2062="",C2062="",D2062="",E2062="",F2062="",G2062="",NOT(ISNUMBER(I2062))),"Incomplete",IF(COUNTIF(Lists!$H$4:$AA$4,C2062)=0,"Check category",IF(COUNTIF(INDEX(Lists!$H$6:$AA$45,0,MATCH(C2062,Lists!$H$4:$AA$4,0)),D2062)=0,"Check sub-category","OK"))))</f>
        <v/>
      </c>
      <c r="P2062">
        <f>IF(ISNUMBER(I2062),I2062+ROW()/10000000,"")</f>
        <v/>
      </c>
      <c r="Q2062">
        <f>IF(AND(ISNUMBER(P2062),ISNUMBER(A2062)),IF(AND(A2062&gt;=Dashboard!$Q$3,A2062&lt;=Dashboard!$Q$4,OR(J2062&lt;&gt;"Yes",Dashboard!$Q$15="Yes")),P2062,""),"")</f>
        <v/>
      </c>
    </row>
    <row r="2063">
      <c r="A2063" s="47" t="n"/>
      <c r="B2063" s="48" t="n"/>
      <c r="C2063" s="48" t="n"/>
      <c r="D2063" s="48" t="n"/>
      <c r="E2063" s="48" t="n"/>
      <c r="F2063" s="48" t="n"/>
      <c r="G2063" s="48" t="n"/>
      <c r="H2063" s="48" t="n"/>
      <c r="I2063" s="49" t="n"/>
      <c r="J2063" s="50" t="n"/>
      <c r="K2063" s="48" t="n"/>
      <c r="L2063" s="51">
        <f>IF(A2063="","",DATE(YEAR(A2063),MONTH(A2063),1))</f>
        <v/>
      </c>
      <c r="M2063" s="52">
        <f>IF(OR(A2063="",NOT(ISNUMBER(I2063))),"",IF(G2063=Lists!$B$5,I2063/2,IF(G2063=Lists!$B$6,I2063,0)))</f>
        <v/>
      </c>
      <c r="N2063" s="52">
        <f>IF(OR(A2063="",NOT(ISNUMBER(I2063))),"",IF(G2063=Lists!$B$5,I2063/2,IF(G2063=Lists!$B$7,I2063,0)))</f>
        <v/>
      </c>
      <c r="O2063" s="53">
        <f>IF(COUNTA(A2063:K2063)=0,"",IF(OR(A2063="",B2063="",C2063="",D2063="",E2063="",F2063="",G2063="",NOT(ISNUMBER(I2063))),"Incomplete",IF(COUNTIF(Lists!$H$4:$AA$4,C2063)=0,"Check category",IF(COUNTIF(INDEX(Lists!$H$6:$AA$45,0,MATCH(C2063,Lists!$H$4:$AA$4,0)),D2063)=0,"Check sub-category","OK"))))</f>
        <v/>
      </c>
      <c r="P2063">
        <f>IF(ISNUMBER(I2063),I2063+ROW()/10000000,"")</f>
        <v/>
      </c>
      <c r="Q2063">
        <f>IF(AND(ISNUMBER(P2063),ISNUMBER(A2063)),IF(AND(A2063&gt;=Dashboard!$Q$3,A2063&lt;=Dashboard!$Q$4,OR(J2063&lt;&gt;"Yes",Dashboard!$Q$15="Yes")),P2063,""),"")</f>
        <v/>
      </c>
    </row>
    <row r="2064">
      <c r="A2064" s="47" t="n"/>
      <c r="B2064" s="48" t="n"/>
      <c r="C2064" s="48" t="n"/>
      <c r="D2064" s="48" t="n"/>
      <c r="E2064" s="48" t="n"/>
      <c r="F2064" s="48" t="n"/>
      <c r="G2064" s="48" t="n"/>
      <c r="H2064" s="48" t="n"/>
      <c r="I2064" s="49" t="n"/>
      <c r="J2064" s="50" t="n"/>
      <c r="K2064" s="48" t="n"/>
      <c r="L2064" s="51">
        <f>IF(A2064="","",DATE(YEAR(A2064),MONTH(A2064),1))</f>
        <v/>
      </c>
      <c r="M2064" s="52">
        <f>IF(OR(A2064="",NOT(ISNUMBER(I2064))),"",IF(G2064=Lists!$B$5,I2064/2,IF(G2064=Lists!$B$6,I2064,0)))</f>
        <v/>
      </c>
      <c r="N2064" s="52">
        <f>IF(OR(A2064="",NOT(ISNUMBER(I2064))),"",IF(G2064=Lists!$B$5,I2064/2,IF(G2064=Lists!$B$7,I2064,0)))</f>
        <v/>
      </c>
      <c r="O2064" s="53">
        <f>IF(COUNTA(A2064:K2064)=0,"",IF(OR(A2064="",B2064="",C2064="",D2064="",E2064="",F2064="",G2064="",NOT(ISNUMBER(I2064))),"Incomplete",IF(COUNTIF(Lists!$H$4:$AA$4,C2064)=0,"Check category",IF(COUNTIF(INDEX(Lists!$H$6:$AA$45,0,MATCH(C2064,Lists!$H$4:$AA$4,0)),D2064)=0,"Check sub-category","OK"))))</f>
        <v/>
      </c>
      <c r="P2064">
        <f>IF(ISNUMBER(I2064),I2064+ROW()/10000000,"")</f>
        <v/>
      </c>
      <c r="Q2064">
        <f>IF(AND(ISNUMBER(P2064),ISNUMBER(A2064)),IF(AND(A2064&gt;=Dashboard!$Q$3,A2064&lt;=Dashboard!$Q$4,OR(J2064&lt;&gt;"Yes",Dashboard!$Q$15="Yes")),P2064,""),"")</f>
        <v/>
      </c>
    </row>
    <row r="2065">
      <c r="A2065" s="47" t="n"/>
      <c r="B2065" s="48" t="n"/>
      <c r="C2065" s="48" t="n"/>
      <c r="D2065" s="48" t="n"/>
      <c r="E2065" s="48" t="n"/>
      <c r="F2065" s="48" t="n"/>
      <c r="G2065" s="48" t="n"/>
      <c r="H2065" s="48" t="n"/>
      <c r="I2065" s="49" t="n"/>
      <c r="J2065" s="50" t="n"/>
      <c r="K2065" s="48" t="n"/>
      <c r="L2065" s="51">
        <f>IF(A2065="","",DATE(YEAR(A2065),MONTH(A2065),1))</f>
        <v/>
      </c>
      <c r="M2065" s="52">
        <f>IF(OR(A2065="",NOT(ISNUMBER(I2065))),"",IF(G2065=Lists!$B$5,I2065/2,IF(G2065=Lists!$B$6,I2065,0)))</f>
        <v/>
      </c>
      <c r="N2065" s="52">
        <f>IF(OR(A2065="",NOT(ISNUMBER(I2065))),"",IF(G2065=Lists!$B$5,I2065/2,IF(G2065=Lists!$B$7,I2065,0)))</f>
        <v/>
      </c>
      <c r="O2065" s="53">
        <f>IF(COUNTA(A2065:K2065)=0,"",IF(OR(A2065="",B2065="",C2065="",D2065="",E2065="",F2065="",G2065="",NOT(ISNUMBER(I2065))),"Incomplete",IF(COUNTIF(Lists!$H$4:$AA$4,C2065)=0,"Check category",IF(COUNTIF(INDEX(Lists!$H$6:$AA$45,0,MATCH(C2065,Lists!$H$4:$AA$4,0)),D2065)=0,"Check sub-category","OK"))))</f>
        <v/>
      </c>
      <c r="P2065">
        <f>IF(ISNUMBER(I2065),I2065+ROW()/10000000,"")</f>
        <v/>
      </c>
      <c r="Q2065">
        <f>IF(AND(ISNUMBER(P2065),ISNUMBER(A2065)),IF(AND(A2065&gt;=Dashboard!$Q$3,A2065&lt;=Dashboard!$Q$4,OR(J2065&lt;&gt;"Yes",Dashboard!$Q$15="Yes")),P2065,""),"")</f>
        <v/>
      </c>
    </row>
    <row r="2066">
      <c r="A2066" s="47" t="n"/>
      <c r="B2066" s="48" t="n"/>
      <c r="C2066" s="48" t="n"/>
      <c r="D2066" s="48" t="n"/>
      <c r="E2066" s="48" t="n"/>
      <c r="F2066" s="48" t="n"/>
      <c r="G2066" s="48" t="n"/>
      <c r="H2066" s="48" t="n"/>
      <c r="I2066" s="49" t="n"/>
      <c r="J2066" s="50" t="n"/>
      <c r="K2066" s="48" t="n"/>
      <c r="L2066" s="51">
        <f>IF(A2066="","",DATE(YEAR(A2066),MONTH(A2066),1))</f>
        <v/>
      </c>
      <c r="M2066" s="52">
        <f>IF(OR(A2066="",NOT(ISNUMBER(I2066))),"",IF(G2066=Lists!$B$5,I2066/2,IF(G2066=Lists!$B$6,I2066,0)))</f>
        <v/>
      </c>
      <c r="N2066" s="52">
        <f>IF(OR(A2066="",NOT(ISNUMBER(I2066))),"",IF(G2066=Lists!$B$5,I2066/2,IF(G2066=Lists!$B$7,I2066,0)))</f>
        <v/>
      </c>
      <c r="O2066" s="53">
        <f>IF(COUNTA(A2066:K2066)=0,"",IF(OR(A2066="",B2066="",C2066="",D2066="",E2066="",F2066="",G2066="",NOT(ISNUMBER(I2066))),"Incomplete",IF(COUNTIF(Lists!$H$4:$AA$4,C2066)=0,"Check category",IF(COUNTIF(INDEX(Lists!$H$6:$AA$45,0,MATCH(C2066,Lists!$H$4:$AA$4,0)),D2066)=0,"Check sub-category","OK"))))</f>
        <v/>
      </c>
      <c r="P2066">
        <f>IF(ISNUMBER(I2066),I2066+ROW()/10000000,"")</f>
        <v/>
      </c>
      <c r="Q2066">
        <f>IF(AND(ISNUMBER(P2066),ISNUMBER(A2066)),IF(AND(A2066&gt;=Dashboard!$Q$3,A2066&lt;=Dashboard!$Q$4,OR(J2066&lt;&gt;"Yes",Dashboard!$Q$15="Yes")),P2066,""),"")</f>
        <v/>
      </c>
    </row>
    <row r="2067">
      <c r="A2067" s="47" t="n"/>
      <c r="B2067" s="48" t="n"/>
      <c r="C2067" s="48" t="n"/>
      <c r="D2067" s="48" t="n"/>
      <c r="E2067" s="48" t="n"/>
      <c r="F2067" s="48" t="n"/>
      <c r="G2067" s="48" t="n"/>
      <c r="H2067" s="48" t="n"/>
      <c r="I2067" s="49" t="n"/>
      <c r="J2067" s="50" t="n"/>
      <c r="K2067" s="48" t="n"/>
      <c r="L2067" s="51">
        <f>IF(A2067="","",DATE(YEAR(A2067),MONTH(A2067),1))</f>
        <v/>
      </c>
      <c r="M2067" s="52">
        <f>IF(OR(A2067="",NOT(ISNUMBER(I2067))),"",IF(G2067=Lists!$B$5,I2067/2,IF(G2067=Lists!$B$6,I2067,0)))</f>
        <v/>
      </c>
      <c r="N2067" s="52">
        <f>IF(OR(A2067="",NOT(ISNUMBER(I2067))),"",IF(G2067=Lists!$B$5,I2067/2,IF(G2067=Lists!$B$7,I2067,0)))</f>
        <v/>
      </c>
      <c r="O2067" s="53">
        <f>IF(COUNTA(A2067:K2067)=0,"",IF(OR(A2067="",B2067="",C2067="",D2067="",E2067="",F2067="",G2067="",NOT(ISNUMBER(I2067))),"Incomplete",IF(COUNTIF(Lists!$H$4:$AA$4,C2067)=0,"Check category",IF(COUNTIF(INDEX(Lists!$H$6:$AA$45,0,MATCH(C2067,Lists!$H$4:$AA$4,0)),D2067)=0,"Check sub-category","OK"))))</f>
        <v/>
      </c>
      <c r="P2067">
        <f>IF(ISNUMBER(I2067),I2067+ROW()/10000000,"")</f>
        <v/>
      </c>
      <c r="Q2067">
        <f>IF(AND(ISNUMBER(P2067),ISNUMBER(A2067)),IF(AND(A2067&gt;=Dashboard!$Q$3,A2067&lt;=Dashboard!$Q$4,OR(J2067&lt;&gt;"Yes",Dashboard!$Q$15="Yes")),P2067,""),"")</f>
        <v/>
      </c>
    </row>
    <row r="2068">
      <c r="A2068" s="47" t="n"/>
      <c r="B2068" s="48" t="n"/>
      <c r="C2068" s="48" t="n"/>
      <c r="D2068" s="48" t="n"/>
      <c r="E2068" s="48" t="n"/>
      <c r="F2068" s="48" t="n"/>
      <c r="G2068" s="48" t="n"/>
      <c r="H2068" s="48" t="n"/>
      <c r="I2068" s="49" t="n"/>
      <c r="J2068" s="50" t="n"/>
      <c r="K2068" s="48" t="n"/>
      <c r="L2068" s="51">
        <f>IF(A2068="","",DATE(YEAR(A2068),MONTH(A2068),1))</f>
        <v/>
      </c>
      <c r="M2068" s="52">
        <f>IF(OR(A2068="",NOT(ISNUMBER(I2068))),"",IF(G2068=Lists!$B$5,I2068/2,IF(G2068=Lists!$B$6,I2068,0)))</f>
        <v/>
      </c>
      <c r="N2068" s="52">
        <f>IF(OR(A2068="",NOT(ISNUMBER(I2068))),"",IF(G2068=Lists!$B$5,I2068/2,IF(G2068=Lists!$B$7,I2068,0)))</f>
        <v/>
      </c>
      <c r="O2068" s="53">
        <f>IF(COUNTA(A2068:K2068)=0,"",IF(OR(A2068="",B2068="",C2068="",D2068="",E2068="",F2068="",G2068="",NOT(ISNUMBER(I2068))),"Incomplete",IF(COUNTIF(Lists!$H$4:$AA$4,C2068)=0,"Check category",IF(COUNTIF(INDEX(Lists!$H$6:$AA$45,0,MATCH(C2068,Lists!$H$4:$AA$4,0)),D2068)=0,"Check sub-category","OK"))))</f>
        <v/>
      </c>
      <c r="P2068">
        <f>IF(ISNUMBER(I2068),I2068+ROW()/10000000,"")</f>
        <v/>
      </c>
      <c r="Q2068">
        <f>IF(AND(ISNUMBER(P2068),ISNUMBER(A2068)),IF(AND(A2068&gt;=Dashboard!$Q$3,A2068&lt;=Dashboard!$Q$4,OR(J2068&lt;&gt;"Yes",Dashboard!$Q$15="Yes")),P2068,""),"")</f>
        <v/>
      </c>
    </row>
    <row r="2069">
      <c r="A2069" s="47" t="n"/>
      <c r="B2069" s="48" t="n"/>
      <c r="C2069" s="48" t="n"/>
      <c r="D2069" s="48" t="n"/>
      <c r="E2069" s="48" t="n"/>
      <c r="F2069" s="48" t="n"/>
      <c r="G2069" s="48" t="n"/>
      <c r="H2069" s="48" t="n"/>
      <c r="I2069" s="49" t="n"/>
      <c r="J2069" s="50" t="n"/>
      <c r="K2069" s="48" t="n"/>
      <c r="L2069" s="51">
        <f>IF(A2069="","",DATE(YEAR(A2069),MONTH(A2069),1))</f>
        <v/>
      </c>
      <c r="M2069" s="52">
        <f>IF(OR(A2069="",NOT(ISNUMBER(I2069))),"",IF(G2069=Lists!$B$5,I2069/2,IF(G2069=Lists!$B$6,I2069,0)))</f>
        <v/>
      </c>
      <c r="N2069" s="52">
        <f>IF(OR(A2069="",NOT(ISNUMBER(I2069))),"",IF(G2069=Lists!$B$5,I2069/2,IF(G2069=Lists!$B$7,I2069,0)))</f>
        <v/>
      </c>
      <c r="O2069" s="53">
        <f>IF(COUNTA(A2069:K2069)=0,"",IF(OR(A2069="",B2069="",C2069="",D2069="",E2069="",F2069="",G2069="",NOT(ISNUMBER(I2069))),"Incomplete",IF(COUNTIF(Lists!$H$4:$AA$4,C2069)=0,"Check category",IF(COUNTIF(INDEX(Lists!$H$6:$AA$45,0,MATCH(C2069,Lists!$H$4:$AA$4,0)),D2069)=0,"Check sub-category","OK"))))</f>
        <v/>
      </c>
      <c r="P2069">
        <f>IF(ISNUMBER(I2069),I2069+ROW()/10000000,"")</f>
        <v/>
      </c>
      <c r="Q2069">
        <f>IF(AND(ISNUMBER(P2069),ISNUMBER(A2069)),IF(AND(A2069&gt;=Dashboard!$Q$3,A2069&lt;=Dashboard!$Q$4,OR(J2069&lt;&gt;"Yes",Dashboard!$Q$15="Yes")),P2069,""),"")</f>
        <v/>
      </c>
    </row>
    <row r="2070">
      <c r="A2070" s="47" t="n"/>
      <c r="B2070" s="48" t="n"/>
      <c r="C2070" s="48" t="n"/>
      <c r="D2070" s="48" t="n"/>
      <c r="E2070" s="48" t="n"/>
      <c r="F2070" s="48" t="n"/>
      <c r="G2070" s="48" t="n"/>
      <c r="H2070" s="48" t="n"/>
      <c r="I2070" s="49" t="n"/>
      <c r="J2070" s="50" t="n"/>
      <c r="K2070" s="48" t="n"/>
      <c r="L2070" s="51">
        <f>IF(A2070="","",DATE(YEAR(A2070),MONTH(A2070),1))</f>
        <v/>
      </c>
      <c r="M2070" s="52">
        <f>IF(OR(A2070="",NOT(ISNUMBER(I2070))),"",IF(G2070=Lists!$B$5,I2070/2,IF(G2070=Lists!$B$6,I2070,0)))</f>
        <v/>
      </c>
      <c r="N2070" s="52">
        <f>IF(OR(A2070="",NOT(ISNUMBER(I2070))),"",IF(G2070=Lists!$B$5,I2070/2,IF(G2070=Lists!$B$7,I2070,0)))</f>
        <v/>
      </c>
      <c r="O2070" s="53">
        <f>IF(COUNTA(A2070:K2070)=0,"",IF(OR(A2070="",B2070="",C2070="",D2070="",E2070="",F2070="",G2070="",NOT(ISNUMBER(I2070))),"Incomplete",IF(COUNTIF(Lists!$H$4:$AA$4,C2070)=0,"Check category",IF(COUNTIF(INDEX(Lists!$H$6:$AA$45,0,MATCH(C2070,Lists!$H$4:$AA$4,0)),D2070)=0,"Check sub-category","OK"))))</f>
        <v/>
      </c>
      <c r="P2070">
        <f>IF(ISNUMBER(I2070),I2070+ROW()/10000000,"")</f>
        <v/>
      </c>
      <c r="Q2070">
        <f>IF(AND(ISNUMBER(P2070),ISNUMBER(A2070)),IF(AND(A2070&gt;=Dashboard!$Q$3,A2070&lt;=Dashboard!$Q$4,OR(J2070&lt;&gt;"Yes",Dashboard!$Q$15="Yes")),P2070,""),"")</f>
        <v/>
      </c>
    </row>
    <row r="2071">
      <c r="A2071" s="47" t="n"/>
      <c r="B2071" s="48" t="n"/>
      <c r="C2071" s="48" t="n"/>
      <c r="D2071" s="48" t="n"/>
      <c r="E2071" s="48" t="n"/>
      <c r="F2071" s="48" t="n"/>
      <c r="G2071" s="48" t="n"/>
      <c r="H2071" s="48" t="n"/>
      <c r="I2071" s="49" t="n"/>
      <c r="J2071" s="50" t="n"/>
      <c r="K2071" s="48" t="n"/>
      <c r="L2071" s="51">
        <f>IF(A2071="","",DATE(YEAR(A2071),MONTH(A2071),1))</f>
        <v/>
      </c>
      <c r="M2071" s="52">
        <f>IF(OR(A2071="",NOT(ISNUMBER(I2071))),"",IF(G2071=Lists!$B$5,I2071/2,IF(G2071=Lists!$B$6,I2071,0)))</f>
        <v/>
      </c>
      <c r="N2071" s="52">
        <f>IF(OR(A2071="",NOT(ISNUMBER(I2071))),"",IF(G2071=Lists!$B$5,I2071/2,IF(G2071=Lists!$B$7,I2071,0)))</f>
        <v/>
      </c>
      <c r="O2071" s="53">
        <f>IF(COUNTA(A2071:K2071)=0,"",IF(OR(A2071="",B2071="",C2071="",D2071="",E2071="",F2071="",G2071="",NOT(ISNUMBER(I2071))),"Incomplete",IF(COUNTIF(Lists!$H$4:$AA$4,C2071)=0,"Check category",IF(COUNTIF(INDEX(Lists!$H$6:$AA$45,0,MATCH(C2071,Lists!$H$4:$AA$4,0)),D2071)=0,"Check sub-category","OK"))))</f>
        <v/>
      </c>
      <c r="P2071">
        <f>IF(ISNUMBER(I2071),I2071+ROW()/10000000,"")</f>
        <v/>
      </c>
      <c r="Q2071">
        <f>IF(AND(ISNUMBER(P2071),ISNUMBER(A2071)),IF(AND(A2071&gt;=Dashboard!$Q$3,A2071&lt;=Dashboard!$Q$4,OR(J2071&lt;&gt;"Yes",Dashboard!$Q$15="Yes")),P2071,""),"")</f>
        <v/>
      </c>
    </row>
    <row r="2072">
      <c r="A2072" s="47" t="n"/>
      <c r="B2072" s="48" t="n"/>
      <c r="C2072" s="48" t="n"/>
      <c r="D2072" s="48" t="n"/>
      <c r="E2072" s="48" t="n"/>
      <c r="F2072" s="48" t="n"/>
      <c r="G2072" s="48" t="n"/>
      <c r="H2072" s="48" t="n"/>
      <c r="I2072" s="49" t="n"/>
      <c r="J2072" s="50" t="n"/>
      <c r="K2072" s="48" t="n"/>
      <c r="L2072" s="51">
        <f>IF(A2072="","",DATE(YEAR(A2072),MONTH(A2072),1))</f>
        <v/>
      </c>
      <c r="M2072" s="52">
        <f>IF(OR(A2072="",NOT(ISNUMBER(I2072))),"",IF(G2072=Lists!$B$5,I2072/2,IF(G2072=Lists!$B$6,I2072,0)))</f>
        <v/>
      </c>
      <c r="N2072" s="52">
        <f>IF(OR(A2072="",NOT(ISNUMBER(I2072))),"",IF(G2072=Lists!$B$5,I2072/2,IF(G2072=Lists!$B$7,I2072,0)))</f>
        <v/>
      </c>
      <c r="O2072" s="53">
        <f>IF(COUNTA(A2072:K2072)=0,"",IF(OR(A2072="",B2072="",C2072="",D2072="",E2072="",F2072="",G2072="",NOT(ISNUMBER(I2072))),"Incomplete",IF(COUNTIF(Lists!$H$4:$AA$4,C2072)=0,"Check category",IF(COUNTIF(INDEX(Lists!$H$6:$AA$45,0,MATCH(C2072,Lists!$H$4:$AA$4,0)),D2072)=0,"Check sub-category","OK"))))</f>
        <v/>
      </c>
      <c r="P2072">
        <f>IF(ISNUMBER(I2072),I2072+ROW()/10000000,"")</f>
        <v/>
      </c>
      <c r="Q2072">
        <f>IF(AND(ISNUMBER(P2072),ISNUMBER(A2072)),IF(AND(A2072&gt;=Dashboard!$Q$3,A2072&lt;=Dashboard!$Q$4,OR(J2072&lt;&gt;"Yes",Dashboard!$Q$15="Yes")),P2072,""),"")</f>
        <v/>
      </c>
    </row>
    <row r="2073">
      <c r="A2073" s="47" t="n"/>
      <c r="B2073" s="48" t="n"/>
      <c r="C2073" s="48" t="n"/>
      <c r="D2073" s="48" t="n"/>
      <c r="E2073" s="48" t="n"/>
      <c r="F2073" s="48" t="n"/>
      <c r="G2073" s="48" t="n"/>
      <c r="H2073" s="48" t="n"/>
      <c r="I2073" s="49" t="n"/>
      <c r="J2073" s="50" t="n"/>
      <c r="K2073" s="48" t="n"/>
      <c r="L2073" s="51">
        <f>IF(A2073="","",DATE(YEAR(A2073),MONTH(A2073),1))</f>
        <v/>
      </c>
      <c r="M2073" s="52">
        <f>IF(OR(A2073="",NOT(ISNUMBER(I2073))),"",IF(G2073=Lists!$B$5,I2073/2,IF(G2073=Lists!$B$6,I2073,0)))</f>
        <v/>
      </c>
      <c r="N2073" s="52">
        <f>IF(OR(A2073="",NOT(ISNUMBER(I2073))),"",IF(G2073=Lists!$B$5,I2073/2,IF(G2073=Lists!$B$7,I2073,0)))</f>
        <v/>
      </c>
      <c r="O2073" s="53">
        <f>IF(COUNTA(A2073:K2073)=0,"",IF(OR(A2073="",B2073="",C2073="",D2073="",E2073="",F2073="",G2073="",NOT(ISNUMBER(I2073))),"Incomplete",IF(COUNTIF(Lists!$H$4:$AA$4,C2073)=0,"Check category",IF(COUNTIF(INDEX(Lists!$H$6:$AA$45,0,MATCH(C2073,Lists!$H$4:$AA$4,0)),D2073)=0,"Check sub-category","OK"))))</f>
        <v/>
      </c>
      <c r="P2073">
        <f>IF(ISNUMBER(I2073),I2073+ROW()/10000000,"")</f>
        <v/>
      </c>
      <c r="Q2073">
        <f>IF(AND(ISNUMBER(P2073),ISNUMBER(A2073)),IF(AND(A2073&gt;=Dashboard!$Q$3,A2073&lt;=Dashboard!$Q$4,OR(J2073&lt;&gt;"Yes",Dashboard!$Q$15="Yes")),P2073,""),"")</f>
        <v/>
      </c>
    </row>
    <row r="2074">
      <c r="A2074" s="47" t="n"/>
      <c r="B2074" s="48" t="n"/>
      <c r="C2074" s="48" t="n"/>
      <c r="D2074" s="48" t="n"/>
      <c r="E2074" s="48" t="n"/>
      <c r="F2074" s="48" t="n"/>
      <c r="G2074" s="48" t="n"/>
      <c r="H2074" s="48" t="n"/>
      <c r="I2074" s="49" t="n"/>
      <c r="J2074" s="50" t="n"/>
      <c r="K2074" s="48" t="n"/>
      <c r="L2074" s="51">
        <f>IF(A2074="","",DATE(YEAR(A2074),MONTH(A2074),1))</f>
        <v/>
      </c>
      <c r="M2074" s="52">
        <f>IF(OR(A2074="",NOT(ISNUMBER(I2074))),"",IF(G2074=Lists!$B$5,I2074/2,IF(G2074=Lists!$B$6,I2074,0)))</f>
        <v/>
      </c>
      <c r="N2074" s="52">
        <f>IF(OR(A2074="",NOT(ISNUMBER(I2074))),"",IF(G2074=Lists!$B$5,I2074/2,IF(G2074=Lists!$B$7,I2074,0)))</f>
        <v/>
      </c>
      <c r="O2074" s="53">
        <f>IF(COUNTA(A2074:K2074)=0,"",IF(OR(A2074="",B2074="",C2074="",D2074="",E2074="",F2074="",G2074="",NOT(ISNUMBER(I2074))),"Incomplete",IF(COUNTIF(Lists!$H$4:$AA$4,C2074)=0,"Check category",IF(COUNTIF(INDEX(Lists!$H$6:$AA$45,0,MATCH(C2074,Lists!$H$4:$AA$4,0)),D2074)=0,"Check sub-category","OK"))))</f>
        <v/>
      </c>
      <c r="P2074">
        <f>IF(ISNUMBER(I2074),I2074+ROW()/10000000,"")</f>
        <v/>
      </c>
      <c r="Q2074">
        <f>IF(AND(ISNUMBER(P2074),ISNUMBER(A2074)),IF(AND(A2074&gt;=Dashboard!$Q$3,A2074&lt;=Dashboard!$Q$4,OR(J2074&lt;&gt;"Yes",Dashboard!$Q$15="Yes")),P2074,""),"")</f>
        <v/>
      </c>
    </row>
    <row r="2075">
      <c r="A2075" s="47" t="n"/>
      <c r="B2075" s="48" t="n"/>
      <c r="C2075" s="48" t="n"/>
      <c r="D2075" s="48" t="n"/>
      <c r="E2075" s="48" t="n"/>
      <c r="F2075" s="48" t="n"/>
      <c r="G2075" s="48" t="n"/>
      <c r="H2075" s="48" t="n"/>
      <c r="I2075" s="49" t="n"/>
      <c r="J2075" s="50" t="n"/>
      <c r="K2075" s="48" t="n"/>
      <c r="L2075" s="51">
        <f>IF(A2075="","",DATE(YEAR(A2075),MONTH(A2075),1))</f>
        <v/>
      </c>
      <c r="M2075" s="52">
        <f>IF(OR(A2075="",NOT(ISNUMBER(I2075))),"",IF(G2075=Lists!$B$5,I2075/2,IF(G2075=Lists!$B$6,I2075,0)))</f>
        <v/>
      </c>
      <c r="N2075" s="52">
        <f>IF(OR(A2075="",NOT(ISNUMBER(I2075))),"",IF(G2075=Lists!$B$5,I2075/2,IF(G2075=Lists!$B$7,I2075,0)))</f>
        <v/>
      </c>
      <c r="O2075" s="53">
        <f>IF(COUNTA(A2075:K2075)=0,"",IF(OR(A2075="",B2075="",C2075="",D2075="",E2075="",F2075="",G2075="",NOT(ISNUMBER(I2075))),"Incomplete",IF(COUNTIF(Lists!$H$4:$AA$4,C2075)=0,"Check category",IF(COUNTIF(INDEX(Lists!$H$6:$AA$45,0,MATCH(C2075,Lists!$H$4:$AA$4,0)),D2075)=0,"Check sub-category","OK"))))</f>
        <v/>
      </c>
      <c r="P2075">
        <f>IF(ISNUMBER(I2075),I2075+ROW()/10000000,"")</f>
        <v/>
      </c>
      <c r="Q2075">
        <f>IF(AND(ISNUMBER(P2075),ISNUMBER(A2075)),IF(AND(A2075&gt;=Dashboard!$Q$3,A2075&lt;=Dashboard!$Q$4,OR(J2075&lt;&gt;"Yes",Dashboard!$Q$15="Yes")),P2075,""),"")</f>
        <v/>
      </c>
    </row>
    <row r="2076">
      <c r="A2076" s="47" t="n"/>
      <c r="B2076" s="48" t="n"/>
      <c r="C2076" s="48" t="n"/>
      <c r="D2076" s="48" t="n"/>
      <c r="E2076" s="48" t="n"/>
      <c r="F2076" s="48" t="n"/>
      <c r="G2076" s="48" t="n"/>
      <c r="H2076" s="48" t="n"/>
      <c r="I2076" s="49" t="n"/>
      <c r="J2076" s="50" t="n"/>
      <c r="K2076" s="48" t="n"/>
      <c r="L2076" s="51">
        <f>IF(A2076="","",DATE(YEAR(A2076),MONTH(A2076),1))</f>
        <v/>
      </c>
      <c r="M2076" s="52">
        <f>IF(OR(A2076="",NOT(ISNUMBER(I2076))),"",IF(G2076=Lists!$B$5,I2076/2,IF(G2076=Lists!$B$6,I2076,0)))</f>
        <v/>
      </c>
      <c r="N2076" s="52">
        <f>IF(OR(A2076="",NOT(ISNUMBER(I2076))),"",IF(G2076=Lists!$B$5,I2076/2,IF(G2076=Lists!$B$7,I2076,0)))</f>
        <v/>
      </c>
      <c r="O2076" s="53">
        <f>IF(COUNTA(A2076:K2076)=0,"",IF(OR(A2076="",B2076="",C2076="",D2076="",E2076="",F2076="",G2076="",NOT(ISNUMBER(I2076))),"Incomplete",IF(COUNTIF(Lists!$H$4:$AA$4,C2076)=0,"Check category",IF(COUNTIF(INDEX(Lists!$H$6:$AA$45,0,MATCH(C2076,Lists!$H$4:$AA$4,0)),D2076)=0,"Check sub-category","OK"))))</f>
        <v/>
      </c>
      <c r="P2076">
        <f>IF(ISNUMBER(I2076),I2076+ROW()/10000000,"")</f>
        <v/>
      </c>
      <c r="Q2076">
        <f>IF(AND(ISNUMBER(P2076),ISNUMBER(A2076)),IF(AND(A2076&gt;=Dashboard!$Q$3,A2076&lt;=Dashboard!$Q$4,OR(J2076&lt;&gt;"Yes",Dashboard!$Q$15="Yes")),P2076,""),"")</f>
        <v/>
      </c>
    </row>
    <row r="2077">
      <c r="A2077" s="47" t="n"/>
      <c r="B2077" s="48" t="n"/>
      <c r="C2077" s="48" t="n"/>
      <c r="D2077" s="48" t="n"/>
      <c r="E2077" s="48" t="n"/>
      <c r="F2077" s="48" t="n"/>
      <c r="G2077" s="48" t="n"/>
      <c r="H2077" s="48" t="n"/>
      <c r="I2077" s="49" t="n"/>
      <c r="J2077" s="50" t="n"/>
      <c r="K2077" s="48" t="n"/>
      <c r="L2077" s="51">
        <f>IF(A2077="","",DATE(YEAR(A2077),MONTH(A2077),1))</f>
        <v/>
      </c>
      <c r="M2077" s="52">
        <f>IF(OR(A2077="",NOT(ISNUMBER(I2077))),"",IF(G2077=Lists!$B$5,I2077/2,IF(G2077=Lists!$B$6,I2077,0)))</f>
        <v/>
      </c>
      <c r="N2077" s="52">
        <f>IF(OR(A2077="",NOT(ISNUMBER(I2077))),"",IF(G2077=Lists!$B$5,I2077/2,IF(G2077=Lists!$B$7,I2077,0)))</f>
        <v/>
      </c>
      <c r="O2077" s="53">
        <f>IF(COUNTA(A2077:K2077)=0,"",IF(OR(A2077="",B2077="",C2077="",D2077="",E2077="",F2077="",G2077="",NOT(ISNUMBER(I2077))),"Incomplete",IF(COUNTIF(Lists!$H$4:$AA$4,C2077)=0,"Check category",IF(COUNTIF(INDEX(Lists!$H$6:$AA$45,0,MATCH(C2077,Lists!$H$4:$AA$4,0)),D2077)=0,"Check sub-category","OK"))))</f>
        <v/>
      </c>
      <c r="P2077">
        <f>IF(ISNUMBER(I2077),I2077+ROW()/10000000,"")</f>
        <v/>
      </c>
      <c r="Q2077">
        <f>IF(AND(ISNUMBER(P2077),ISNUMBER(A2077)),IF(AND(A2077&gt;=Dashboard!$Q$3,A2077&lt;=Dashboard!$Q$4,OR(J2077&lt;&gt;"Yes",Dashboard!$Q$15="Yes")),P2077,""),"")</f>
        <v/>
      </c>
    </row>
    <row r="2078">
      <c r="A2078" s="47" t="n"/>
      <c r="B2078" s="48" t="n"/>
      <c r="C2078" s="48" t="n"/>
      <c r="D2078" s="48" t="n"/>
      <c r="E2078" s="48" t="n"/>
      <c r="F2078" s="48" t="n"/>
      <c r="G2078" s="48" t="n"/>
      <c r="H2078" s="48" t="n"/>
      <c r="I2078" s="49" t="n"/>
      <c r="J2078" s="50" t="n"/>
      <c r="K2078" s="48" t="n"/>
      <c r="L2078" s="51">
        <f>IF(A2078="","",DATE(YEAR(A2078),MONTH(A2078),1))</f>
        <v/>
      </c>
      <c r="M2078" s="52">
        <f>IF(OR(A2078="",NOT(ISNUMBER(I2078))),"",IF(G2078=Lists!$B$5,I2078/2,IF(G2078=Lists!$B$6,I2078,0)))</f>
        <v/>
      </c>
      <c r="N2078" s="52">
        <f>IF(OR(A2078="",NOT(ISNUMBER(I2078))),"",IF(G2078=Lists!$B$5,I2078/2,IF(G2078=Lists!$B$7,I2078,0)))</f>
        <v/>
      </c>
      <c r="O2078" s="53">
        <f>IF(COUNTA(A2078:K2078)=0,"",IF(OR(A2078="",B2078="",C2078="",D2078="",E2078="",F2078="",G2078="",NOT(ISNUMBER(I2078))),"Incomplete",IF(COUNTIF(Lists!$H$4:$AA$4,C2078)=0,"Check category",IF(COUNTIF(INDEX(Lists!$H$6:$AA$45,0,MATCH(C2078,Lists!$H$4:$AA$4,0)),D2078)=0,"Check sub-category","OK"))))</f>
        <v/>
      </c>
      <c r="P2078">
        <f>IF(ISNUMBER(I2078),I2078+ROW()/10000000,"")</f>
        <v/>
      </c>
      <c r="Q2078">
        <f>IF(AND(ISNUMBER(P2078),ISNUMBER(A2078)),IF(AND(A2078&gt;=Dashboard!$Q$3,A2078&lt;=Dashboard!$Q$4,OR(J2078&lt;&gt;"Yes",Dashboard!$Q$15="Yes")),P2078,""),"")</f>
        <v/>
      </c>
    </row>
    <row r="2079">
      <c r="A2079" s="47" t="n"/>
      <c r="B2079" s="48" t="n"/>
      <c r="C2079" s="48" t="n"/>
      <c r="D2079" s="48" t="n"/>
      <c r="E2079" s="48" t="n"/>
      <c r="F2079" s="48" t="n"/>
      <c r="G2079" s="48" t="n"/>
      <c r="H2079" s="48" t="n"/>
      <c r="I2079" s="49" t="n"/>
      <c r="J2079" s="50" t="n"/>
      <c r="K2079" s="48" t="n"/>
      <c r="L2079" s="51">
        <f>IF(A2079="","",DATE(YEAR(A2079),MONTH(A2079),1))</f>
        <v/>
      </c>
      <c r="M2079" s="52">
        <f>IF(OR(A2079="",NOT(ISNUMBER(I2079))),"",IF(G2079=Lists!$B$5,I2079/2,IF(G2079=Lists!$B$6,I2079,0)))</f>
        <v/>
      </c>
      <c r="N2079" s="52">
        <f>IF(OR(A2079="",NOT(ISNUMBER(I2079))),"",IF(G2079=Lists!$B$5,I2079/2,IF(G2079=Lists!$B$7,I2079,0)))</f>
        <v/>
      </c>
      <c r="O2079" s="53">
        <f>IF(COUNTA(A2079:K2079)=0,"",IF(OR(A2079="",B2079="",C2079="",D2079="",E2079="",F2079="",G2079="",NOT(ISNUMBER(I2079))),"Incomplete",IF(COUNTIF(Lists!$H$4:$AA$4,C2079)=0,"Check category",IF(COUNTIF(INDEX(Lists!$H$6:$AA$45,0,MATCH(C2079,Lists!$H$4:$AA$4,0)),D2079)=0,"Check sub-category","OK"))))</f>
        <v/>
      </c>
      <c r="P2079">
        <f>IF(ISNUMBER(I2079),I2079+ROW()/10000000,"")</f>
        <v/>
      </c>
      <c r="Q2079">
        <f>IF(AND(ISNUMBER(P2079),ISNUMBER(A2079)),IF(AND(A2079&gt;=Dashboard!$Q$3,A2079&lt;=Dashboard!$Q$4,OR(J2079&lt;&gt;"Yes",Dashboard!$Q$15="Yes")),P2079,""),"")</f>
        <v/>
      </c>
    </row>
    <row r="2080">
      <c r="A2080" s="47" t="n"/>
      <c r="B2080" s="48" t="n"/>
      <c r="C2080" s="48" t="n"/>
      <c r="D2080" s="48" t="n"/>
      <c r="E2080" s="48" t="n"/>
      <c r="F2080" s="48" t="n"/>
      <c r="G2080" s="48" t="n"/>
      <c r="H2080" s="48" t="n"/>
      <c r="I2080" s="49" t="n"/>
      <c r="J2080" s="50" t="n"/>
      <c r="K2080" s="48" t="n"/>
      <c r="L2080" s="51">
        <f>IF(A2080="","",DATE(YEAR(A2080),MONTH(A2080),1))</f>
        <v/>
      </c>
      <c r="M2080" s="52">
        <f>IF(OR(A2080="",NOT(ISNUMBER(I2080))),"",IF(G2080=Lists!$B$5,I2080/2,IF(G2080=Lists!$B$6,I2080,0)))</f>
        <v/>
      </c>
      <c r="N2080" s="52">
        <f>IF(OR(A2080="",NOT(ISNUMBER(I2080))),"",IF(G2080=Lists!$B$5,I2080/2,IF(G2080=Lists!$B$7,I2080,0)))</f>
        <v/>
      </c>
      <c r="O2080" s="53">
        <f>IF(COUNTA(A2080:K2080)=0,"",IF(OR(A2080="",B2080="",C2080="",D2080="",E2080="",F2080="",G2080="",NOT(ISNUMBER(I2080))),"Incomplete",IF(COUNTIF(Lists!$H$4:$AA$4,C2080)=0,"Check category",IF(COUNTIF(INDEX(Lists!$H$6:$AA$45,0,MATCH(C2080,Lists!$H$4:$AA$4,0)),D2080)=0,"Check sub-category","OK"))))</f>
        <v/>
      </c>
      <c r="P2080">
        <f>IF(ISNUMBER(I2080),I2080+ROW()/10000000,"")</f>
        <v/>
      </c>
      <c r="Q2080">
        <f>IF(AND(ISNUMBER(P2080),ISNUMBER(A2080)),IF(AND(A2080&gt;=Dashboard!$Q$3,A2080&lt;=Dashboard!$Q$4,OR(J2080&lt;&gt;"Yes",Dashboard!$Q$15="Yes")),P2080,""),"")</f>
        <v/>
      </c>
    </row>
    <row r="2081">
      <c r="A2081" s="47" t="n"/>
      <c r="B2081" s="48" t="n"/>
      <c r="C2081" s="48" t="n"/>
      <c r="D2081" s="48" t="n"/>
      <c r="E2081" s="48" t="n"/>
      <c r="F2081" s="48" t="n"/>
      <c r="G2081" s="48" t="n"/>
      <c r="H2081" s="48" t="n"/>
      <c r="I2081" s="49" t="n"/>
      <c r="J2081" s="50" t="n"/>
      <c r="K2081" s="48" t="n"/>
      <c r="L2081" s="51">
        <f>IF(A2081="","",DATE(YEAR(A2081),MONTH(A2081),1))</f>
        <v/>
      </c>
      <c r="M2081" s="52">
        <f>IF(OR(A2081="",NOT(ISNUMBER(I2081))),"",IF(G2081=Lists!$B$5,I2081/2,IF(G2081=Lists!$B$6,I2081,0)))</f>
        <v/>
      </c>
      <c r="N2081" s="52">
        <f>IF(OR(A2081="",NOT(ISNUMBER(I2081))),"",IF(G2081=Lists!$B$5,I2081/2,IF(G2081=Lists!$B$7,I2081,0)))</f>
        <v/>
      </c>
      <c r="O2081" s="53">
        <f>IF(COUNTA(A2081:K2081)=0,"",IF(OR(A2081="",B2081="",C2081="",D2081="",E2081="",F2081="",G2081="",NOT(ISNUMBER(I2081))),"Incomplete",IF(COUNTIF(Lists!$H$4:$AA$4,C2081)=0,"Check category",IF(COUNTIF(INDEX(Lists!$H$6:$AA$45,0,MATCH(C2081,Lists!$H$4:$AA$4,0)),D2081)=0,"Check sub-category","OK"))))</f>
        <v/>
      </c>
      <c r="P2081">
        <f>IF(ISNUMBER(I2081),I2081+ROW()/10000000,"")</f>
        <v/>
      </c>
      <c r="Q2081">
        <f>IF(AND(ISNUMBER(P2081),ISNUMBER(A2081)),IF(AND(A2081&gt;=Dashboard!$Q$3,A2081&lt;=Dashboard!$Q$4,OR(J2081&lt;&gt;"Yes",Dashboard!$Q$15="Yes")),P2081,""),"")</f>
        <v/>
      </c>
    </row>
    <row r="2082">
      <c r="A2082" s="47" t="n"/>
      <c r="B2082" s="48" t="n"/>
      <c r="C2082" s="48" t="n"/>
      <c r="D2082" s="48" t="n"/>
      <c r="E2082" s="48" t="n"/>
      <c r="F2082" s="48" t="n"/>
      <c r="G2082" s="48" t="n"/>
      <c r="H2082" s="48" t="n"/>
      <c r="I2082" s="49" t="n"/>
      <c r="J2082" s="50" t="n"/>
      <c r="K2082" s="48" t="n"/>
      <c r="L2082" s="51">
        <f>IF(A2082="","",DATE(YEAR(A2082),MONTH(A2082),1))</f>
        <v/>
      </c>
      <c r="M2082" s="52">
        <f>IF(OR(A2082="",NOT(ISNUMBER(I2082))),"",IF(G2082=Lists!$B$5,I2082/2,IF(G2082=Lists!$B$6,I2082,0)))</f>
        <v/>
      </c>
      <c r="N2082" s="52">
        <f>IF(OR(A2082="",NOT(ISNUMBER(I2082))),"",IF(G2082=Lists!$B$5,I2082/2,IF(G2082=Lists!$B$7,I2082,0)))</f>
        <v/>
      </c>
      <c r="O2082" s="53">
        <f>IF(COUNTA(A2082:K2082)=0,"",IF(OR(A2082="",B2082="",C2082="",D2082="",E2082="",F2082="",G2082="",NOT(ISNUMBER(I2082))),"Incomplete",IF(COUNTIF(Lists!$H$4:$AA$4,C2082)=0,"Check category",IF(COUNTIF(INDEX(Lists!$H$6:$AA$45,0,MATCH(C2082,Lists!$H$4:$AA$4,0)),D2082)=0,"Check sub-category","OK"))))</f>
        <v/>
      </c>
      <c r="P2082">
        <f>IF(ISNUMBER(I2082),I2082+ROW()/10000000,"")</f>
        <v/>
      </c>
      <c r="Q2082">
        <f>IF(AND(ISNUMBER(P2082),ISNUMBER(A2082)),IF(AND(A2082&gt;=Dashboard!$Q$3,A2082&lt;=Dashboard!$Q$4,OR(J2082&lt;&gt;"Yes",Dashboard!$Q$15="Yes")),P2082,""),"")</f>
        <v/>
      </c>
    </row>
    <row r="2083">
      <c r="A2083" s="47" t="n"/>
      <c r="B2083" s="48" t="n"/>
      <c r="C2083" s="48" t="n"/>
      <c r="D2083" s="48" t="n"/>
      <c r="E2083" s="48" t="n"/>
      <c r="F2083" s="48" t="n"/>
      <c r="G2083" s="48" t="n"/>
      <c r="H2083" s="48" t="n"/>
      <c r="I2083" s="49" t="n"/>
      <c r="J2083" s="50" t="n"/>
      <c r="K2083" s="48" t="n"/>
      <c r="L2083" s="51">
        <f>IF(A2083="","",DATE(YEAR(A2083),MONTH(A2083),1))</f>
        <v/>
      </c>
      <c r="M2083" s="52">
        <f>IF(OR(A2083="",NOT(ISNUMBER(I2083))),"",IF(G2083=Lists!$B$5,I2083/2,IF(G2083=Lists!$B$6,I2083,0)))</f>
        <v/>
      </c>
      <c r="N2083" s="52">
        <f>IF(OR(A2083="",NOT(ISNUMBER(I2083))),"",IF(G2083=Lists!$B$5,I2083/2,IF(G2083=Lists!$B$7,I2083,0)))</f>
        <v/>
      </c>
      <c r="O2083" s="53">
        <f>IF(COUNTA(A2083:K2083)=0,"",IF(OR(A2083="",B2083="",C2083="",D2083="",E2083="",F2083="",G2083="",NOT(ISNUMBER(I2083))),"Incomplete",IF(COUNTIF(Lists!$H$4:$AA$4,C2083)=0,"Check category",IF(COUNTIF(INDEX(Lists!$H$6:$AA$45,0,MATCH(C2083,Lists!$H$4:$AA$4,0)),D2083)=0,"Check sub-category","OK"))))</f>
        <v/>
      </c>
      <c r="P2083">
        <f>IF(ISNUMBER(I2083),I2083+ROW()/10000000,"")</f>
        <v/>
      </c>
      <c r="Q2083">
        <f>IF(AND(ISNUMBER(P2083),ISNUMBER(A2083)),IF(AND(A2083&gt;=Dashboard!$Q$3,A2083&lt;=Dashboard!$Q$4,OR(J2083&lt;&gt;"Yes",Dashboard!$Q$15="Yes")),P2083,""),"")</f>
        <v/>
      </c>
    </row>
    <row r="2084">
      <c r="A2084" s="47" t="n"/>
      <c r="B2084" s="48" t="n"/>
      <c r="C2084" s="48" t="n"/>
      <c r="D2084" s="48" t="n"/>
      <c r="E2084" s="48" t="n"/>
      <c r="F2084" s="48" t="n"/>
      <c r="G2084" s="48" t="n"/>
      <c r="H2084" s="48" t="n"/>
      <c r="I2084" s="49" t="n"/>
      <c r="J2084" s="50" t="n"/>
      <c r="K2084" s="48" t="n"/>
      <c r="L2084" s="51">
        <f>IF(A2084="","",DATE(YEAR(A2084),MONTH(A2084),1))</f>
        <v/>
      </c>
      <c r="M2084" s="52">
        <f>IF(OR(A2084="",NOT(ISNUMBER(I2084))),"",IF(G2084=Lists!$B$5,I2084/2,IF(G2084=Lists!$B$6,I2084,0)))</f>
        <v/>
      </c>
      <c r="N2084" s="52">
        <f>IF(OR(A2084="",NOT(ISNUMBER(I2084))),"",IF(G2084=Lists!$B$5,I2084/2,IF(G2084=Lists!$B$7,I2084,0)))</f>
        <v/>
      </c>
      <c r="O2084" s="53">
        <f>IF(COUNTA(A2084:K2084)=0,"",IF(OR(A2084="",B2084="",C2084="",D2084="",E2084="",F2084="",G2084="",NOT(ISNUMBER(I2084))),"Incomplete",IF(COUNTIF(Lists!$H$4:$AA$4,C2084)=0,"Check category",IF(COUNTIF(INDEX(Lists!$H$6:$AA$45,0,MATCH(C2084,Lists!$H$4:$AA$4,0)),D2084)=0,"Check sub-category","OK"))))</f>
        <v/>
      </c>
      <c r="P2084">
        <f>IF(ISNUMBER(I2084),I2084+ROW()/10000000,"")</f>
        <v/>
      </c>
      <c r="Q2084">
        <f>IF(AND(ISNUMBER(P2084),ISNUMBER(A2084)),IF(AND(A2084&gt;=Dashboard!$Q$3,A2084&lt;=Dashboard!$Q$4,OR(J2084&lt;&gt;"Yes",Dashboard!$Q$15="Yes")),P2084,""),"")</f>
        <v/>
      </c>
    </row>
    <row r="2085">
      <c r="A2085" s="47" t="n"/>
      <c r="B2085" s="48" t="n"/>
      <c r="C2085" s="48" t="n"/>
      <c r="D2085" s="48" t="n"/>
      <c r="E2085" s="48" t="n"/>
      <c r="F2085" s="48" t="n"/>
      <c r="G2085" s="48" t="n"/>
      <c r="H2085" s="48" t="n"/>
      <c r="I2085" s="49" t="n"/>
      <c r="J2085" s="50" t="n"/>
      <c r="K2085" s="48" t="n"/>
      <c r="L2085" s="51">
        <f>IF(A2085="","",DATE(YEAR(A2085),MONTH(A2085),1))</f>
        <v/>
      </c>
      <c r="M2085" s="52">
        <f>IF(OR(A2085="",NOT(ISNUMBER(I2085))),"",IF(G2085=Lists!$B$5,I2085/2,IF(G2085=Lists!$B$6,I2085,0)))</f>
        <v/>
      </c>
      <c r="N2085" s="52">
        <f>IF(OR(A2085="",NOT(ISNUMBER(I2085))),"",IF(G2085=Lists!$B$5,I2085/2,IF(G2085=Lists!$B$7,I2085,0)))</f>
        <v/>
      </c>
      <c r="O2085" s="53">
        <f>IF(COUNTA(A2085:K2085)=0,"",IF(OR(A2085="",B2085="",C2085="",D2085="",E2085="",F2085="",G2085="",NOT(ISNUMBER(I2085))),"Incomplete",IF(COUNTIF(Lists!$H$4:$AA$4,C2085)=0,"Check category",IF(COUNTIF(INDEX(Lists!$H$6:$AA$45,0,MATCH(C2085,Lists!$H$4:$AA$4,0)),D2085)=0,"Check sub-category","OK"))))</f>
        <v/>
      </c>
      <c r="P2085">
        <f>IF(ISNUMBER(I2085),I2085+ROW()/10000000,"")</f>
        <v/>
      </c>
      <c r="Q2085">
        <f>IF(AND(ISNUMBER(P2085),ISNUMBER(A2085)),IF(AND(A2085&gt;=Dashboard!$Q$3,A2085&lt;=Dashboard!$Q$4,OR(J2085&lt;&gt;"Yes",Dashboard!$Q$15="Yes")),P2085,""),"")</f>
        <v/>
      </c>
    </row>
    <row r="2086">
      <c r="A2086" s="47" t="n"/>
      <c r="B2086" s="48" t="n"/>
      <c r="C2086" s="48" t="n"/>
      <c r="D2086" s="48" t="n"/>
      <c r="E2086" s="48" t="n"/>
      <c r="F2086" s="48" t="n"/>
      <c r="G2086" s="48" t="n"/>
      <c r="H2086" s="48" t="n"/>
      <c r="I2086" s="49" t="n"/>
      <c r="J2086" s="50" t="n"/>
      <c r="K2086" s="48" t="n"/>
      <c r="L2086" s="51">
        <f>IF(A2086="","",DATE(YEAR(A2086),MONTH(A2086),1))</f>
        <v/>
      </c>
      <c r="M2086" s="52">
        <f>IF(OR(A2086="",NOT(ISNUMBER(I2086))),"",IF(G2086=Lists!$B$5,I2086/2,IF(G2086=Lists!$B$6,I2086,0)))</f>
        <v/>
      </c>
      <c r="N2086" s="52">
        <f>IF(OR(A2086="",NOT(ISNUMBER(I2086))),"",IF(G2086=Lists!$B$5,I2086/2,IF(G2086=Lists!$B$7,I2086,0)))</f>
        <v/>
      </c>
      <c r="O2086" s="53">
        <f>IF(COUNTA(A2086:K2086)=0,"",IF(OR(A2086="",B2086="",C2086="",D2086="",E2086="",F2086="",G2086="",NOT(ISNUMBER(I2086))),"Incomplete",IF(COUNTIF(Lists!$H$4:$AA$4,C2086)=0,"Check category",IF(COUNTIF(INDEX(Lists!$H$6:$AA$45,0,MATCH(C2086,Lists!$H$4:$AA$4,0)),D2086)=0,"Check sub-category","OK"))))</f>
        <v/>
      </c>
      <c r="P2086">
        <f>IF(ISNUMBER(I2086),I2086+ROW()/10000000,"")</f>
        <v/>
      </c>
      <c r="Q2086">
        <f>IF(AND(ISNUMBER(P2086),ISNUMBER(A2086)),IF(AND(A2086&gt;=Dashboard!$Q$3,A2086&lt;=Dashboard!$Q$4,OR(J2086&lt;&gt;"Yes",Dashboard!$Q$15="Yes")),P2086,""),"")</f>
        <v/>
      </c>
    </row>
    <row r="2087">
      <c r="A2087" s="47" t="n"/>
      <c r="B2087" s="48" t="n"/>
      <c r="C2087" s="48" t="n"/>
      <c r="D2087" s="48" t="n"/>
      <c r="E2087" s="48" t="n"/>
      <c r="F2087" s="48" t="n"/>
      <c r="G2087" s="48" t="n"/>
      <c r="H2087" s="48" t="n"/>
      <c r="I2087" s="49" t="n"/>
      <c r="J2087" s="50" t="n"/>
      <c r="K2087" s="48" t="n"/>
      <c r="L2087" s="51">
        <f>IF(A2087="","",DATE(YEAR(A2087),MONTH(A2087),1))</f>
        <v/>
      </c>
      <c r="M2087" s="52">
        <f>IF(OR(A2087="",NOT(ISNUMBER(I2087))),"",IF(G2087=Lists!$B$5,I2087/2,IF(G2087=Lists!$B$6,I2087,0)))</f>
        <v/>
      </c>
      <c r="N2087" s="52">
        <f>IF(OR(A2087="",NOT(ISNUMBER(I2087))),"",IF(G2087=Lists!$B$5,I2087/2,IF(G2087=Lists!$B$7,I2087,0)))</f>
        <v/>
      </c>
      <c r="O2087" s="53">
        <f>IF(COUNTA(A2087:K2087)=0,"",IF(OR(A2087="",B2087="",C2087="",D2087="",E2087="",F2087="",G2087="",NOT(ISNUMBER(I2087))),"Incomplete",IF(COUNTIF(Lists!$H$4:$AA$4,C2087)=0,"Check category",IF(COUNTIF(INDEX(Lists!$H$6:$AA$45,0,MATCH(C2087,Lists!$H$4:$AA$4,0)),D2087)=0,"Check sub-category","OK"))))</f>
        <v/>
      </c>
      <c r="P2087">
        <f>IF(ISNUMBER(I2087),I2087+ROW()/10000000,"")</f>
        <v/>
      </c>
      <c r="Q2087">
        <f>IF(AND(ISNUMBER(P2087),ISNUMBER(A2087)),IF(AND(A2087&gt;=Dashboard!$Q$3,A2087&lt;=Dashboard!$Q$4,OR(J2087&lt;&gt;"Yes",Dashboard!$Q$15="Yes")),P2087,""),"")</f>
        <v/>
      </c>
    </row>
    <row r="2088">
      <c r="A2088" s="47" t="n"/>
      <c r="B2088" s="48" t="n"/>
      <c r="C2088" s="48" t="n"/>
      <c r="D2088" s="48" t="n"/>
      <c r="E2088" s="48" t="n"/>
      <c r="F2088" s="48" t="n"/>
      <c r="G2088" s="48" t="n"/>
      <c r="H2088" s="48" t="n"/>
      <c r="I2088" s="49" t="n"/>
      <c r="J2088" s="50" t="n"/>
      <c r="K2088" s="48" t="n"/>
      <c r="L2088" s="51">
        <f>IF(A2088="","",DATE(YEAR(A2088),MONTH(A2088),1))</f>
        <v/>
      </c>
      <c r="M2088" s="52">
        <f>IF(OR(A2088="",NOT(ISNUMBER(I2088))),"",IF(G2088=Lists!$B$5,I2088/2,IF(G2088=Lists!$B$6,I2088,0)))</f>
        <v/>
      </c>
      <c r="N2088" s="52">
        <f>IF(OR(A2088="",NOT(ISNUMBER(I2088))),"",IF(G2088=Lists!$B$5,I2088/2,IF(G2088=Lists!$B$7,I2088,0)))</f>
        <v/>
      </c>
      <c r="O2088" s="53">
        <f>IF(COUNTA(A2088:K2088)=0,"",IF(OR(A2088="",B2088="",C2088="",D2088="",E2088="",F2088="",G2088="",NOT(ISNUMBER(I2088))),"Incomplete",IF(COUNTIF(Lists!$H$4:$AA$4,C2088)=0,"Check category",IF(COUNTIF(INDEX(Lists!$H$6:$AA$45,0,MATCH(C2088,Lists!$H$4:$AA$4,0)),D2088)=0,"Check sub-category","OK"))))</f>
        <v/>
      </c>
      <c r="P2088">
        <f>IF(ISNUMBER(I2088),I2088+ROW()/10000000,"")</f>
        <v/>
      </c>
      <c r="Q2088">
        <f>IF(AND(ISNUMBER(P2088),ISNUMBER(A2088)),IF(AND(A2088&gt;=Dashboard!$Q$3,A2088&lt;=Dashboard!$Q$4,OR(J2088&lt;&gt;"Yes",Dashboard!$Q$15="Yes")),P2088,""),"")</f>
        <v/>
      </c>
    </row>
    <row r="2089">
      <c r="A2089" s="47" t="n"/>
      <c r="B2089" s="48" t="n"/>
      <c r="C2089" s="48" t="n"/>
      <c r="D2089" s="48" t="n"/>
      <c r="E2089" s="48" t="n"/>
      <c r="F2089" s="48" t="n"/>
      <c r="G2089" s="48" t="n"/>
      <c r="H2089" s="48" t="n"/>
      <c r="I2089" s="49" t="n"/>
      <c r="J2089" s="50" t="n"/>
      <c r="K2089" s="48" t="n"/>
      <c r="L2089" s="51">
        <f>IF(A2089="","",DATE(YEAR(A2089),MONTH(A2089),1))</f>
        <v/>
      </c>
      <c r="M2089" s="52">
        <f>IF(OR(A2089="",NOT(ISNUMBER(I2089))),"",IF(G2089=Lists!$B$5,I2089/2,IF(G2089=Lists!$B$6,I2089,0)))</f>
        <v/>
      </c>
      <c r="N2089" s="52">
        <f>IF(OR(A2089="",NOT(ISNUMBER(I2089))),"",IF(G2089=Lists!$B$5,I2089/2,IF(G2089=Lists!$B$7,I2089,0)))</f>
        <v/>
      </c>
      <c r="O2089" s="53">
        <f>IF(COUNTA(A2089:K2089)=0,"",IF(OR(A2089="",B2089="",C2089="",D2089="",E2089="",F2089="",G2089="",NOT(ISNUMBER(I2089))),"Incomplete",IF(COUNTIF(Lists!$H$4:$AA$4,C2089)=0,"Check category",IF(COUNTIF(INDEX(Lists!$H$6:$AA$45,0,MATCH(C2089,Lists!$H$4:$AA$4,0)),D2089)=0,"Check sub-category","OK"))))</f>
        <v/>
      </c>
      <c r="P2089">
        <f>IF(ISNUMBER(I2089),I2089+ROW()/10000000,"")</f>
        <v/>
      </c>
      <c r="Q2089">
        <f>IF(AND(ISNUMBER(P2089),ISNUMBER(A2089)),IF(AND(A2089&gt;=Dashboard!$Q$3,A2089&lt;=Dashboard!$Q$4,OR(J2089&lt;&gt;"Yes",Dashboard!$Q$15="Yes")),P2089,""),"")</f>
        <v/>
      </c>
    </row>
    <row r="2090">
      <c r="A2090" s="47" t="n"/>
      <c r="B2090" s="48" t="n"/>
      <c r="C2090" s="48" t="n"/>
      <c r="D2090" s="48" t="n"/>
      <c r="E2090" s="48" t="n"/>
      <c r="F2090" s="48" t="n"/>
      <c r="G2090" s="48" t="n"/>
      <c r="H2090" s="48" t="n"/>
      <c r="I2090" s="49" t="n"/>
      <c r="J2090" s="50" t="n"/>
      <c r="K2090" s="48" t="n"/>
      <c r="L2090" s="51">
        <f>IF(A2090="","",DATE(YEAR(A2090),MONTH(A2090),1))</f>
        <v/>
      </c>
      <c r="M2090" s="52">
        <f>IF(OR(A2090="",NOT(ISNUMBER(I2090))),"",IF(G2090=Lists!$B$5,I2090/2,IF(G2090=Lists!$B$6,I2090,0)))</f>
        <v/>
      </c>
      <c r="N2090" s="52">
        <f>IF(OR(A2090="",NOT(ISNUMBER(I2090))),"",IF(G2090=Lists!$B$5,I2090/2,IF(G2090=Lists!$B$7,I2090,0)))</f>
        <v/>
      </c>
      <c r="O2090" s="53">
        <f>IF(COUNTA(A2090:K2090)=0,"",IF(OR(A2090="",B2090="",C2090="",D2090="",E2090="",F2090="",G2090="",NOT(ISNUMBER(I2090))),"Incomplete",IF(COUNTIF(Lists!$H$4:$AA$4,C2090)=0,"Check category",IF(COUNTIF(INDEX(Lists!$H$6:$AA$45,0,MATCH(C2090,Lists!$H$4:$AA$4,0)),D2090)=0,"Check sub-category","OK"))))</f>
        <v/>
      </c>
      <c r="P2090">
        <f>IF(ISNUMBER(I2090),I2090+ROW()/10000000,"")</f>
        <v/>
      </c>
      <c r="Q2090">
        <f>IF(AND(ISNUMBER(P2090),ISNUMBER(A2090)),IF(AND(A2090&gt;=Dashboard!$Q$3,A2090&lt;=Dashboard!$Q$4,OR(J2090&lt;&gt;"Yes",Dashboard!$Q$15="Yes")),P2090,""),"")</f>
        <v/>
      </c>
    </row>
    <row r="2091">
      <c r="A2091" s="47" t="n"/>
      <c r="B2091" s="48" t="n"/>
      <c r="C2091" s="48" t="n"/>
      <c r="D2091" s="48" t="n"/>
      <c r="E2091" s="48" t="n"/>
      <c r="F2091" s="48" t="n"/>
      <c r="G2091" s="48" t="n"/>
      <c r="H2091" s="48" t="n"/>
      <c r="I2091" s="49" t="n"/>
      <c r="J2091" s="50" t="n"/>
      <c r="K2091" s="48" t="n"/>
      <c r="L2091" s="51">
        <f>IF(A2091="","",DATE(YEAR(A2091),MONTH(A2091),1))</f>
        <v/>
      </c>
      <c r="M2091" s="52">
        <f>IF(OR(A2091="",NOT(ISNUMBER(I2091))),"",IF(G2091=Lists!$B$5,I2091/2,IF(G2091=Lists!$B$6,I2091,0)))</f>
        <v/>
      </c>
      <c r="N2091" s="52">
        <f>IF(OR(A2091="",NOT(ISNUMBER(I2091))),"",IF(G2091=Lists!$B$5,I2091/2,IF(G2091=Lists!$B$7,I2091,0)))</f>
        <v/>
      </c>
      <c r="O2091" s="53">
        <f>IF(COUNTA(A2091:K2091)=0,"",IF(OR(A2091="",B2091="",C2091="",D2091="",E2091="",F2091="",G2091="",NOT(ISNUMBER(I2091))),"Incomplete",IF(COUNTIF(Lists!$H$4:$AA$4,C2091)=0,"Check category",IF(COUNTIF(INDEX(Lists!$H$6:$AA$45,0,MATCH(C2091,Lists!$H$4:$AA$4,0)),D2091)=0,"Check sub-category","OK"))))</f>
        <v/>
      </c>
      <c r="P2091">
        <f>IF(ISNUMBER(I2091),I2091+ROW()/10000000,"")</f>
        <v/>
      </c>
      <c r="Q2091">
        <f>IF(AND(ISNUMBER(P2091),ISNUMBER(A2091)),IF(AND(A2091&gt;=Dashboard!$Q$3,A2091&lt;=Dashboard!$Q$4,OR(J2091&lt;&gt;"Yes",Dashboard!$Q$15="Yes")),P2091,""),"")</f>
        <v/>
      </c>
    </row>
    <row r="2092">
      <c r="A2092" s="47" t="n"/>
      <c r="B2092" s="48" t="n"/>
      <c r="C2092" s="48" t="n"/>
      <c r="D2092" s="48" t="n"/>
      <c r="E2092" s="48" t="n"/>
      <c r="F2092" s="48" t="n"/>
      <c r="G2092" s="48" t="n"/>
      <c r="H2092" s="48" t="n"/>
      <c r="I2092" s="49" t="n"/>
      <c r="J2092" s="50" t="n"/>
      <c r="K2092" s="48" t="n"/>
      <c r="L2092" s="51">
        <f>IF(A2092="","",DATE(YEAR(A2092),MONTH(A2092),1))</f>
        <v/>
      </c>
      <c r="M2092" s="52">
        <f>IF(OR(A2092="",NOT(ISNUMBER(I2092))),"",IF(G2092=Lists!$B$5,I2092/2,IF(G2092=Lists!$B$6,I2092,0)))</f>
        <v/>
      </c>
      <c r="N2092" s="52">
        <f>IF(OR(A2092="",NOT(ISNUMBER(I2092))),"",IF(G2092=Lists!$B$5,I2092/2,IF(G2092=Lists!$B$7,I2092,0)))</f>
        <v/>
      </c>
      <c r="O2092" s="53">
        <f>IF(COUNTA(A2092:K2092)=0,"",IF(OR(A2092="",B2092="",C2092="",D2092="",E2092="",F2092="",G2092="",NOT(ISNUMBER(I2092))),"Incomplete",IF(COUNTIF(Lists!$H$4:$AA$4,C2092)=0,"Check category",IF(COUNTIF(INDEX(Lists!$H$6:$AA$45,0,MATCH(C2092,Lists!$H$4:$AA$4,0)),D2092)=0,"Check sub-category","OK"))))</f>
        <v/>
      </c>
      <c r="P2092">
        <f>IF(ISNUMBER(I2092),I2092+ROW()/10000000,"")</f>
        <v/>
      </c>
      <c r="Q2092">
        <f>IF(AND(ISNUMBER(P2092),ISNUMBER(A2092)),IF(AND(A2092&gt;=Dashboard!$Q$3,A2092&lt;=Dashboard!$Q$4,OR(J2092&lt;&gt;"Yes",Dashboard!$Q$15="Yes")),P2092,""),"")</f>
        <v/>
      </c>
    </row>
    <row r="2093">
      <c r="A2093" s="47" t="n"/>
      <c r="B2093" s="48" t="n"/>
      <c r="C2093" s="48" t="n"/>
      <c r="D2093" s="48" t="n"/>
      <c r="E2093" s="48" t="n"/>
      <c r="F2093" s="48" t="n"/>
      <c r="G2093" s="48" t="n"/>
      <c r="H2093" s="48" t="n"/>
      <c r="I2093" s="49" t="n"/>
      <c r="J2093" s="50" t="n"/>
      <c r="K2093" s="48" t="n"/>
      <c r="L2093" s="51">
        <f>IF(A2093="","",DATE(YEAR(A2093),MONTH(A2093),1))</f>
        <v/>
      </c>
      <c r="M2093" s="52">
        <f>IF(OR(A2093="",NOT(ISNUMBER(I2093))),"",IF(G2093=Lists!$B$5,I2093/2,IF(G2093=Lists!$B$6,I2093,0)))</f>
        <v/>
      </c>
      <c r="N2093" s="52">
        <f>IF(OR(A2093="",NOT(ISNUMBER(I2093))),"",IF(G2093=Lists!$B$5,I2093/2,IF(G2093=Lists!$B$7,I2093,0)))</f>
        <v/>
      </c>
      <c r="O2093" s="53">
        <f>IF(COUNTA(A2093:K2093)=0,"",IF(OR(A2093="",B2093="",C2093="",D2093="",E2093="",F2093="",G2093="",NOT(ISNUMBER(I2093))),"Incomplete",IF(COUNTIF(Lists!$H$4:$AA$4,C2093)=0,"Check category",IF(COUNTIF(INDEX(Lists!$H$6:$AA$45,0,MATCH(C2093,Lists!$H$4:$AA$4,0)),D2093)=0,"Check sub-category","OK"))))</f>
        <v/>
      </c>
      <c r="P2093">
        <f>IF(ISNUMBER(I2093),I2093+ROW()/10000000,"")</f>
        <v/>
      </c>
      <c r="Q2093">
        <f>IF(AND(ISNUMBER(P2093),ISNUMBER(A2093)),IF(AND(A2093&gt;=Dashboard!$Q$3,A2093&lt;=Dashboard!$Q$4,OR(J2093&lt;&gt;"Yes",Dashboard!$Q$15="Yes")),P2093,""),"")</f>
        <v/>
      </c>
    </row>
    <row r="2094">
      <c r="A2094" s="47" t="n"/>
      <c r="B2094" s="48" t="n"/>
      <c r="C2094" s="48" t="n"/>
      <c r="D2094" s="48" t="n"/>
      <c r="E2094" s="48" t="n"/>
      <c r="F2094" s="48" t="n"/>
      <c r="G2094" s="48" t="n"/>
      <c r="H2094" s="48" t="n"/>
      <c r="I2094" s="49" t="n"/>
      <c r="J2094" s="50" t="n"/>
      <c r="K2094" s="48" t="n"/>
      <c r="L2094" s="51">
        <f>IF(A2094="","",DATE(YEAR(A2094),MONTH(A2094),1))</f>
        <v/>
      </c>
      <c r="M2094" s="52">
        <f>IF(OR(A2094="",NOT(ISNUMBER(I2094))),"",IF(G2094=Lists!$B$5,I2094/2,IF(G2094=Lists!$B$6,I2094,0)))</f>
        <v/>
      </c>
      <c r="N2094" s="52">
        <f>IF(OR(A2094="",NOT(ISNUMBER(I2094))),"",IF(G2094=Lists!$B$5,I2094/2,IF(G2094=Lists!$B$7,I2094,0)))</f>
        <v/>
      </c>
      <c r="O2094" s="53">
        <f>IF(COUNTA(A2094:K2094)=0,"",IF(OR(A2094="",B2094="",C2094="",D2094="",E2094="",F2094="",G2094="",NOT(ISNUMBER(I2094))),"Incomplete",IF(COUNTIF(Lists!$H$4:$AA$4,C2094)=0,"Check category",IF(COUNTIF(INDEX(Lists!$H$6:$AA$45,0,MATCH(C2094,Lists!$H$4:$AA$4,0)),D2094)=0,"Check sub-category","OK"))))</f>
        <v/>
      </c>
      <c r="P2094">
        <f>IF(ISNUMBER(I2094),I2094+ROW()/10000000,"")</f>
        <v/>
      </c>
      <c r="Q2094">
        <f>IF(AND(ISNUMBER(P2094),ISNUMBER(A2094)),IF(AND(A2094&gt;=Dashboard!$Q$3,A2094&lt;=Dashboard!$Q$4,OR(J2094&lt;&gt;"Yes",Dashboard!$Q$15="Yes")),P2094,""),"")</f>
        <v/>
      </c>
    </row>
    <row r="2095">
      <c r="A2095" s="47" t="n"/>
      <c r="B2095" s="48" t="n"/>
      <c r="C2095" s="48" t="n"/>
      <c r="D2095" s="48" t="n"/>
      <c r="E2095" s="48" t="n"/>
      <c r="F2095" s="48" t="n"/>
      <c r="G2095" s="48" t="n"/>
      <c r="H2095" s="48" t="n"/>
      <c r="I2095" s="49" t="n"/>
      <c r="J2095" s="50" t="n"/>
      <c r="K2095" s="48" t="n"/>
      <c r="L2095" s="51">
        <f>IF(A2095="","",DATE(YEAR(A2095),MONTH(A2095),1))</f>
        <v/>
      </c>
      <c r="M2095" s="52">
        <f>IF(OR(A2095="",NOT(ISNUMBER(I2095))),"",IF(G2095=Lists!$B$5,I2095/2,IF(G2095=Lists!$B$6,I2095,0)))</f>
        <v/>
      </c>
      <c r="N2095" s="52">
        <f>IF(OR(A2095="",NOT(ISNUMBER(I2095))),"",IF(G2095=Lists!$B$5,I2095/2,IF(G2095=Lists!$B$7,I2095,0)))</f>
        <v/>
      </c>
      <c r="O2095" s="53">
        <f>IF(COUNTA(A2095:K2095)=0,"",IF(OR(A2095="",B2095="",C2095="",D2095="",E2095="",F2095="",G2095="",NOT(ISNUMBER(I2095))),"Incomplete",IF(COUNTIF(Lists!$H$4:$AA$4,C2095)=0,"Check category",IF(COUNTIF(INDEX(Lists!$H$6:$AA$45,0,MATCH(C2095,Lists!$H$4:$AA$4,0)),D2095)=0,"Check sub-category","OK"))))</f>
        <v/>
      </c>
      <c r="P2095">
        <f>IF(ISNUMBER(I2095),I2095+ROW()/10000000,"")</f>
        <v/>
      </c>
      <c r="Q2095">
        <f>IF(AND(ISNUMBER(P2095),ISNUMBER(A2095)),IF(AND(A2095&gt;=Dashboard!$Q$3,A2095&lt;=Dashboard!$Q$4,OR(J2095&lt;&gt;"Yes",Dashboard!$Q$15="Yes")),P2095,""),"")</f>
        <v/>
      </c>
    </row>
    <row r="2096">
      <c r="A2096" s="47" t="n"/>
      <c r="B2096" s="48" t="n"/>
      <c r="C2096" s="48" t="n"/>
      <c r="D2096" s="48" t="n"/>
      <c r="E2096" s="48" t="n"/>
      <c r="F2096" s="48" t="n"/>
      <c r="G2096" s="48" t="n"/>
      <c r="H2096" s="48" t="n"/>
      <c r="I2096" s="49" t="n"/>
      <c r="J2096" s="50" t="n"/>
      <c r="K2096" s="48" t="n"/>
      <c r="L2096" s="51">
        <f>IF(A2096="","",DATE(YEAR(A2096),MONTH(A2096),1))</f>
        <v/>
      </c>
      <c r="M2096" s="52">
        <f>IF(OR(A2096="",NOT(ISNUMBER(I2096))),"",IF(G2096=Lists!$B$5,I2096/2,IF(G2096=Lists!$B$6,I2096,0)))</f>
        <v/>
      </c>
      <c r="N2096" s="52">
        <f>IF(OR(A2096="",NOT(ISNUMBER(I2096))),"",IF(G2096=Lists!$B$5,I2096/2,IF(G2096=Lists!$B$7,I2096,0)))</f>
        <v/>
      </c>
      <c r="O2096" s="53">
        <f>IF(COUNTA(A2096:K2096)=0,"",IF(OR(A2096="",B2096="",C2096="",D2096="",E2096="",F2096="",G2096="",NOT(ISNUMBER(I2096))),"Incomplete",IF(COUNTIF(Lists!$H$4:$AA$4,C2096)=0,"Check category",IF(COUNTIF(INDEX(Lists!$H$6:$AA$45,0,MATCH(C2096,Lists!$H$4:$AA$4,0)),D2096)=0,"Check sub-category","OK"))))</f>
        <v/>
      </c>
      <c r="P2096">
        <f>IF(ISNUMBER(I2096),I2096+ROW()/10000000,"")</f>
        <v/>
      </c>
      <c r="Q2096">
        <f>IF(AND(ISNUMBER(P2096),ISNUMBER(A2096)),IF(AND(A2096&gt;=Dashboard!$Q$3,A2096&lt;=Dashboard!$Q$4,OR(J2096&lt;&gt;"Yes",Dashboard!$Q$15="Yes")),P2096,""),"")</f>
        <v/>
      </c>
    </row>
    <row r="2097">
      <c r="A2097" s="47" t="n"/>
      <c r="B2097" s="48" t="n"/>
      <c r="C2097" s="48" t="n"/>
      <c r="D2097" s="48" t="n"/>
      <c r="E2097" s="48" t="n"/>
      <c r="F2097" s="48" t="n"/>
      <c r="G2097" s="48" t="n"/>
      <c r="H2097" s="48" t="n"/>
      <c r="I2097" s="49" t="n"/>
      <c r="J2097" s="50" t="n"/>
      <c r="K2097" s="48" t="n"/>
      <c r="L2097" s="51">
        <f>IF(A2097="","",DATE(YEAR(A2097),MONTH(A2097),1))</f>
        <v/>
      </c>
      <c r="M2097" s="52">
        <f>IF(OR(A2097="",NOT(ISNUMBER(I2097))),"",IF(G2097=Lists!$B$5,I2097/2,IF(G2097=Lists!$B$6,I2097,0)))</f>
        <v/>
      </c>
      <c r="N2097" s="52">
        <f>IF(OR(A2097="",NOT(ISNUMBER(I2097))),"",IF(G2097=Lists!$B$5,I2097/2,IF(G2097=Lists!$B$7,I2097,0)))</f>
        <v/>
      </c>
      <c r="O2097" s="53">
        <f>IF(COUNTA(A2097:K2097)=0,"",IF(OR(A2097="",B2097="",C2097="",D2097="",E2097="",F2097="",G2097="",NOT(ISNUMBER(I2097))),"Incomplete",IF(COUNTIF(Lists!$H$4:$AA$4,C2097)=0,"Check category",IF(COUNTIF(INDEX(Lists!$H$6:$AA$45,0,MATCH(C2097,Lists!$H$4:$AA$4,0)),D2097)=0,"Check sub-category","OK"))))</f>
        <v/>
      </c>
      <c r="P2097">
        <f>IF(ISNUMBER(I2097),I2097+ROW()/10000000,"")</f>
        <v/>
      </c>
      <c r="Q2097">
        <f>IF(AND(ISNUMBER(P2097),ISNUMBER(A2097)),IF(AND(A2097&gt;=Dashboard!$Q$3,A2097&lt;=Dashboard!$Q$4,OR(J2097&lt;&gt;"Yes",Dashboard!$Q$15="Yes")),P2097,""),"")</f>
        <v/>
      </c>
    </row>
    <row r="2098">
      <c r="A2098" s="47" t="n"/>
      <c r="B2098" s="48" t="n"/>
      <c r="C2098" s="48" t="n"/>
      <c r="D2098" s="48" t="n"/>
      <c r="E2098" s="48" t="n"/>
      <c r="F2098" s="48" t="n"/>
      <c r="G2098" s="48" t="n"/>
      <c r="H2098" s="48" t="n"/>
      <c r="I2098" s="49" t="n"/>
      <c r="J2098" s="50" t="n"/>
      <c r="K2098" s="48" t="n"/>
      <c r="L2098" s="51">
        <f>IF(A2098="","",DATE(YEAR(A2098),MONTH(A2098),1))</f>
        <v/>
      </c>
      <c r="M2098" s="52">
        <f>IF(OR(A2098="",NOT(ISNUMBER(I2098))),"",IF(G2098=Lists!$B$5,I2098/2,IF(G2098=Lists!$B$6,I2098,0)))</f>
        <v/>
      </c>
      <c r="N2098" s="52">
        <f>IF(OR(A2098="",NOT(ISNUMBER(I2098))),"",IF(G2098=Lists!$B$5,I2098/2,IF(G2098=Lists!$B$7,I2098,0)))</f>
        <v/>
      </c>
      <c r="O2098" s="53">
        <f>IF(COUNTA(A2098:K2098)=0,"",IF(OR(A2098="",B2098="",C2098="",D2098="",E2098="",F2098="",G2098="",NOT(ISNUMBER(I2098))),"Incomplete",IF(COUNTIF(Lists!$H$4:$AA$4,C2098)=0,"Check category",IF(COUNTIF(INDEX(Lists!$H$6:$AA$45,0,MATCH(C2098,Lists!$H$4:$AA$4,0)),D2098)=0,"Check sub-category","OK"))))</f>
        <v/>
      </c>
      <c r="P2098">
        <f>IF(ISNUMBER(I2098),I2098+ROW()/10000000,"")</f>
        <v/>
      </c>
      <c r="Q2098">
        <f>IF(AND(ISNUMBER(P2098),ISNUMBER(A2098)),IF(AND(A2098&gt;=Dashboard!$Q$3,A2098&lt;=Dashboard!$Q$4,OR(J2098&lt;&gt;"Yes",Dashboard!$Q$15="Yes")),P2098,""),"")</f>
        <v/>
      </c>
    </row>
    <row r="2099">
      <c r="A2099" s="47" t="n"/>
      <c r="B2099" s="48" t="n"/>
      <c r="C2099" s="48" t="n"/>
      <c r="D2099" s="48" t="n"/>
      <c r="E2099" s="48" t="n"/>
      <c r="F2099" s="48" t="n"/>
      <c r="G2099" s="48" t="n"/>
      <c r="H2099" s="48" t="n"/>
      <c r="I2099" s="49" t="n"/>
      <c r="J2099" s="50" t="n"/>
      <c r="K2099" s="48" t="n"/>
      <c r="L2099" s="51">
        <f>IF(A2099="","",DATE(YEAR(A2099),MONTH(A2099),1))</f>
        <v/>
      </c>
      <c r="M2099" s="52">
        <f>IF(OR(A2099="",NOT(ISNUMBER(I2099))),"",IF(G2099=Lists!$B$5,I2099/2,IF(G2099=Lists!$B$6,I2099,0)))</f>
        <v/>
      </c>
      <c r="N2099" s="52">
        <f>IF(OR(A2099="",NOT(ISNUMBER(I2099))),"",IF(G2099=Lists!$B$5,I2099/2,IF(G2099=Lists!$B$7,I2099,0)))</f>
        <v/>
      </c>
      <c r="O2099" s="53">
        <f>IF(COUNTA(A2099:K2099)=0,"",IF(OR(A2099="",B2099="",C2099="",D2099="",E2099="",F2099="",G2099="",NOT(ISNUMBER(I2099))),"Incomplete",IF(COUNTIF(Lists!$H$4:$AA$4,C2099)=0,"Check category",IF(COUNTIF(INDEX(Lists!$H$6:$AA$45,0,MATCH(C2099,Lists!$H$4:$AA$4,0)),D2099)=0,"Check sub-category","OK"))))</f>
        <v/>
      </c>
      <c r="P2099">
        <f>IF(ISNUMBER(I2099),I2099+ROW()/10000000,"")</f>
        <v/>
      </c>
      <c r="Q2099">
        <f>IF(AND(ISNUMBER(P2099),ISNUMBER(A2099)),IF(AND(A2099&gt;=Dashboard!$Q$3,A2099&lt;=Dashboard!$Q$4,OR(J2099&lt;&gt;"Yes",Dashboard!$Q$15="Yes")),P2099,""),"")</f>
        <v/>
      </c>
    </row>
    <row r="2100">
      <c r="A2100" s="47" t="n"/>
      <c r="B2100" s="48" t="n"/>
      <c r="C2100" s="48" t="n"/>
      <c r="D2100" s="48" t="n"/>
      <c r="E2100" s="48" t="n"/>
      <c r="F2100" s="48" t="n"/>
      <c r="G2100" s="48" t="n"/>
      <c r="H2100" s="48" t="n"/>
      <c r="I2100" s="49" t="n"/>
      <c r="J2100" s="50" t="n"/>
      <c r="K2100" s="48" t="n"/>
      <c r="L2100" s="51">
        <f>IF(A2100="","",DATE(YEAR(A2100),MONTH(A2100),1))</f>
        <v/>
      </c>
      <c r="M2100" s="52">
        <f>IF(OR(A2100="",NOT(ISNUMBER(I2100))),"",IF(G2100=Lists!$B$5,I2100/2,IF(G2100=Lists!$B$6,I2100,0)))</f>
        <v/>
      </c>
      <c r="N2100" s="52">
        <f>IF(OR(A2100="",NOT(ISNUMBER(I2100))),"",IF(G2100=Lists!$B$5,I2100/2,IF(G2100=Lists!$B$7,I2100,0)))</f>
        <v/>
      </c>
      <c r="O2100" s="53">
        <f>IF(COUNTA(A2100:K2100)=0,"",IF(OR(A2100="",B2100="",C2100="",D2100="",E2100="",F2100="",G2100="",NOT(ISNUMBER(I2100))),"Incomplete",IF(COUNTIF(Lists!$H$4:$AA$4,C2100)=0,"Check category",IF(COUNTIF(INDEX(Lists!$H$6:$AA$45,0,MATCH(C2100,Lists!$H$4:$AA$4,0)),D2100)=0,"Check sub-category","OK"))))</f>
        <v/>
      </c>
      <c r="P2100">
        <f>IF(ISNUMBER(I2100),I2100+ROW()/10000000,"")</f>
        <v/>
      </c>
      <c r="Q2100">
        <f>IF(AND(ISNUMBER(P2100),ISNUMBER(A2100)),IF(AND(A2100&gt;=Dashboard!$Q$3,A2100&lt;=Dashboard!$Q$4,OR(J2100&lt;&gt;"Yes",Dashboard!$Q$15="Yes")),P2100,""),"")</f>
        <v/>
      </c>
    </row>
    <row r="2101">
      <c r="A2101" s="47" t="n"/>
      <c r="B2101" s="48" t="n"/>
      <c r="C2101" s="48" t="n"/>
      <c r="D2101" s="48" t="n"/>
      <c r="E2101" s="48" t="n"/>
      <c r="F2101" s="48" t="n"/>
      <c r="G2101" s="48" t="n"/>
      <c r="H2101" s="48" t="n"/>
      <c r="I2101" s="49" t="n"/>
      <c r="J2101" s="50" t="n"/>
      <c r="K2101" s="48" t="n"/>
      <c r="L2101" s="51">
        <f>IF(A2101="","",DATE(YEAR(A2101),MONTH(A2101),1))</f>
        <v/>
      </c>
      <c r="M2101" s="52">
        <f>IF(OR(A2101="",NOT(ISNUMBER(I2101))),"",IF(G2101=Lists!$B$5,I2101/2,IF(G2101=Lists!$B$6,I2101,0)))</f>
        <v/>
      </c>
      <c r="N2101" s="52">
        <f>IF(OR(A2101="",NOT(ISNUMBER(I2101))),"",IF(G2101=Lists!$B$5,I2101/2,IF(G2101=Lists!$B$7,I2101,0)))</f>
        <v/>
      </c>
      <c r="O2101" s="53">
        <f>IF(COUNTA(A2101:K2101)=0,"",IF(OR(A2101="",B2101="",C2101="",D2101="",E2101="",F2101="",G2101="",NOT(ISNUMBER(I2101))),"Incomplete",IF(COUNTIF(Lists!$H$4:$AA$4,C2101)=0,"Check category",IF(COUNTIF(INDEX(Lists!$H$6:$AA$45,0,MATCH(C2101,Lists!$H$4:$AA$4,0)),D2101)=0,"Check sub-category","OK"))))</f>
        <v/>
      </c>
      <c r="P2101">
        <f>IF(ISNUMBER(I2101),I2101+ROW()/10000000,"")</f>
        <v/>
      </c>
      <c r="Q2101">
        <f>IF(AND(ISNUMBER(P2101),ISNUMBER(A2101)),IF(AND(A2101&gt;=Dashboard!$Q$3,A2101&lt;=Dashboard!$Q$4,OR(J2101&lt;&gt;"Yes",Dashboard!$Q$15="Yes")),P2101,""),"")</f>
        <v/>
      </c>
    </row>
    <row r="2102">
      <c r="A2102" s="47" t="n"/>
      <c r="B2102" s="48" t="n"/>
      <c r="C2102" s="48" t="n"/>
      <c r="D2102" s="48" t="n"/>
      <c r="E2102" s="48" t="n"/>
      <c r="F2102" s="48" t="n"/>
      <c r="G2102" s="48" t="n"/>
      <c r="H2102" s="48" t="n"/>
      <c r="I2102" s="49" t="n"/>
      <c r="J2102" s="50" t="n"/>
      <c r="K2102" s="48" t="n"/>
      <c r="L2102" s="51">
        <f>IF(A2102="","",DATE(YEAR(A2102),MONTH(A2102),1))</f>
        <v/>
      </c>
      <c r="M2102" s="52">
        <f>IF(OR(A2102="",NOT(ISNUMBER(I2102))),"",IF(G2102=Lists!$B$5,I2102/2,IF(G2102=Lists!$B$6,I2102,0)))</f>
        <v/>
      </c>
      <c r="N2102" s="52">
        <f>IF(OR(A2102="",NOT(ISNUMBER(I2102))),"",IF(G2102=Lists!$B$5,I2102/2,IF(G2102=Lists!$B$7,I2102,0)))</f>
        <v/>
      </c>
      <c r="O2102" s="53">
        <f>IF(COUNTA(A2102:K2102)=0,"",IF(OR(A2102="",B2102="",C2102="",D2102="",E2102="",F2102="",G2102="",NOT(ISNUMBER(I2102))),"Incomplete",IF(COUNTIF(Lists!$H$4:$AA$4,C2102)=0,"Check category",IF(COUNTIF(INDEX(Lists!$H$6:$AA$45,0,MATCH(C2102,Lists!$H$4:$AA$4,0)),D2102)=0,"Check sub-category","OK"))))</f>
        <v/>
      </c>
      <c r="P2102">
        <f>IF(ISNUMBER(I2102),I2102+ROW()/10000000,"")</f>
        <v/>
      </c>
      <c r="Q2102">
        <f>IF(AND(ISNUMBER(P2102),ISNUMBER(A2102)),IF(AND(A2102&gt;=Dashboard!$Q$3,A2102&lt;=Dashboard!$Q$4,OR(J2102&lt;&gt;"Yes",Dashboard!$Q$15="Yes")),P2102,""),"")</f>
        <v/>
      </c>
    </row>
    <row r="2103">
      <c r="A2103" s="47" t="n"/>
      <c r="B2103" s="48" t="n"/>
      <c r="C2103" s="48" t="n"/>
      <c r="D2103" s="48" t="n"/>
      <c r="E2103" s="48" t="n"/>
      <c r="F2103" s="48" t="n"/>
      <c r="G2103" s="48" t="n"/>
      <c r="H2103" s="48" t="n"/>
      <c r="I2103" s="49" t="n"/>
      <c r="J2103" s="50" t="n"/>
      <c r="K2103" s="48" t="n"/>
      <c r="L2103" s="51">
        <f>IF(A2103="","",DATE(YEAR(A2103),MONTH(A2103),1))</f>
        <v/>
      </c>
      <c r="M2103" s="52">
        <f>IF(OR(A2103="",NOT(ISNUMBER(I2103))),"",IF(G2103=Lists!$B$5,I2103/2,IF(G2103=Lists!$B$6,I2103,0)))</f>
        <v/>
      </c>
      <c r="N2103" s="52">
        <f>IF(OR(A2103="",NOT(ISNUMBER(I2103))),"",IF(G2103=Lists!$B$5,I2103/2,IF(G2103=Lists!$B$7,I2103,0)))</f>
        <v/>
      </c>
      <c r="O2103" s="53">
        <f>IF(COUNTA(A2103:K2103)=0,"",IF(OR(A2103="",B2103="",C2103="",D2103="",E2103="",F2103="",G2103="",NOT(ISNUMBER(I2103))),"Incomplete",IF(COUNTIF(Lists!$H$4:$AA$4,C2103)=0,"Check category",IF(COUNTIF(INDEX(Lists!$H$6:$AA$45,0,MATCH(C2103,Lists!$H$4:$AA$4,0)),D2103)=0,"Check sub-category","OK"))))</f>
        <v/>
      </c>
      <c r="P2103">
        <f>IF(ISNUMBER(I2103),I2103+ROW()/10000000,"")</f>
        <v/>
      </c>
      <c r="Q2103">
        <f>IF(AND(ISNUMBER(P2103),ISNUMBER(A2103)),IF(AND(A2103&gt;=Dashboard!$Q$3,A2103&lt;=Dashboard!$Q$4,OR(J2103&lt;&gt;"Yes",Dashboard!$Q$15="Yes")),P2103,""),"")</f>
        <v/>
      </c>
    </row>
    <row r="2104">
      <c r="A2104" s="47" t="n"/>
      <c r="B2104" s="48" t="n"/>
      <c r="C2104" s="48" t="n"/>
      <c r="D2104" s="48" t="n"/>
      <c r="E2104" s="48" t="n"/>
      <c r="F2104" s="48" t="n"/>
      <c r="G2104" s="48" t="n"/>
      <c r="H2104" s="48" t="n"/>
      <c r="I2104" s="49" t="n"/>
      <c r="J2104" s="50" t="n"/>
      <c r="K2104" s="48" t="n"/>
      <c r="L2104" s="51">
        <f>IF(A2104="","",DATE(YEAR(A2104),MONTH(A2104),1))</f>
        <v/>
      </c>
      <c r="M2104" s="52">
        <f>IF(OR(A2104="",NOT(ISNUMBER(I2104))),"",IF(G2104=Lists!$B$5,I2104/2,IF(G2104=Lists!$B$6,I2104,0)))</f>
        <v/>
      </c>
      <c r="N2104" s="52">
        <f>IF(OR(A2104="",NOT(ISNUMBER(I2104))),"",IF(G2104=Lists!$B$5,I2104/2,IF(G2104=Lists!$B$7,I2104,0)))</f>
        <v/>
      </c>
      <c r="O2104" s="53">
        <f>IF(COUNTA(A2104:K2104)=0,"",IF(OR(A2104="",B2104="",C2104="",D2104="",E2104="",F2104="",G2104="",NOT(ISNUMBER(I2104))),"Incomplete",IF(COUNTIF(Lists!$H$4:$AA$4,C2104)=0,"Check category",IF(COUNTIF(INDEX(Lists!$H$6:$AA$45,0,MATCH(C2104,Lists!$H$4:$AA$4,0)),D2104)=0,"Check sub-category","OK"))))</f>
        <v/>
      </c>
      <c r="P2104">
        <f>IF(ISNUMBER(I2104),I2104+ROW()/10000000,"")</f>
        <v/>
      </c>
      <c r="Q2104">
        <f>IF(AND(ISNUMBER(P2104),ISNUMBER(A2104)),IF(AND(A2104&gt;=Dashboard!$Q$3,A2104&lt;=Dashboard!$Q$4,OR(J2104&lt;&gt;"Yes",Dashboard!$Q$15="Yes")),P2104,""),"")</f>
        <v/>
      </c>
    </row>
    <row r="2105">
      <c r="A2105" s="47" t="n"/>
      <c r="B2105" s="48" t="n"/>
      <c r="C2105" s="48" t="n"/>
      <c r="D2105" s="48" t="n"/>
      <c r="E2105" s="48" t="n"/>
      <c r="F2105" s="48" t="n"/>
      <c r="G2105" s="48" t="n"/>
      <c r="H2105" s="48" t="n"/>
      <c r="I2105" s="49" t="n"/>
      <c r="J2105" s="50" t="n"/>
      <c r="K2105" s="48" t="n"/>
      <c r="L2105" s="51">
        <f>IF(A2105="","",DATE(YEAR(A2105),MONTH(A2105),1))</f>
        <v/>
      </c>
      <c r="M2105" s="52">
        <f>IF(OR(A2105="",NOT(ISNUMBER(I2105))),"",IF(G2105=Lists!$B$5,I2105/2,IF(G2105=Lists!$B$6,I2105,0)))</f>
        <v/>
      </c>
      <c r="N2105" s="52">
        <f>IF(OR(A2105="",NOT(ISNUMBER(I2105))),"",IF(G2105=Lists!$B$5,I2105/2,IF(G2105=Lists!$B$7,I2105,0)))</f>
        <v/>
      </c>
      <c r="O2105" s="53">
        <f>IF(COUNTA(A2105:K2105)=0,"",IF(OR(A2105="",B2105="",C2105="",D2105="",E2105="",F2105="",G2105="",NOT(ISNUMBER(I2105))),"Incomplete",IF(COUNTIF(Lists!$H$4:$AA$4,C2105)=0,"Check category",IF(COUNTIF(INDEX(Lists!$H$6:$AA$45,0,MATCH(C2105,Lists!$H$4:$AA$4,0)),D2105)=0,"Check sub-category","OK"))))</f>
        <v/>
      </c>
      <c r="P2105">
        <f>IF(ISNUMBER(I2105),I2105+ROW()/10000000,"")</f>
        <v/>
      </c>
      <c r="Q2105">
        <f>IF(AND(ISNUMBER(P2105),ISNUMBER(A2105)),IF(AND(A2105&gt;=Dashboard!$Q$3,A2105&lt;=Dashboard!$Q$4,OR(J2105&lt;&gt;"Yes",Dashboard!$Q$15="Yes")),P2105,""),"")</f>
        <v/>
      </c>
    </row>
    <row r="2106">
      <c r="A2106" s="47" t="n"/>
      <c r="B2106" s="48" t="n"/>
      <c r="C2106" s="48" t="n"/>
      <c r="D2106" s="48" t="n"/>
      <c r="E2106" s="48" t="n"/>
      <c r="F2106" s="48" t="n"/>
      <c r="G2106" s="48" t="n"/>
      <c r="H2106" s="48" t="n"/>
      <c r="I2106" s="49" t="n"/>
      <c r="J2106" s="50" t="n"/>
      <c r="K2106" s="48" t="n"/>
      <c r="L2106" s="51">
        <f>IF(A2106="","",DATE(YEAR(A2106),MONTH(A2106),1))</f>
        <v/>
      </c>
      <c r="M2106" s="52">
        <f>IF(OR(A2106="",NOT(ISNUMBER(I2106))),"",IF(G2106=Lists!$B$5,I2106/2,IF(G2106=Lists!$B$6,I2106,0)))</f>
        <v/>
      </c>
      <c r="N2106" s="52">
        <f>IF(OR(A2106="",NOT(ISNUMBER(I2106))),"",IF(G2106=Lists!$B$5,I2106/2,IF(G2106=Lists!$B$7,I2106,0)))</f>
        <v/>
      </c>
      <c r="O2106" s="53">
        <f>IF(COUNTA(A2106:K2106)=0,"",IF(OR(A2106="",B2106="",C2106="",D2106="",E2106="",F2106="",G2106="",NOT(ISNUMBER(I2106))),"Incomplete",IF(COUNTIF(Lists!$H$4:$AA$4,C2106)=0,"Check category",IF(COUNTIF(INDEX(Lists!$H$6:$AA$45,0,MATCH(C2106,Lists!$H$4:$AA$4,0)),D2106)=0,"Check sub-category","OK"))))</f>
        <v/>
      </c>
      <c r="P2106">
        <f>IF(ISNUMBER(I2106),I2106+ROW()/10000000,"")</f>
        <v/>
      </c>
      <c r="Q2106">
        <f>IF(AND(ISNUMBER(P2106),ISNUMBER(A2106)),IF(AND(A2106&gt;=Dashboard!$Q$3,A2106&lt;=Dashboard!$Q$4,OR(J2106&lt;&gt;"Yes",Dashboard!$Q$15="Yes")),P2106,""),"")</f>
        <v/>
      </c>
    </row>
    <row r="2107">
      <c r="A2107" s="47" t="n"/>
      <c r="B2107" s="48" t="n"/>
      <c r="C2107" s="48" t="n"/>
      <c r="D2107" s="48" t="n"/>
      <c r="E2107" s="48" t="n"/>
      <c r="F2107" s="48" t="n"/>
      <c r="G2107" s="48" t="n"/>
      <c r="H2107" s="48" t="n"/>
      <c r="I2107" s="49" t="n"/>
      <c r="J2107" s="50" t="n"/>
      <c r="K2107" s="48" t="n"/>
      <c r="L2107" s="51">
        <f>IF(A2107="","",DATE(YEAR(A2107),MONTH(A2107),1))</f>
        <v/>
      </c>
      <c r="M2107" s="52">
        <f>IF(OR(A2107="",NOT(ISNUMBER(I2107))),"",IF(G2107=Lists!$B$5,I2107/2,IF(G2107=Lists!$B$6,I2107,0)))</f>
        <v/>
      </c>
      <c r="N2107" s="52">
        <f>IF(OR(A2107="",NOT(ISNUMBER(I2107))),"",IF(G2107=Lists!$B$5,I2107/2,IF(G2107=Lists!$B$7,I2107,0)))</f>
        <v/>
      </c>
      <c r="O2107" s="53">
        <f>IF(COUNTA(A2107:K2107)=0,"",IF(OR(A2107="",B2107="",C2107="",D2107="",E2107="",F2107="",G2107="",NOT(ISNUMBER(I2107))),"Incomplete",IF(COUNTIF(Lists!$H$4:$AA$4,C2107)=0,"Check category",IF(COUNTIF(INDEX(Lists!$H$6:$AA$45,0,MATCH(C2107,Lists!$H$4:$AA$4,0)),D2107)=0,"Check sub-category","OK"))))</f>
        <v/>
      </c>
      <c r="P2107">
        <f>IF(ISNUMBER(I2107),I2107+ROW()/10000000,"")</f>
        <v/>
      </c>
      <c r="Q2107">
        <f>IF(AND(ISNUMBER(P2107),ISNUMBER(A2107)),IF(AND(A2107&gt;=Dashboard!$Q$3,A2107&lt;=Dashboard!$Q$4,OR(J2107&lt;&gt;"Yes",Dashboard!$Q$15="Yes")),P2107,""),"")</f>
        <v/>
      </c>
    </row>
    <row r="2108">
      <c r="A2108" s="47" t="n"/>
      <c r="B2108" s="48" t="n"/>
      <c r="C2108" s="48" t="n"/>
      <c r="D2108" s="48" t="n"/>
      <c r="E2108" s="48" t="n"/>
      <c r="F2108" s="48" t="n"/>
      <c r="G2108" s="48" t="n"/>
      <c r="H2108" s="48" t="n"/>
      <c r="I2108" s="49" t="n"/>
      <c r="J2108" s="50" t="n"/>
      <c r="K2108" s="48" t="n"/>
      <c r="L2108" s="51">
        <f>IF(A2108="","",DATE(YEAR(A2108),MONTH(A2108),1))</f>
        <v/>
      </c>
      <c r="M2108" s="52">
        <f>IF(OR(A2108="",NOT(ISNUMBER(I2108))),"",IF(G2108=Lists!$B$5,I2108/2,IF(G2108=Lists!$B$6,I2108,0)))</f>
        <v/>
      </c>
      <c r="N2108" s="52">
        <f>IF(OR(A2108="",NOT(ISNUMBER(I2108))),"",IF(G2108=Lists!$B$5,I2108/2,IF(G2108=Lists!$B$7,I2108,0)))</f>
        <v/>
      </c>
      <c r="O2108" s="53">
        <f>IF(COUNTA(A2108:K2108)=0,"",IF(OR(A2108="",B2108="",C2108="",D2108="",E2108="",F2108="",G2108="",NOT(ISNUMBER(I2108))),"Incomplete",IF(COUNTIF(Lists!$H$4:$AA$4,C2108)=0,"Check category",IF(COUNTIF(INDEX(Lists!$H$6:$AA$45,0,MATCH(C2108,Lists!$H$4:$AA$4,0)),D2108)=0,"Check sub-category","OK"))))</f>
        <v/>
      </c>
      <c r="P2108">
        <f>IF(ISNUMBER(I2108),I2108+ROW()/10000000,"")</f>
        <v/>
      </c>
      <c r="Q2108">
        <f>IF(AND(ISNUMBER(P2108),ISNUMBER(A2108)),IF(AND(A2108&gt;=Dashboard!$Q$3,A2108&lt;=Dashboard!$Q$4,OR(J2108&lt;&gt;"Yes",Dashboard!$Q$15="Yes")),P2108,""),"")</f>
        <v/>
      </c>
    </row>
    <row r="2109">
      <c r="A2109" s="47" t="n"/>
      <c r="B2109" s="48" t="n"/>
      <c r="C2109" s="48" t="n"/>
      <c r="D2109" s="48" t="n"/>
      <c r="E2109" s="48" t="n"/>
      <c r="F2109" s="48" t="n"/>
      <c r="G2109" s="48" t="n"/>
      <c r="H2109" s="48" t="n"/>
      <c r="I2109" s="49" t="n"/>
      <c r="J2109" s="50" t="n"/>
      <c r="K2109" s="48" t="n"/>
      <c r="L2109" s="51">
        <f>IF(A2109="","",DATE(YEAR(A2109),MONTH(A2109),1))</f>
        <v/>
      </c>
      <c r="M2109" s="52">
        <f>IF(OR(A2109="",NOT(ISNUMBER(I2109))),"",IF(G2109=Lists!$B$5,I2109/2,IF(G2109=Lists!$B$6,I2109,0)))</f>
        <v/>
      </c>
      <c r="N2109" s="52">
        <f>IF(OR(A2109="",NOT(ISNUMBER(I2109))),"",IF(G2109=Lists!$B$5,I2109/2,IF(G2109=Lists!$B$7,I2109,0)))</f>
        <v/>
      </c>
      <c r="O2109" s="53">
        <f>IF(COUNTA(A2109:K2109)=0,"",IF(OR(A2109="",B2109="",C2109="",D2109="",E2109="",F2109="",G2109="",NOT(ISNUMBER(I2109))),"Incomplete",IF(COUNTIF(Lists!$H$4:$AA$4,C2109)=0,"Check category",IF(COUNTIF(INDEX(Lists!$H$6:$AA$45,0,MATCH(C2109,Lists!$H$4:$AA$4,0)),D2109)=0,"Check sub-category","OK"))))</f>
        <v/>
      </c>
      <c r="P2109">
        <f>IF(ISNUMBER(I2109),I2109+ROW()/10000000,"")</f>
        <v/>
      </c>
      <c r="Q2109">
        <f>IF(AND(ISNUMBER(P2109),ISNUMBER(A2109)),IF(AND(A2109&gt;=Dashboard!$Q$3,A2109&lt;=Dashboard!$Q$4,OR(J2109&lt;&gt;"Yes",Dashboard!$Q$15="Yes")),P2109,""),"")</f>
        <v/>
      </c>
    </row>
    <row r="2110">
      <c r="A2110" s="47" t="n"/>
      <c r="B2110" s="48" t="n"/>
      <c r="C2110" s="48" t="n"/>
      <c r="D2110" s="48" t="n"/>
      <c r="E2110" s="48" t="n"/>
      <c r="F2110" s="48" t="n"/>
      <c r="G2110" s="48" t="n"/>
      <c r="H2110" s="48" t="n"/>
      <c r="I2110" s="49" t="n"/>
      <c r="J2110" s="50" t="n"/>
      <c r="K2110" s="48" t="n"/>
      <c r="L2110" s="51">
        <f>IF(A2110="","",DATE(YEAR(A2110),MONTH(A2110),1))</f>
        <v/>
      </c>
      <c r="M2110" s="52">
        <f>IF(OR(A2110="",NOT(ISNUMBER(I2110))),"",IF(G2110=Lists!$B$5,I2110/2,IF(G2110=Lists!$B$6,I2110,0)))</f>
        <v/>
      </c>
      <c r="N2110" s="52">
        <f>IF(OR(A2110="",NOT(ISNUMBER(I2110))),"",IF(G2110=Lists!$B$5,I2110/2,IF(G2110=Lists!$B$7,I2110,0)))</f>
        <v/>
      </c>
      <c r="O2110" s="53">
        <f>IF(COUNTA(A2110:K2110)=0,"",IF(OR(A2110="",B2110="",C2110="",D2110="",E2110="",F2110="",G2110="",NOT(ISNUMBER(I2110))),"Incomplete",IF(COUNTIF(Lists!$H$4:$AA$4,C2110)=0,"Check category",IF(COUNTIF(INDEX(Lists!$H$6:$AA$45,0,MATCH(C2110,Lists!$H$4:$AA$4,0)),D2110)=0,"Check sub-category","OK"))))</f>
        <v/>
      </c>
      <c r="P2110">
        <f>IF(ISNUMBER(I2110),I2110+ROW()/10000000,"")</f>
        <v/>
      </c>
      <c r="Q2110">
        <f>IF(AND(ISNUMBER(P2110),ISNUMBER(A2110)),IF(AND(A2110&gt;=Dashboard!$Q$3,A2110&lt;=Dashboard!$Q$4,OR(J2110&lt;&gt;"Yes",Dashboard!$Q$15="Yes")),P2110,""),"")</f>
        <v/>
      </c>
    </row>
    <row r="2111">
      <c r="A2111" s="47" t="n"/>
      <c r="B2111" s="48" t="n"/>
      <c r="C2111" s="48" t="n"/>
      <c r="D2111" s="48" t="n"/>
      <c r="E2111" s="48" t="n"/>
      <c r="F2111" s="48" t="n"/>
      <c r="G2111" s="48" t="n"/>
      <c r="H2111" s="48" t="n"/>
      <c r="I2111" s="49" t="n"/>
      <c r="J2111" s="50" t="n"/>
      <c r="K2111" s="48" t="n"/>
      <c r="L2111" s="51">
        <f>IF(A2111="","",DATE(YEAR(A2111),MONTH(A2111),1))</f>
        <v/>
      </c>
      <c r="M2111" s="52">
        <f>IF(OR(A2111="",NOT(ISNUMBER(I2111))),"",IF(G2111=Lists!$B$5,I2111/2,IF(G2111=Lists!$B$6,I2111,0)))</f>
        <v/>
      </c>
      <c r="N2111" s="52">
        <f>IF(OR(A2111="",NOT(ISNUMBER(I2111))),"",IF(G2111=Lists!$B$5,I2111/2,IF(G2111=Lists!$B$7,I2111,0)))</f>
        <v/>
      </c>
      <c r="O2111" s="53">
        <f>IF(COUNTA(A2111:K2111)=0,"",IF(OR(A2111="",B2111="",C2111="",D2111="",E2111="",F2111="",G2111="",NOT(ISNUMBER(I2111))),"Incomplete",IF(COUNTIF(Lists!$H$4:$AA$4,C2111)=0,"Check category",IF(COUNTIF(INDEX(Lists!$H$6:$AA$45,0,MATCH(C2111,Lists!$H$4:$AA$4,0)),D2111)=0,"Check sub-category","OK"))))</f>
        <v/>
      </c>
      <c r="P2111">
        <f>IF(ISNUMBER(I2111),I2111+ROW()/10000000,"")</f>
        <v/>
      </c>
      <c r="Q2111">
        <f>IF(AND(ISNUMBER(P2111),ISNUMBER(A2111)),IF(AND(A2111&gt;=Dashboard!$Q$3,A2111&lt;=Dashboard!$Q$4,OR(J2111&lt;&gt;"Yes",Dashboard!$Q$15="Yes")),P2111,""),"")</f>
        <v/>
      </c>
    </row>
    <row r="2112">
      <c r="A2112" s="47" t="n"/>
      <c r="B2112" s="48" t="n"/>
      <c r="C2112" s="48" t="n"/>
      <c r="D2112" s="48" t="n"/>
      <c r="E2112" s="48" t="n"/>
      <c r="F2112" s="48" t="n"/>
      <c r="G2112" s="48" t="n"/>
      <c r="H2112" s="48" t="n"/>
      <c r="I2112" s="49" t="n"/>
      <c r="J2112" s="50" t="n"/>
      <c r="K2112" s="48" t="n"/>
      <c r="L2112" s="51">
        <f>IF(A2112="","",DATE(YEAR(A2112),MONTH(A2112),1))</f>
        <v/>
      </c>
      <c r="M2112" s="52">
        <f>IF(OR(A2112="",NOT(ISNUMBER(I2112))),"",IF(G2112=Lists!$B$5,I2112/2,IF(G2112=Lists!$B$6,I2112,0)))</f>
        <v/>
      </c>
      <c r="N2112" s="52">
        <f>IF(OR(A2112="",NOT(ISNUMBER(I2112))),"",IF(G2112=Lists!$B$5,I2112/2,IF(G2112=Lists!$B$7,I2112,0)))</f>
        <v/>
      </c>
      <c r="O2112" s="53">
        <f>IF(COUNTA(A2112:K2112)=0,"",IF(OR(A2112="",B2112="",C2112="",D2112="",E2112="",F2112="",G2112="",NOT(ISNUMBER(I2112))),"Incomplete",IF(COUNTIF(Lists!$H$4:$AA$4,C2112)=0,"Check category",IF(COUNTIF(INDEX(Lists!$H$6:$AA$45,0,MATCH(C2112,Lists!$H$4:$AA$4,0)),D2112)=0,"Check sub-category","OK"))))</f>
        <v/>
      </c>
      <c r="P2112">
        <f>IF(ISNUMBER(I2112),I2112+ROW()/10000000,"")</f>
        <v/>
      </c>
      <c r="Q2112">
        <f>IF(AND(ISNUMBER(P2112),ISNUMBER(A2112)),IF(AND(A2112&gt;=Dashboard!$Q$3,A2112&lt;=Dashboard!$Q$4,OR(J2112&lt;&gt;"Yes",Dashboard!$Q$15="Yes")),P2112,""),"")</f>
        <v/>
      </c>
    </row>
    <row r="2113">
      <c r="A2113" s="47" t="n"/>
      <c r="B2113" s="48" t="n"/>
      <c r="C2113" s="48" t="n"/>
      <c r="D2113" s="48" t="n"/>
      <c r="E2113" s="48" t="n"/>
      <c r="F2113" s="48" t="n"/>
      <c r="G2113" s="48" t="n"/>
      <c r="H2113" s="48" t="n"/>
      <c r="I2113" s="49" t="n"/>
      <c r="J2113" s="50" t="n"/>
      <c r="K2113" s="48" t="n"/>
      <c r="L2113" s="51">
        <f>IF(A2113="","",DATE(YEAR(A2113),MONTH(A2113),1))</f>
        <v/>
      </c>
      <c r="M2113" s="52">
        <f>IF(OR(A2113="",NOT(ISNUMBER(I2113))),"",IF(G2113=Lists!$B$5,I2113/2,IF(G2113=Lists!$B$6,I2113,0)))</f>
        <v/>
      </c>
      <c r="N2113" s="52">
        <f>IF(OR(A2113="",NOT(ISNUMBER(I2113))),"",IF(G2113=Lists!$B$5,I2113/2,IF(G2113=Lists!$B$7,I2113,0)))</f>
        <v/>
      </c>
      <c r="O2113" s="53">
        <f>IF(COUNTA(A2113:K2113)=0,"",IF(OR(A2113="",B2113="",C2113="",D2113="",E2113="",F2113="",G2113="",NOT(ISNUMBER(I2113))),"Incomplete",IF(COUNTIF(Lists!$H$4:$AA$4,C2113)=0,"Check category",IF(COUNTIF(INDEX(Lists!$H$6:$AA$45,0,MATCH(C2113,Lists!$H$4:$AA$4,0)),D2113)=0,"Check sub-category","OK"))))</f>
        <v/>
      </c>
      <c r="P2113">
        <f>IF(ISNUMBER(I2113),I2113+ROW()/10000000,"")</f>
        <v/>
      </c>
      <c r="Q2113">
        <f>IF(AND(ISNUMBER(P2113),ISNUMBER(A2113)),IF(AND(A2113&gt;=Dashboard!$Q$3,A2113&lt;=Dashboard!$Q$4,OR(J2113&lt;&gt;"Yes",Dashboard!$Q$15="Yes")),P2113,""),"")</f>
        <v/>
      </c>
    </row>
    <row r="2114">
      <c r="A2114" s="47" t="n"/>
      <c r="B2114" s="48" t="n"/>
      <c r="C2114" s="48" t="n"/>
      <c r="D2114" s="48" t="n"/>
      <c r="E2114" s="48" t="n"/>
      <c r="F2114" s="48" t="n"/>
      <c r="G2114" s="48" t="n"/>
      <c r="H2114" s="48" t="n"/>
      <c r="I2114" s="49" t="n"/>
      <c r="J2114" s="50" t="n"/>
      <c r="K2114" s="48" t="n"/>
      <c r="L2114" s="51">
        <f>IF(A2114="","",DATE(YEAR(A2114),MONTH(A2114),1))</f>
        <v/>
      </c>
      <c r="M2114" s="52">
        <f>IF(OR(A2114="",NOT(ISNUMBER(I2114))),"",IF(G2114=Lists!$B$5,I2114/2,IF(G2114=Lists!$B$6,I2114,0)))</f>
        <v/>
      </c>
      <c r="N2114" s="52">
        <f>IF(OR(A2114="",NOT(ISNUMBER(I2114))),"",IF(G2114=Lists!$B$5,I2114/2,IF(G2114=Lists!$B$7,I2114,0)))</f>
        <v/>
      </c>
      <c r="O2114" s="53">
        <f>IF(COUNTA(A2114:K2114)=0,"",IF(OR(A2114="",B2114="",C2114="",D2114="",E2114="",F2114="",G2114="",NOT(ISNUMBER(I2114))),"Incomplete",IF(COUNTIF(Lists!$H$4:$AA$4,C2114)=0,"Check category",IF(COUNTIF(INDEX(Lists!$H$6:$AA$45,0,MATCH(C2114,Lists!$H$4:$AA$4,0)),D2114)=0,"Check sub-category","OK"))))</f>
        <v/>
      </c>
      <c r="P2114">
        <f>IF(ISNUMBER(I2114),I2114+ROW()/10000000,"")</f>
        <v/>
      </c>
      <c r="Q2114">
        <f>IF(AND(ISNUMBER(P2114),ISNUMBER(A2114)),IF(AND(A2114&gt;=Dashboard!$Q$3,A2114&lt;=Dashboard!$Q$4,OR(J2114&lt;&gt;"Yes",Dashboard!$Q$15="Yes")),P2114,""),"")</f>
        <v/>
      </c>
    </row>
    <row r="2115">
      <c r="A2115" s="47" t="n"/>
      <c r="B2115" s="48" t="n"/>
      <c r="C2115" s="48" t="n"/>
      <c r="D2115" s="48" t="n"/>
      <c r="E2115" s="48" t="n"/>
      <c r="F2115" s="48" t="n"/>
      <c r="G2115" s="48" t="n"/>
      <c r="H2115" s="48" t="n"/>
      <c r="I2115" s="49" t="n"/>
      <c r="J2115" s="50" t="n"/>
      <c r="K2115" s="48" t="n"/>
      <c r="L2115" s="51">
        <f>IF(A2115="","",DATE(YEAR(A2115),MONTH(A2115),1))</f>
        <v/>
      </c>
      <c r="M2115" s="52">
        <f>IF(OR(A2115="",NOT(ISNUMBER(I2115))),"",IF(G2115=Lists!$B$5,I2115/2,IF(G2115=Lists!$B$6,I2115,0)))</f>
        <v/>
      </c>
      <c r="N2115" s="52">
        <f>IF(OR(A2115="",NOT(ISNUMBER(I2115))),"",IF(G2115=Lists!$B$5,I2115/2,IF(G2115=Lists!$B$7,I2115,0)))</f>
        <v/>
      </c>
      <c r="O2115" s="53">
        <f>IF(COUNTA(A2115:K2115)=0,"",IF(OR(A2115="",B2115="",C2115="",D2115="",E2115="",F2115="",G2115="",NOT(ISNUMBER(I2115))),"Incomplete",IF(COUNTIF(Lists!$H$4:$AA$4,C2115)=0,"Check category",IF(COUNTIF(INDEX(Lists!$H$6:$AA$45,0,MATCH(C2115,Lists!$H$4:$AA$4,0)),D2115)=0,"Check sub-category","OK"))))</f>
        <v/>
      </c>
      <c r="P2115">
        <f>IF(ISNUMBER(I2115),I2115+ROW()/10000000,"")</f>
        <v/>
      </c>
      <c r="Q2115">
        <f>IF(AND(ISNUMBER(P2115),ISNUMBER(A2115)),IF(AND(A2115&gt;=Dashboard!$Q$3,A2115&lt;=Dashboard!$Q$4,OR(J2115&lt;&gt;"Yes",Dashboard!$Q$15="Yes")),P2115,""),"")</f>
        <v/>
      </c>
    </row>
    <row r="2116">
      <c r="A2116" s="47" t="n"/>
      <c r="B2116" s="48" t="n"/>
      <c r="C2116" s="48" t="n"/>
      <c r="D2116" s="48" t="n"/>
      <c r="E2116" s="48" t="n"/>
      <c r="F2116" s="48" t="n"/>
      <c r="G2116" s="48" t="n"/>
      <c r="H2116" s="48" t="n"/>
      <c r="I2116" s="49" t="n"/>
      <c r="J2116" s="50" t="n"/>
      <c r="K2116" s="48" t="n"/>
      <c r="L2116" s="51">
        <f>IF(A2116="","",DATE(YEAR(A2116),MONTH(A2116),1))</f>
        <v/>
      </c>
      <c r="M2116" s="52">
        <f>IF(OR(A2116="",NOT(ISNUMBER(I2116))),"",IF(G2116=Lists!$B$5,I2116/2,IF(G2116=Lists!$B$6,I2116,0)))</f>
        <v/>
      </c>
      <c r="N2116" s="52">
        <f>IF(OR(A2116="",NOT(ISNUMBER(I2116))),"",IF(G2116=Lists!$B$5,I2116/2,IF(G2116=Lists!$B$7,I2116,0)))</f>
        <v/>
      </c>
      <c r="O2116" s="53">
        <f>IF(COUNTA(A2116:K2116)=0,"",IF(OR(A2116="",B2116="",C2116="",D2116="",E2116="",F2116="",G2116="",NOT(ISNUMBER(I2116))),"Incomplete",IF(COUNTIF(Lists!$H$4:$AA$4,C2116)=0,"Check category",IF(COUNTIF(INDEX(Lists!$H$6:$AA$45,0,MATCH(C2116,Lists!$H$4:$AA$4,0)),D2116)=0,"Check sub-category","OK"))))</f>
        <v/>
      </c>
      <c r="P2116">
        <f>IF(ISNUMBER(I2116),I2116+ROW()/10000000,"")</f>
        <v/>
      </c>
      <c r="Q2116">
        <f>IF(AND(ISNUMBER(P2116),ISNUMBER(A2116)),IF(AND(A2116&gt;=Dashboard!$Q$3,A2116&lt;=Dashboard!$Q$4,OR(J2116&lt;&gt;"Yes",Dashboard!$Q$15="Yes")),P2116,""),"")</f>
        <v/>
      </c>
    </row>
    <row r="2117">
      <c r="A2117" s="47" t="n"/>
      <c r="B2117" s="48" t="n"/>
      <c r="C2117" s="48" t="n"/>
      <c r="D2117" s="48" t="n"/>
      <c r="E2117" s="48" t="n"/>
      <c r="F2117" s="48" t="n"/>
      <c r="G2117" s="48" t="n"/>
      <c r="H2117" s="48" t="n"/>
      <c r="I2117" s="49" t="n"/>
      <c r="J2117" s="50" t="n"/>
      <c r="K2117" s="48" t="n"/>
      <c r="L2117" s="51">
        <f>IF(A2117="","",DATE(YEAR(A2117),MONTH(A2117),1))</f>
        <v/>
      </c>
      <c r="M2117" s="52">
        <f>IF(OR(A2117="",NOT(ISNUMBER(I2117))),"",IF(G2117=Lists!$B$5,I2117/2,IF(G2117=Lists!$B$6,I2117,0)))</f>
        <v/>
      </c>
      <c r="N2117" s="52">
        <f>IF(OR(A2117="",NOT(ISNUMBER(I2117))),"",IF(G2117=Lists!$B$5,I2117/2,IF(G2117=Lists!$B$7,I2117,0)))</f>
        <v/>
      </c>
      <c r="O2117" s="53">
        <f>IF(COUNTA(A2117:K2117)=0,"",IF(OR(A2117="",B2117="",C2117="",D2117="",E2117="",F2117="",G2117="",NOT(ISNUMBER(I2117))),"Incomplete",IF(COUNTIF(Lists!$H$4:$AA$4,C2117)=0,"Check category",IF(COUNTIF(INDEX(Lists!$H$6:$AA$45,0,MATCH(C2117,Lists!$H$4:$AA$4,0)),D2117)=0,"Check sub-category","OK"))))</f>
        <v/>
      </c>
      <c r="P2117">
        <f>IF(ISNUMBER(I2117),I2117+ROW()/10000000,"")</f>
        <v/>
      </c>
      <c r="Q2117">
        <f>IF(AND(ISNUMBER(P2117),ISNUMBER(A2117)),IF(AND(A2117&gt;=Dashboard!$Q$3,A2117&lt;=Dashboard!$Q$4,OR(J2117&lt;&gt;"Yes",Dashboard!$Q$15="Yes")),P2117,""),"")</f>
        <v/>
      </c>
    </row>
    <row r="2118">
      <c r="A2118" s="47" t="n"/>
      <c r="B2118" s="48" t="n"/>
      <c r="C2118" s="48" t="n"/>
      <c r="D2118" s="48" t="n"/>
      <c r="E2118" s="48" t="n"/>
      <c r="F2118" s="48" t="n"/>
      <c r="G2118" s="48" t="n"/>
      <c r="H2118" s="48" t="n"/>
      <c r="I2118" s="49" t="n"/>
      <c r="J2118" s="50" t="n"/>
      <c r="K2118" s="48" t="n"/>
      <c r="L2118" s="51">
        <f>IF(A2118="","",DATE(YEAR(A2118),MONTH(A2118),1))</f>
        <v/>
      </c>
      <c r="M2118" s="52">
        <f>IF(OR(A2118="",NOT(ISNUMBER(I2118))),"",IF(G2118=Lists!$B$5,I2118/2,IF(G2118=Lists!$B$6,I2118,0)))</f>
        <v/>
      </c>
      <c r="N2118" s="52">
        <f>IF(OR(A2118="",NOT(ISNUMBER(I2118))),"",IF(G2118=Lists!$B$5,I2118/2,IF(G2118=Lists!$B$7,I2118,0)))</f>
        <v/>
      </c>
      <c r="O2118" s="53">
        <f>IF(COUNTA(A2118:K2118)=0,"",IF(OR(A2118="",B2118="",C2118="",D2118="",E2118="",F2118="",G2118="",NOT(ISNUMBER(I2118))),"Incomplete",IF(COUNTIF(Lists!$H$4:$AA$4,C2118)=0,"Check category",IF(COUNTIF(INDEX(Lists!$H$6:$AA$45,0,MATCH(C2118,Lists!$H$4:$AA$4,0)),D2118)=0,"Check sub-category","OK"))))</f>
        <v/>
      </c>
      <c r="P2118">
        <f>IF(ISNUMBER(I2118),I2118+ROW()/10000000,"")</f>
        <v/>
      </c>
      <c r="Q2118">
        <f>IF(AND(ISNUMBER(P2118),ISNUMBER(A2118)),IF(AND(A2118&gt;=Dashboard!$Q$3,A2118&lt;=Dashboard!$Q$4,OR(J2118&lt;&gt;"Yes",Dashboard!$Q$15="Yes")),P2118,""),"")</f>
        <v/>
      </c>
    </row>
    <row r="2119">
      <c r="A2119" s="47" t="n"/>
      <c r="B2119" s="48" t="n"/>
      <c r="C2119" s="48" t="n"/>
      <c r="D2119" s="48" t="n"/>
      <c r="E2119" s="48" t="n"/>
      <c r="F2119" s="48" t="n"/>
      <c r="G2119" s="48" t="n"/>
      <c r="H2119" s="48" t="n"/>
      <c r="I2119" s="49" t="n"/>
      <c r="J2119" s="50" t="n"/>
      <c r="K2119" s="48" t="n"/>
      <c r="L2119" s="51">
        <f>IF(A2119="","",DATE(YEAR(A2119),MONTH(A2119),1))</f>
        <v/>
      </c>
      <c r="M2119" s="52">
        <f>IF(OR(A2119="",NOT(ISNUMBER(I2119))),"",IF(G2119=Lists!$B$5,I2119/2,IF(G2119=Lists!$B$6,I2119,0)))</f>
        <v/>
      </c>
      <c r="N2119" s="52">
        <f>IF(OR(A2119="",NOT(ISNUMBER(I2119))),"",IF(G2119=Lists!$B$5,I2119/2,IF(G2119=Lists!$B$7,I2119,0)))</f>
        <v/>
      </c>
      <c r="O2119" s="53">
        <f>IF(COUNTA(A2119:K2119)=0,"",IF(OR(A2119="",B2119="",C2119="",D2119="",E2119="",F2119="",G2119="",NOT(ISNUMBER(I2119))),"Incomplete",IF(COUNTIF(Lists!$H$4:$AA$4,C2119)=0,"Check category",IF(COUNTIF(INDEX(Lists!$H$6:$AA$45,0,MATCH(C2119,Lists!$H$4:$AA$4,0)),D2119)=0,"Check sub-category","OK"))))</f>
        <v/>
      </c>
      <c r="P2119">
        <f>IF(ISNUMBER(I2119),I2119+ROW()/10000000,"")</f>
        <v/>
      </c>
      <c r="Q2119">
        <f>IF(AND(ISNUMBER(P2119),ISNUMBER(A2119)),IF(AND(A2119&gt;=Dashboard!$Q$3,A2119&lt;=Dashboard!$Q$4,OR(J2119&lt;&gt;"Yes",Dashboard!$Q$15="Yes")),P2119,""),"")</f>
        <v/>
      </c>
    </row>
    <row r="2120">
      <c r="A2120" s="47" t="n"/>
      <c r="B2120" s="48" t="n"/>
      <c r="C2120" s="48" t="n"/>
      <c r="D2120" s="48" t="n"/>
      <c r="E2120" s="48" t="n"/>
      <c r="F2120" s="48" t="n"/>
      <c r="G2120" s="48" t="n"/>
      <c r="H2120" s="48" t="n"/>
      <c r="I2120" s="49" t="n"/>
      <c r="J2120" s="50" t="n"/>
      <c r="K2120" s="48" t="n"/>
      <c r="L2120" s="51">
        <f>IF(A2120="","",DATE(YEAR(A2120),MONTH(A2120),1))</f>
        <v/>
      </c>
      <c r="M2120" s="52">
        <f>IF(OR(A2120="",NOT(ISNUMBER(I2120))),"",IF(G2120=Lists!$B$5,I2120/2,IF(G2120=Lists!$B$6,I2120,0)))</f>
        <v/>
      </c>
      <c r="N2120" s="52">
        <f>IF(OR(A2120="",NOT(ISNUMBER(I2120))),"",IF(G2120=Lists!$B$5,I2120/2,IF(G2120=Lists!$B$7,I2120,0)))</f>
        <v/>
      </c>
      <c r="O2120" s="53">
        <f>IF(COUNTA(A2120:K2120)=0,"",IF(OR(A2120="",B2120="",C2120="",D2120="",E2120="",F2120="",G2120="",NOT(ISNUMBER(I2120))),"Incomplete",IF(COUNTIF(Lists!$H$4:$AA$4,C2120)=0,"Check category",IF(COUNTIF(INDEX(Lists!$H$6:$AA$45,0,MATCH(C2120,Lists!$H$4:$AA$4,0)),D2120)=0,"Check sub-category","OK"))))</f>
        <v/>
      </c>
      <c r="P2120">
        <f>IF(ISNUMBER(I2120),I2120+ROW()/10000000,"")</f>
        <v/>
      </c>
      <c r="Q2120">
        <f>IF(AND(ISNUMBER(P2120),ISNUMBER(A2120)),IF(AND(A2120&gt;=Dashboard!$Q$3,A2120&lt;=Dashboard!$Q$4,OR(J2120&lt;&gt;"Yes",Dashboard!$Q$15="Yes")),P2120,""),"")</f>
        <v/>
      </c>
    </row>
    <row r="2121">
      <c r="A2121" s="47" t="n"/>
      <c r="B2121" s="48" t="n"/>
      <c r="C2121" s="48" t="n"/>
      <c r="D2121" s="48" t="n"/>
      <c r="E2121" s="48" t="n"/>
      <c r="F2121" s="48" t="n"/>
      <c r="G2121" s="48" t="n"/>
      <c r="H2121" s="48" t="n"/>
      <c r="I2121" s="49" t="n"/>
      <c r="J2121" s="50" t="n"/>
      <c r="K2121" s="48" t="n"/>
      <c r="L2121" s="51">
        <f>IF(A2121="","",DATE(YEAR(A2121),MONTH(A2121),1))</f>
        <v/>
      </c>
      <c r="M2121" s="52">
        <f>IF(OR(A2121="",NOT(ISNUMBER(I2121))),"",IF(G2121=Lists!$B$5,I2121/2,IF(G2121=Lists!$B$6,I2121,0)))</f>
        <v/>
      </c>
      <c r="N2121" s="52">
        <f>IF(OR(A2121="",NOT(ISNUMBER(I2121))),"",IF(G2121=Lists!$B$5,I2121/2,IF(G2121=Lists!$B$7,I2121,0)))</f>
        <v/>
      </c>
      <c r="O2121" s="53">
        <f>IF(COUNTA(A2121:K2121)=0,"",IF(OR(A2121="",B2121="",C2121="",D2121="",E2121="",F2121="",G2121="",NOT(ISNUMBER(I2121))),"Incomplete",IF(COUNTIF(Lists!$H$4:$AA$4,C2121)=0,"Check category",IF(COUNTIF(INDEX(Lists!$H$6:$AA$45,0,MATCH(C2121,Lists!$H$4:$AA$4,0)),D2121)=0,"Check sub-category","OK"))))</f>
        <v/>
      </c>
      <c r="P2121">
        <f>IF(ISNUMBER(I2121),I2121+ROW()/10000000,"")</f>
        <v/>
      </c>
      <c r="Q2121">
        <f>IF(AND(ISNUMBER(P2121),ISNUMBER(A2121)),IF(AND(A2121&gt;=Dashboard!$Q$3,A2121&lt;=Dashboard!$Q$4,OR(J2121&lt;&gt;"Yes",Dashboard!$Q$15="Yes")),P2121,""),"")</f>
        <v/>
      </c>
    </row>
    <row r="2122">
      <c r="A2122" s="47" t="n"/>
      <c r="B2122" s="48" t="n"/>
      <c r="C2122" s="48" t="n"/>
      <c r="D2122" s="48" t="n"/>
      <c r="E2122" s="48" t="n"/>
      <c r="F2122" s="48" t="n"/>
      <c r="G2122" s="48" t="n"/>
      <c r="H2122" s="48" t="n"/>
      <c r="I2122" s="49" t="n"/>
      <c r="J2122" s="50" t="n"/>
      <c r="K2122" s="48" t="n"/>
      <c r="L2122" s="51">
        <f>IF(A2122="","",DATE(YEAR(A2122),MONTH(A2122),1))</f>
        <v/>
      </c>
      <c r="M2122" s="52">
        <f>IF(OR(A2122="",NOT(ISNUMBER(I2122))),"",IF(G2122=Lists!$B$5,I2122/2,IF(G2122=Lists!$B$6,I2122,0)))</f>
        <v/>
      </c>
      <c r="N2122" s="52">
        <f>IF(OR(A2122="",NOT(ISNUMBER(I2122))),"",IF(G2122=Lists!$B$5,I2122/2,IF(G2122=Lists!$B$7,I2122,0)))</f>
        <v/>
      </c>
      <c r="O2122" s="53">
        <f>IF(COUNTA(A2122:K2122)=0,"",IF(OR(A2122="",B2122="",C2122="",D2122="",E2122="",F2122="",G2122="",NOT(ISNUMBER(I2122))),"Incomplete",IF(COUNTIF(Lists!$H$4:$AA$4,C2122)=0,"Check category",IF(COUNTIF(INDEX(Lists!$H$6:$AA$45,0,MATCH(C2122,Lists!$H$4:$AA$4,0)),D2122)=0,"Check sub-category","OK"))))</f>
        <v/>
      </c>
      <c r="P2122">
        <f>IF(ISNUMBER(I2122),I2122+ROW()/10000000,"")</f>
        <v/>
      </c>
      <c r="Q2122">
        <f>IF(AND(ISNUMBER(P2122),ISNUMBER(A2122)),IF(AND(A2122&gt;=Dashboard!$Q$3,A2122&lt;=Dashboard!$Q$4,OR(J2122&lt;&gt;"Yes",Dashboard!$Q$15="Yes")),P2122,""),"")</f>
        <v/>
      </c>
    </row>
    <row r="2123">
      <c r="A2123" s="47" t="n"/>
      <c r="B2123" s="48" t="n"/>
      <c r="C2123" s="48" t="n"/>
      <c r="D2123" s="48" t="n"/>
      <c r="E2123" s="48" t="n"/>
      <c r="F2123" s="48" t="n"/>
      <c r="G2123" s="48" t="n"/>
      <c r="H2123" s="48" t="n"/>
      <c r="I2123" s="49" t="n"/>
      <c r="J2123" s="50" t="n"/>
      <c r="K2123" s="48" t="n"/>
      <c r="L2123" s="51">
        <f>IF(A2123="","",DATE(YEAR(A2123),MONTH(A2123),1))</f>
        <v/>
      </c>
      <c r="M2123" s="52">
        <f>IF(OR(A2123="",NOT(ISNUMBER(I2123))),"",IF(G2123=Lists!$B$5,I2123/2,IF(G2123=Lists!$B$6,I2123,0)))</f>
        <v/>
      </c>
      <c r="N2123" s="52">
        <f>IF(OR(A2123="",NOT(ISNUMBER(I2123))),"",IF(G2123=Lists!$B$5,I2123/2,IF(G2123=Lists!$B$7,I2123,0)))</f>
        <v/>
      </c>
      <c r="O2123" s="53">
        <f>IF(COUNTA(A2123:K2123)=0,"",IF(OR(A2123="",B2123="",C2123="",D2123="",E2123="",F2123="",G2123="",NOT(ISNUMBER(I2123))),"Incomplete",IF(COUNTIF(Lists!$H$4:$AA$4,C2123)=0,"Check category",IF(COUNTIF(INDEX(Lists!$H$6:$AA$45,0,MATCH(C2123,Lists!$H$4:$AA$4,0)),D2123)=0,"Check sub-category","OK"))))</f>
        <v/>
      </c>
      <c r="P2123">
        <f>IF(ISNUMBER(I2123),I2123+ROW()/10000000,"")</f>
        <v/>
      </c>
      <c r="Q2123">
        <f>IF(AND(ISNUMBER(P2123),ISNUMBER(A2123)),IF(AND(A2123&gt;=Dashboard!$Q$3,A2123&lt;=Dashboard!$Q$4,OR(J2123&lt;&gt;"Yes",Dashboard!$Q$15="Yes")),P2123,""),"")</f>
        <v/>
      </c>
    </row>
    <row r="2124">
      <c r="A2124" s="47" t="n"/>
      <c r="B2124" s="48" t="n"/>
      <c r="C2124" s="48" t="n"/>
      <c r="D2124" s="48" t="n"/>
      <c r="E2124" s="48" t="n"/>
      <c r="F2124" s="48" t="n"/>
      <c r="G2124" s="48" t="n"/>
      <c r="H2124" s="48" t="n"/>
      <c r="I2124" s="49" t="n"/>
      <c r="J2124" s="50" t="n"/>
      <c r="K2124" s="48" t="n"/>
      <c r="L2124" s="51">
        <f>IF(A2124="","",DATE(YEAR(A2124),MONTH(A2124),1))</f>
        <v/>
      </c>
      <c r="M2124" s="52">
        <f>IF(OR(A2124="",NOT(ISNUMBER(I2124))),"",IF(G2124=Lists!$B$5,I2124/2,IF(G2124=Lists!$B$6,I2124,0)))</f>
        <v/>
      </c>
      <c r="N2124" s="52">
        <f>IF(OR(A2124="",NOT(ISNUMBER(I2124))),"",IF(G2124=Lists!$B$5,I2124/2,IF(G2124=Lists!$B$7,I2124,0)))</f>
        <v/>
      </c>
      <c r="O2124" s="53">
        <f>IF(COUNTA(A2124:K2124)=0,"",IF(OR(A2124="",B2124="",C2124="",D2124="",E2124="",F2124="",G2124="",NOT(ISNUMBER(I2124))),"Incomplete",IF(COUNTIF(Lists!$H$4:$AA$4,C2124)=0,"Check category",IF(COUNTIF(INDEX(Lists!$H$6:$AA$45,0,MATCH(C2124,Lists!$H$4:$AA$4,0)),D2124)=0,"Check sub-category","OK"))))</f>
        <v/>
      </c>
      <c r="P2124">
        <f>IF(ISNUMBER(I2124),I2124+ROW()/10000000,"")</f>
        <v/>
      </c>
      <c r="Q2124">
        <f>IF(AND(ISNUMBER(P2124),ISNUMBER(A2124)),IF(AND(A2124&gt;=Dashboard!$Q$3,A2124&lt;=Dashboard!$Q$4,OR(J2124&lt;&gt;"Yes",Dashboard!$Q$15="Yes")),P2124,""),"")</f>
        <v/>
      </c>
    </row>
    <row r="2125">
      <c r="A2125" s="47" t="n"/>
      <c r="B2125" s="48" t="n"/>
      <c r="C2125" s="48" t="n"/>
      <c r="D2125" s="48" t="n"/>
      <c r="E2125" s="48" t="n"/>
      <c r="F2125" s="48" t="n"/>
      <c r="G2125" s="48" t="n"/>
      <c r="H2125" s="48" t="n"/>
      <c r="I2125" s="49" t="n"/>
      <c r="J2125" s="50" t="n"/>
      <c r="K2125" s="48" t="n"/>
      <c r="L2125" s="51">
        <f>IF(A2125="","",DATE(YEAR(A2125),MONTH(A2125),1))</f>
        <v/>
      </c>
      <c r="M2125" s="52">
        <f>IF(OR(A2125="",NOT(ISNUMBER(I2125))),"",IF(G2125=Lists!$B$5,I2125/2,IF(G2125=Lists!$B$6,I2125,0)))</f>
        <v/>
      </c>
      <c r="N2125" s="52">
        <f>IF(OR(A2125="",NOT(ISNUMBER(I2125))),"",IF(G2125=Lists!$B$5,I2125/2,IF(G2125=Lists!$B$7,I2125,0)))</f>
        <v/>
      </c>
      <c r="O2125" s="53">
        <f>IF(COUNTA(A2125:K2125)=0,"",IF(OR(A2125="",B2125="",C2125="",D2125="",E2125="",F2125="",G2125="",NOT(ISNUMBER(I2125))),"Incomplete",IF(COUNTIF(Lists!$H$4:$AA$4,C2125)=0,"Check category",IF(COUNTIF(INDEX(Lists!$H$6:$AA$45,0,MATCH(C2125,Lists!$H$4:$AA$4,0)),D2125)=0,"Check sub-category","OK"))))</f>
        <v/>
      </c>
      <c r="P2125">
        <f>IF(ISNUMBER(I2125),I2125+ROW()/10000000,"")</f>
        <v/>
      </c>
      <c r="Q2125">
        <f>IF(AND(ISNUMBER(P2125),ISNUMBER(A2125)),IF(AND(A2125&gt;=Dashboard!$Q$3,A2125&lt;=Dashboard!$Q$4,OR(J2125&lt;&gt;"Yes",Dashboard!$Q$15="Yes")),P2125,""),"")</f>
        <v/>
      </c>
    </row>
    <row r="2126">
      <c r="A2126" s="47" t="n"/>
      <c r="B2126" s="48" t="n"/>
      <c r="C2126" s="48" t="n"/>
      <c r="D2126" s="48" t="n"/>
      <c r="E2126" s="48" t="n"/>
      <c r="F2126" s="48" t="n"/>
      <c r="G2126" s="48" t="n"/>
      <c r="H2126" s="48" t="n"/>
      <c r="I2126" s="49" t="n"/>
      <c r="J2126" s="50" t="n"/>
      <c r="K2126" s="48" t="n"/>
      <c r="L2126" s="51">
        <f>IF(A2126="","",DATE(YEAR(A2126),MONTH(A2126),1))</f>
        <v/>
      </c>
      <c r="M2126" s="52">
        <f>IF(OR(A2126="",NOT(ISNUMBER(I2126))),"",IF(G2126=Lists!$B$5,I2126/2,IF(G2126=Lists!$B$6,I2126,0)))</f>
        <v/>
      </c>
      <c r="N2126" s="52">
        <f>IF(OR(A2126="",NOT(ISNUMBER(I2126))),"",IF(G2126=Lists!$B$5,I2126/2,IF(G2126=Lists!$B$7,I2126,0)))</f>
        <v/>
      </c>
      <c r="O2126" s="53">
        <f>IF(COUNTA(A2126:K2126)=0,"",IF(OR(A2126="",B2126="",C2126="",D2126="",E2126="",F2126="",G2126="",NOT(ISNUMBER(I2126))),"Incomplete",IF(COUNTIF(Lists!$H$4:$AA$4,C2126)=0,"Check category",IF(COUNTIF(INDEX(Lists!$H$6:$AA$45,0,MATCH(C2126,Lists!$H$4:$AA$4,0)),D2126)=0,"Check sub-category","OK"))))</f>
        <v/>
      </c>
      <c r="P2126">
        <f>IF(ISNUMBER(I2126),I2126+ROW()/10000000,"")</f>
        <v/>
      </c>
      <c r="Q2126">
        <f>IF(AND(ISNUMBER(P2126),ISNUMBER(A2126)),IF(AND(A2126&gt;=Dashboard!$Q$3,A2126&lt;=Dashboard!$Q$4,OR(J2126&lt;&gt;"Yes",Dashboard!$Q$15="Yes")),P2126,""),"")</f>
        <v/>
      </c>
    </row>
    <row r="2127">
      <c r="A2127" s="47" t="n"/>
      <c r="B2127" s="48" t="n"/>
      <c r="C2127" s="48" t="n"/>
      <c r="D2127" s="48" t="n"/>
      <c r="E2127" s="48" t="n"/>
      <c r="F2127" s="48" t="n"/>
      <c r="G2127" s="48" t="n"/>
      <c r="H2127" s="48" t="n"/>
      <c r="I2127" s="49" t="n"/>
      <c r="J2127" s="50" t="n"/>
      <c r="K2127" s="48" t="n"/>
      <c r="L2127" s="51">
        <f>IF(A2127="","",DATE(YEAR(A2127),MONTH(A2127),1))</f>
        <v/>
      </c>
      <c r="M2127" s="52">
        <f>IF(OR(A2127="",NOT(ISNUMBER(I2127))),"",IF(G2127=Lists!$B$5,I2127/2,IF(G2127=Lists!$B$6,I2127,0)))</f>
        <v/>
      </c>
      <c r="N2127" s="52">
        <f>IF(OR(A2127="",NOT(ISNUMBER(I2127))),"",IF(G2127=Lists!$B$5,I2127/2,IF(G2127=Lists!$B$7,I2127,0)))</f>
        <v/>
      </c>
      <c r="O2127" s="53">
        <f>IF(COUNTA(A2127:K2127)=0,"",IF(OR(A2127="",B2127="",C2127="",D2127="",E2127="",F2127="",G2127="",NOT(ISNUMBER(I2127))),"Incomplete",IF(COUNTIF(Lists!$H$4:$AA$4,C2127)=0,"Check category",IF(COUNTIF(INDEX(Lists!$H$6:$AA$45,0,MATCH(C2127,Lists!$H$4:$AA$4,0)),D2127)=0,"Check sub-category","OK"))))</f>
        <v/>
      </c>
      <c r="P2127">
        <f>IF(ISNUMBER(I2127),I2127+ROW()/10000000,"")</f>
        <v/>
      </c>
      <c r="Q2127">
        <f>IF(AND(ISNUMBER(P2127),ISNUMBER(A2127)),IF(AND(A2127&gt;=Dashboard!$Q$3,A2127&lt;=Dashboard!$Q$4,OR(J2127&lt;&gt;"Yes",Dashboard!$Q$15="Yes")),P2127,""),"")</f>
        <v/>
      </c>
    </row>
    <row r="2128">
      <c r="A2128" s="47" t="n"/>
      <c r="B2128" s="48" t="n"/>
      <c r="C2128" s="48" t="n"/>
      <c r="D2128" s="48" t="n"/>
      <c r="E2128" s="48" t="n"/>
      <c r="F2128" s="48" t="n"/>
      <c r="G2128" s="48" t="n"/>
      <c r="H2128" s="48" t="n"/>
      <c r="I2128" s="49" t="n"/>
      <c r="J2128" s="50" t="n"/>
      <c r="K2128" s="48" t="n"/>
      <c r="L2128" s="51">
        <f>IF(A2128="","",DATE(YEAR(A2128),MONTH(A2128),1))</f>
        <v/>
      </c>
      <c r="M2128" s="52">
        <f>IF(OR(A2128="",NOT(ISNUMBER(I2128))),"",IF(G2128=Lists!$B$5,I2128/2,IF(G2128=Lists!$B$6,I2128,0)))</f>
        <v/>
      </c>
      <c r="N2128" s="52">
        <f>IF(OR(A2128="",NOT(ISNUMBER(I2128))),"",IF(G2128=Lists!$B$5,I2128/2,IF(G2128=Lists!$B$7,I2128,0)))</f>
        <v/>
      </c>
      <c r="O2128" s="53">
        <f>IF(COUNTA(A2128:K2128)=0,"",IF(OR(A2128="",B2128="",C2128="",D2128="",E2128="",F2128="",G2128="",NOT(ISNUMBER(I2128))),"Incomplete",IF(COUNTIF(Lists!$H$4:$AA$4,C2128)=0,"Check category",IF(COUNTIF(INDEX(Lists!$H$6:$AA$45,0,MATCH(C2128,Lists!$H$4:$AA$4,0)),D2128)=0,"Check sub-category","OK"))))</f>
        <v/>
      </c>
      <c r="P2128">
        <f>IF(ISNUMBER(I2128),I2128+ROW()/10000000,"")</f>
        <v/>
      </c>
      <c r="Q2128">
        <f>IF(AND(ISNUMBER(P2128),ISNUMBER(A2128)),IF(AND(A2128&gt;=Dashboard!$Q$3,A2128&lt;=Dashboard!$Q$4,OR(J2128&lt;&gt;"Yes",Dashboard!$Q$15="Yes")),P2128,""),"")</f>
        <v/>
      </c>
    </row>
    <row r="2129">
      <c r="A2129" s="47" t="n"/>
      <c r="B2129" s="48" t="n"/>
      <c r="C2129" s="48" t="n"/>
      <c r="D2129" s="48" t="n"/>
      <c r="E2129" s="48" t="n"/>
      <c r="F2129" s="48" t="n"/>
      <c r="G2129" s="48" t="n"/>
      <c r="H2129" s="48" t="n"/>
      <c r="I2129" s="49" t="n"/>
      <c r="J2129" s="50" t="n"/>
      <c r="K2129" s="48" t="n"/>
      <c r="L2129" s="51">
        <f>IF(A2129="","",DATE(YEAR(A2129),MONTH(A2129),1))</f>
        <v/>
      </c>
      <c r="M2129" s="52">
        <f>IF(OR(A2129="",NOT(ISNUMBER(I2129))),"",IF(G2129=Lists!$B$5,I2129/2,IF(G2129=Lists!$B$6,I2129,0)))</f>
        <v/>
      </c>
      <c r="N2129" s="52">
        <f>IF(OR(A2129="",NOT(ISNUMBER(I2129))),"",IF(G2129=Lists!$B$5,I2129/2,IF(G2129=Lists!$B$7,I2129,0)))</f>
        <v/>
      </c>
      <c r="O2129" s="53">
        <f>IF(COUNTA(A2129:K2129)=0,"",IF(OR(A2129="",B2129="",C2129="",D2129="",E2129="",F2129="",G2129="",NOT(ISNUMBER(I2129))),"Incomplete",IF(COUNTIF(Lists!$H$4:$AA$4,C2129)=0,"Check category",IF(COUNTIF(INDEX(Lists!$H$6:$AA$45,0,MATCH(C2129,Lists!$H$4:$AA$4,0)),D2129)=0,"Check sub-category","OK"))))</f>
        <v/>
      </c>
      <c r="P2129">
        <f>IF(ISNUMBER(I2129),I2129+ROW()/10000000,"")</f>
        <v/>
      </c>
      <c r="Q2129">
        <f>IF(AND(ISNUMBER(P2129),ISNUMBER(A2129)),IF(AND(A2129&gt;=Dashboard!$Q$3,A2129&lt;=Dashboard!$Q$4,OR(J2129&lt;&gt;"Yes",Dashboard!$Q$15="Yes")),P2129,""),"")</f>
        <v/>
      </c>
    </row>
    <row r="2130">
      <c r="A2130" s="47" t="n"/>
      <c r="B2130" s="48" t="n"/>
      <c r="C2130" s="48" t="n"/>
      <c r="D2130" s="48" t="n"/>
      <c r="E2130" s="48" t="n"/>
      <c r="F2130" s="48" t="n"/>
      <c r="G2130" s="48" t="n"/>
      <c r="H2130" s="48" t="n"/>
      <c r="I2130" s="49" t="n"/>
      <c r="J2130" s="50" t="n"/>
      <c r="K2130" s="48" t="n"/>
      <c r="L2130" s="51">
        <f>IF(A2130="","",DATE(YEAR(A2130),MONTH(A2130),1))</f>
        <v/>
      </c>
      <c r="M2130" s="52">
        <f>IF(OR(A2130="",NOT(ISNUMBER(I2130))),"",IF(G2130=Lists!$B$5,I2130/2,IF(G2130=Lists!$B$6,I2130,0)))</f>
        <v/>
      </c>
      <c r="N2130" s="52">
        <f>IF(OR(A2130="",NOT(ISNUMBER(I2130))),"",IF(G2130=Lists!$B$5,I2130/2,IF(G2130=Lists!$B$7,I2130,0)))</f>
        <v/>
      </c>
      <c r="O2130" s="53">
        <f>IF(COUNTA(A2130:K2130)=0,"",IF(OR(A2130="",B2130="",C2130="",D2130="",E2130="",F2130="",G2130="",NOT(ISNUMBER(I2130))),"Incomplete",IF(COUNTIF(Lists!$H$4:$AA$4,C2130)=0,"Check category",IF(COUNTIF(INDEX(Lists!$H$6:$AA$45,0,MATCH(C2130,Lists!$H$4:$AA$4,0)),D2130)=0,"Check sub-category","OK"))))</f>
        <v/>
      </c>
      <c r="P2130">
        <f>IF(ISNUMBER(I2130),I2130+ROW()/10000000,"")</f>
        <v/>
      </c>
      <c r="Q2130">
        <f>IF(AND(ISNUMBER(P2130),ISNUMBER(A2130)),IF(AND(A2130&gt;=Dashboard!$Q$3,A2130&lt;=Dashboard!$Q$4,OR(J2130&lt;&gt;"Yes",Dashboard!$Q$15="Yes")),P2130,""),"")</f>
        <v/>
      </c>
    </row>
    <row r="2131">
      <c r="A2131" s="47" t="n"/>
      <c r="B2131" s="48" t="n"/>
      <c r="C2131" s="48" t="n"/>
      <c r="D2131" s="48" t="n"/>
      <c r="E2131" s="48" t="n"/>
      <c r="F2131" s="48" t="n"/>
      <c r="G2131" s="48" t="n"/>
      <c r="H2131" s="48" t="n"/>
      <c r="I2131" s="49" t="n"/>
      <c r="J2131" s="50" t="n"/>
      <c r="K2131" s="48" t="n"/>
      <c r="L2131" s="51">
        <f>IF(A2131="","",DATE(YEAR(A2131),MONTH(A2131),1))</f>
        <v/>
      </c>
      <c r="M2131" s="52">
        <f>IF(OR(A2131="",NOT(ISNUMBER(I2131))),"",IF(G2131=Lists!$B$5,I2131/2,IF(G2131=Lists!$B$6,I2131,0)))</f>
        <v/>
      </c>
      <c r="N2131" s="52">
        <f>IF(OR(A2131="",NOT(ISNUMBER(I2131))),"",IF(G2131=Lists!$B$5,I2131/2,IF(G2131=Lists!$B$7,I2131,0)))</f>
        <v/>
      </c>
      <c r="O2131" s="53">
        <f>IF(COUNTA(A2131:K2131)=0,"",IF(OR(A2131="",B2131="",C2131="",D2131="",E2131="",F2131="",G2131="",NOT(ISNUMBER(I2131))),"Incomplete",IF(COUNTIF(Lists!$H$4:$AA$4,C2131)=0,"Check category",IF(COUNTIF(INDEX(Lists!$H$6:$AA$45,0,MATCH(C2131,Lists!$H$4:$AA$4,0)),D2131)=0,"Check sub-category","OK"))))</f>
        <v/>
      </c>
      <c r="P2131">
        <f>IF(ISNUMBER(I2131),I2131+ROW()/10000000,"")</f>
        <v/>
      </c>
      <c r="Q2131">
        <f>IF(AND(ISNUMBER(P2131),ISNUMBER(A2131)),IF(AND(A2131&gt;=Dashboard!$Q$3,A2131&lt;=Dashboard!$Q$4,OR(J2131&lt;&gt;"Yes",Dashboard!$Q$15="Yes")),P2131,""),"")</f>
        <v/>
      </c>
    </row>
    <row r="2132">
      <c r="A2132" s="47" t="n"/>
      <c r="B2132" s="48" t="n"/>
      <c r="C2132" s="48" t="n"/>
      <c r="D2132" s="48" t="n"/>
      <c r="E2132" s="48" t="n"/>
      <c r="F2132" s="48" t="n"/>
      <c r="G2132" s="48" t="n"/>
      <c r="H2132" s="48" t="n"/>
      <c r="I2132" s="49" t="n"/>
      <c r="J2132" s="50" t="n"/>
      <c r="K2132" s="48" t="n"/>
      <c r="L2132" s="51">
        <f>IF(A2132="","",DATE(YEAR(A2132),MONTH(A2132),1))</f>
        <v/>
      </c>
      <c r="M2132" s="52">
        <f>IF(OR(A2132="",NOT(ISNUMBER(I2132))),"",IF(G2132=Lists!$B$5,I2132/2,IF(G2132=Lists!$B$6,I2132,0)))</f>
        <v/>
      </c>
      <c r="N2132" s="52">
        <f>IF(OR(A2132="",NOT(ISNUMBER(I2132))),"",IF(G2132=Lists!$B$5,I2132/2,IF(G2132=Lists!$B$7,I2132,0)))</f>
        <v/>
      </c>
      <c r="O2132" s="53">
        <f>IF(COUNTA(A2132:K2132)=0,"",IF(OR(A2132="",B2132="",C2132="",D2132="",E2132="",F2132="",G2132="",NOT(ISNUMBER(I2132))),"Incomplete",IF(COUNTIF(Lists!$H$4:$AA$4,C2132)=0,"Check category",IF(COUNTIF(INDEX(Lists!$H$6:$AA$45,0,MATCH(C2132,Lists!$H$4:$AA$4,0)),D2132)=0,"Check sub-category","OK"))))</f>
        <v/>
      </c>
      <c r="P2132">
        <f>IF(ISNUMBER(I2132),I2132+ROW()/10000000,"")</f>
        <v/>
      </c>
      <c r="Q2132">
        <f>IF(AND(ISNUMBER(P2132),ISNUMBER(A2132)),IF(AND(A2132&gt;=Dashboard!$Q$3,A2132&lt;=Dashboard!$Q$4,OR(J2132&lt;&gt;"Yes",Dashboard!$Q$15="Yes")),P2132,""),"")</f>
        <v/>
      </c>
    </row>
    <row r="2133">
      <c r="A2133" s="47" t="n"/>
      <c r="B2133" s="48" t="n"/>
      <c r="C2133" s="48" t="n"/>
      <c r="D2133" s="48" t="n"/>
      <c r="E2133" s="48" t="n"/>
      <c r="F2133" s="48" t="n"/>
      <c r="G2133" s="48" t="n"/>
      <c r="H2133" s="48" t="n"/>
      <c r="I2133" s="49" t="n"/>
      <c r="J2133" s="50" t="n"/>
      <c r="K2133" s="48" t="n"/>
      <c r="L2133" s="51">
        <f>IF(A2133="","",DATE(YEAR(A2133),MONTH(A2133),1))</f>
        <v/>
      </c>
      <c r="M2133" s="52">
        <f>IF(OR(A2133="",NOT(ISNUMBER(I2133))),"",IF(G2133=Lists!$B$5,I2133/2,IF(G2133=Lists!$B$6,I2133,0)))</f>
        <v/>
      </c>
      <c r="N2133" s="52">
        <f>IF(OR(A2133="",NOT(ISNUMBER(I2133))),"",IF(G2133=Lists!$B$5,I2133/2,IF(G2133=Lists!$B$7,I2133,0)))</f>
        <v/>
      </c>
      <c r="O2133" s="53">
        <f>IF(COUNTA(A2133:K2133)=0,"",IF(OR(A2133="",B2133="",C2133="",D2133="",E2133="",F2133="",G2133="",NOT(ISNUMBER(I2133))),"Incomplete",IF(COUNTIF(Lists!$H$4:$AA$4,C2133)=0,"Check category",IF(COUNTIF(INDEX(Lists!$H$6:$AA$45,0,MATCH(C2133,Lists!$H$4:$AA$4,0)),D2133)=0,"Check sub-category","OK"))))</f>
        <v/>
      </c>
      <c r="P2133">
        <f>IF(ISNUMBER(I2133),I2133+ROW()/10000000,"")</f>
        <v/>
      </c>
      <c r="Q2133">
        <f>IF(AND(ISNUMBER(P2133),ISNUMBER(A2133)),IF(AND(A2133&gt;=Dashboard!$Q$3,A2133&lt;=Dashboard!$Q$4,OR(J2133&lt;&gt;"Yes",Dashboard!$Q$15="Yes")),P2133,""),"")</f>
        <v/>
      </c>
    </row>
    <row r="2134">
      <c r="A2134" s="47" t="n"/>
      <c r="B2134" s="48" t="n"/>
      <c r="C2134" s="48" t="n"/>
      <c r="D2134" s="48" t="n"/>
      <c r="E2134" s="48" t="n"/>
      <c r="F2134" s="48" t="n"/>
      <c r="G2134" s="48" t="n"/>
      <c r="H2134" s="48" t="n"/>
      <c r="I2134" s="49" t="n"/>
      <c r="J2134" s="50" t="n"/>
      <c r="K2134" s="48" t="n"/>
      <c r="L2134" s="51">
        <f>IF(A2134="","",DATE(YEAR(A2134),MONTH(A2134),1))</f>
        <v/>
      </c>
      <c r="M2134" s="52">
        <f>IF(OR(A2134="",NOT(ISNUMBER(I2134))),"",IF(G2134=Lists!$B$5,I2134/2,IF(G2134=Lists!$B$6,I2134,0)))</f>
        <v/>
      </c>
      <c r="N2134" s="52">
        <f>IF(OR(A2134="",NOT(ISNUMBER(I2134))),"",IF(G2134=Lists!$B$5,I2134/2,IF(G2134=Lists!$B$7,I2134,0)))</f>
        <v/>
      </c>
      <c r="O2134" s="53">
        <f>IF(COUNTA(A2134:K2134)=0,"",IF(OR(A2134="",B2134="",C2134="",D2134="",E2134="",F2134="",G2134="",NOT(ISNUMBER(I2134))),"Incomplete",IF(COUNTIF(Lists!$H$4:$AA$4,C2134)=0,"Check category",IF(COUNTIF(INDEX(Lists!$H$6:$AA$45,0,MATCH(C2134,Lists!$H$4:$AA$4,0)),D2134)=0,"Check sub-category","OK"))))</f>
        <v/>
      </c>
      <c r="P2134">
        <f>IF(ISNUMBER(I2134),I2134+ROW()/10000000,"")</f>
        <v/>
      </c>
      <c r="Q2134">
        <f>IF(AND(ISNUMBER(P2134),ISNUMBER(A2134)),IF(AND(A2134&gt;=Dashboard!$Q$3,A2134&lt;=Dashboard!$Q$4,OR(J2134&lt;&gt;"Yes",Dashboard!$Q$15="Yes")),P2134,""),"")</f>
        <v/>
      </c>
    </row>
    <row r="2135">
      <c r="A2135" s="47" t="n"/>
      <c r="B2135" s="48" t="n"/>
      <c r="C2135" s="48" t="n"/>
      <c r="D2135" s="48" t="n"/>
      <c r="E2135" s="48" t="n"/>
      <c r="F2135" s="48" t="n"/>
      <c r="G2135" s="48" t="n"/>
      <c r="H2135" s="48" t="n"/>
      <c r="I2135" s="49" t="n"/>
      <c r="J2135" s="50" t="n"/>
      <c r="K2135" s="48" t="n"/>
      <c r="L2135" s="51">
        <f>IF(A2135="","",DATE(YEAR(A2135),MONTH(A2135),1))</f>
        <v/>
      </c>
      <c r="M2135" s="52">
        <f>IF(OR(A2135="",NOT(ISNUMBER(I2135))),"",IF(G2135=Lists!$B$5,I2135/2,IF(G2135=Lists!$B$6,I2135,0)))</f>
        <v/>
      </c>
      <c r="N2135" s="52">
        <f>IF(OR(A2135="",NOT(ISNUMBER(I2135))),"",IF(G2135=Lists!$B$5,I2135/2,IF(G2135=Lists!$B$7,I2135,0)))</f>
        <v/>
      </c>
      <c r="O2135" s="53">
        <f>IF(COUNTA(A2135:K2135)=0,"",IF(OR(A2135="",B2135="",C2135="",D2135="",E2135="",F2135="",G2135="",NOT(ISNUMBER(I2135))),"Incomplete",IF(COUNTIF(Lists!$H$4:$AA$4,C2135)=0,"Check category",IF(COUNTIF(INDEX(Lists!$H$6:$AA$45,0,MATCH(C2135,Lists!$H$4:$AA$4,0)),D2135)=0,"Check sub-category","OK"))))</f>
        <v/>
      </c>
      <c r="P2135">
        <f>IF(ISNUMBER(I2135),I2135+ROW()/10000000,"")</f>
        <v/>
      </c>
      <c r="Q2135">
        <f>IF(AND(ISNUMBER(P2135),ISNUMBER(A2135)),IF(AND(A2135&gt;=Dashboard!$Q$3,A2135&lt;=Dashboard!$Q$4,OR(J2135&lt;&gt;"Yes",Dashboard!$Q$15="Yes")),P2135,""),"")</f>
        <v/>
      </c>
    </row>
    <row r="2136">
      <c r="A2136" s="47" t="n"/>
      <c r="B2136" s="48" t="n"/>
      <c r="C2136" s="48" t="n"/>
      <c r="D2136" s="48" t="n"/>
      <c r="E2136" s="48" t="n"/>
      <c r="F2136" s="48" t="n"/>
      <c r="G2136" s="48" t="n"/>
      <c r="H2136" s="48" t="n"/>
      <c r="I2136" s="49" t="n"/>
      <c r="J2136" s="50" t="n"/>
      <c r="K2136" s="48" t="n"/>
      <c r="L2136" s="51">
        <f>IF(A2136="","",DATE(YEAR(A2136),MONTH(A2136),1))</f>
        <v/>
      </c>
      <c r="M2136" s="52">
        <f>IF(OR(A2136="",NOT(ISNUMBER(I2136))),"",IF(G2136=Lists!$B$5,I2136/2,IF(G2136=Lists!$B$6,I2136,0)))</f>
        <v/>
      </c>
      <c r="N2136" s="52">
        <f>IF(OR(A2136="",NOT(ISNUMBER(I2136))),"",IF(G2136=Lists!$B$5,I2136/2,IF(G2136=Lists!$B$7,I2136,0)))</f>
        <v/>
      </c>
      <c r="O2136" s="53">
        <f>IF(COUNTA(A2136:K2136)=0,"",IF(OR(A2136="",B2136="",C2136="",D2136="",E2136="",F2136="",G2136="",NOT(ISNUMBER(I2136))),"Incomplete",IF(COUNTIF(Lists!$H$4:$AA$4,C2136)=0,"Check category",IF(COUNTIF(INDEX(Lists!$H$6:$AA$45,0,MATCH(C2136,Lists!$H$4:$AA$4,0)),D2136)=0,"Check sub-category","OK"))))</f>
        <v/>
      </c>
      <c r="P2136">
        <f>IF(ISNUMBER(I2136),I2136+ROW()/10000000,"")</f>
        <v/>
      </c>
      <c r="Q2136">
        <f>IF(AND(ISNUMBER(P2136),ISNUMBER(A2136)),IF(AND(A2136&gt;=Dashboard!$Q$3,A2136&lt;=Dashboard!$Q$4,OR(J2136&lt;&gt;"Yes",Dashboard!$Q$15="Yes")),P2136,""),"")</f>
        <v/>
      </c>
    </row>
    <row r="2137">
      <c r="A2137" s="47" t="n"/>
      <c r="B2137" s="48" t="n"/>
      <c r="C2137" s="48" t="n"/>
      <c r="D2137" s="48" t="n"/>
      <c r="E2137" s="48" t="n"/>
      <c r="F2137" s="48" t="n"/>
      <c r="G2137" s="48" t="n"/>
      <c r="H2137" s="48" t="n"/>
      <c r="I2137" s="49" t="n"/>
      <c r="J2137" s="50" t="n"/>
      <c r="K2137" s="48" t="n"/>
      <c r="L2137" s="51">
        <f>IF(A2137="","",DATE(YEAR(A2137),MONTH(A2137),1))</f>
        <v/>
      </c>
      <c r="M2137" s="52">
        <f>IF(OR(A2137="",NOT(ISNUMBER(I2137))),"",IF(G2137=Lists!$B$5,I2137/2,IF(G2137=Lists!$B$6,I2137,0)))</f>
        <v/>
      </c>
      <c r="N2137" s="52">
        <f>IF(OR(A2137="",NOT(ISNUMBER(I2137))),"",IF(G2137=Lists!$B$5,I2137/2,IF(G2137=Lists!$B$7,I2137,0)))</f>
        <v/>
      </c>
      <c r="O2137" s="53">
        <f>IF(COUNTA(A2137:K2137)=0,"",IF(OR(A2137="",B2137="",C2137="",D2137="",E2137="",F2137="",G2137="",NOT(ISNUMBER(I2137))),"Incomplete",IF(COUNTIF(Lists!$H$4:$AA$4,C2137)=0,"Check category",IF(COUNTIF(INDEX(Lists!$H$6:$AA$45,0,MATCH(C2137,Lists!$H$4:$AA$4,0)),D2137)=0,"Check sub-category","OK"))))</f>
        <v/>
      </c>
      <c r="P2137">
        <f>IF(ISNUMBER(I2137),I2137+ROW()/10000000,"")</f>
        <v/>
      </c>
      <c r="Q2137">
        <f>IF(AND(ISNUMBER(P2137),ISNUMBER(A2137)),IF(AND(A2137&gt;=Dashboard!$Q$3,A2137&lt;=Dashboard!$Q$4,OR(J2137&lt;&gt;"Yes",Dashboard!$Q$15="Yes")),P2137,""),"")</f>
        <v/>
      </c>
    </row>
    <row r="2138">
      <c r="A2138" s="47" t="n"/>
      <c r="B2138" s="48" t="n"/>
      <c r="C2138" s="48" t="n"/>
      <c r="D2138" s="48" t="n"/>
      <c r="E2138" s="48" t="n"/>
      <c r="F2138" s="48" t="n"/>
      <c r="G2138" s="48" t="n"/>
      <c r="H2138" s="48" t="n"/>
      <c r="I2138" s="49" t="n"/>
      <c r="J2138" s="50" t="n"/>
      <c r="K2138" s="48" t="n"/>
      <c r="L2138" s="51">
        <f>IF(A2138="","",DATE(YEAR(A2138),MONTH(A2138),1))</f>
        <v/>
      </c>
      <c r="M2138" s="52">
        <f>IF(OR(A2138="",NOT(ISNUMBER(I2138))),"",IF(G2138=Lists!$B$5,I2138/2,IF(G2138=Lists!$B$6,I2138,0)))</f>
        <v/>
      </c>
      <c r="N2138" s="52">
        <f>IF(OR(A2138="",NOT(ISNUMBER(I2138))),"",IF(G2138=Lists!$B$5,I2138/2,IF(G2138=Lists!$B$7,I2138,0)))</f>
        <v/>
      </c>
      <c r="O2138" s="53">
        <f>IF(COUNTA(A2138:K2138)=0,"",IF(OR(A2138="",B2138="",C2138="",D2138="",E2138="",F2138="",G2138="",NOT(ISNUMBER(I2138))),"Incomplete",IF(COUNTIF(Lists!$H$4:$AA$4,C2138)=0,"Check category",IF(COUNTIF(INDEX(Lists!$H$6:$AA$45,0,MATCH(C2138,Lists!$H$4:$AA$4,0)),D2138)=0,"Check sub-category","OK"))))</f>
        <v/>
      </c>
      <c r="P2138">
        <f>IF(ISNUMBER(I2138),I2138+ROW()/10000000,"")</f>
        <v/>
      </c>
      <c r="Q2138">
        <f>IF(AND(ISNUMBER(P2138),ISNUMBER(A2138)),IF(AND(A2138&gt;=Dashboard!$Q$3,A2138&lt;=Dashboard!$Q$4,OR(J2138&lt;&gt;"Yes",Dashboard!$Q$15="Yes")),P2138,""),"")</f>
        <v/>
      </c>
    </row>
    <row r="2139">
      <c r="A2139" s="47" t="n"/>
      <c r="B2139" s="48" t="n"/>
      <c r="C2139" s="48" t="n"/>
      <c r="D2139" s="48" t="n"/>
      <c r="E2139" s="48" t="n"/>
      <c r="F2139" s="48" t="n"/>
      <c r="G2139" s="48" t="n"/>
      <c r="H2139" s="48" t="n"/>
      <c r="I2139" s="49" t="n"/>
      <c r="J2139" s="50" t="n"/>
      <c r="K2139" s="48" t="n"/>
      <c r="L2139" s="51">
        <f>IF(A2139="","",DATE(YEAR(A2139),MONTH(A2139),1))</f>
        <v/>
      </c>
      <c r="M2139" s="52">
        <f>IF(OR(A2139="",NOT(ISNUMBER(I2139))),"",IF(G2139=Lists!$B$5,I2139/2,IF(G2139=Lists!$B$6,I2139,0)))</f>
        <v/>
      </c>
      <c r="N2139" s="52">
        <f>IF(OR(A2139="",NOT(ISNUMBER(I2139))),"",IF(G2139=Lists!$B$5,I2139/2,IF(G2139=Lists!$B$7,I2139,0)))</f>
        <v/>
      </c>
      <c r="O2139" s="53">
        <f>IF(COUNTA(A2139:K2139)=0,"",IF(OR(A2139="",B2139="",C2139="",D2139="",E2139="",F2139="",G2139="",NOT(ISNUMBER(I2139))),"Incomplete",IF(COUNTIF(Lists!$H$4:$AA$4,C2139)=0,"Check category",IF(COUNTIF(INDEX(Lists!$H$6:$AA$45,0,MATCH(C2139,Lists!$H$4:$AA$4,0)),D2139)=0,"Check sub-category","OK"))))</f>
        <v/>
      </c>
      <c r="P2139">
        <f>IF(ISNUMBER(I2139),I2139+ROW()/10000000,"")</f>
        <v/>
      </c>
      <c r="Q2139">
        <f>IF(AND(ISNUMBER(P2139),ISNUMBER(A2139)),IF(AND(A2139&gt;=Dashboard!$Q$3,A2139&lt;=Dashboard!$Q$4,OR(J2139&lt;&gt;"Yes",Dashboard!$Q$15="Yes")),P2139,""),"")</f>
        <v/>
      </c>
    </row>
    <row r="2140">
      <c r="A2140" s="47" t="n"/>
      <c r="B2140" s="48" t="n"/>
      <c r="C2140" s="48" t="n"/>
      <c r="D2140" s="48" t="n"/>
      <c r="E2140" s="48" t="n"/>
      <c r="F2140" s="48" t="n"/>
      <c r="G2140" s="48" t="n"/>
      <c r="H2140" s="48" t="n"/>
      <c r="I2140" s="49" t="n"/>
      <c r="J2140" s="50" t="n"/>
      <c r="K2140" s="48" t="n"/>
      <c r="L2140" s="51">
        <f>IF(A2140="","",DATE(YEAR(A2140),MONTH(A2140),1))</f>
        <v/>
      </c>
      <c r="M2140" s="52">
        <f>IF(OR(A2140="",NOT(ISNUMBER(I2140))),"",IF(G2140=Lists!$B$5,I2140/2,IF(G2140=Lists!$B$6,I2140,0)))</f>
        <v/>
      </c>
      <c r="N2140" s="52">
        <f>IF(OR(A2140="",NOT(ISNUMBER(I2140))),"",IF(G2140=Lists!$B$5,I2140/2,IF(G2140=Lists!$B$7,I2140,0)))</f>
        <v/>
      </c>
      <c r="O2140" s="53">
        <f>IF(COUNTA(A2140:K2140)=0,"",IF(OR(A2140="",B2140="",C2140="",D2140="",E2140="",F2140="",G2140="",NOT(ISNUMBER(I2140))),"Incomplete",IF(COUNTIF(Lists!$H$4:$AA$4,C2140)=0,"Check category",IF(COUNTIF(INDEX(Lists!$H$6:$AA$45,0,MATCH(C2140,Lists!$H$4:$AA$4,0)),D2140)=0,"Check sub-category","OK"))))</f>
        <v/>
      </c>
      <c r="P2140">
        <f>IF(ISNUMBER(I2140),I2140+ROW()/10000000,"")</f>
        <v/>
      </c>
      <c r="Q2140">
        <f>IF(AND(ISNUMBER(P2140),ISNUMBER(A2140)),IF(AND(A2140&gt;=Dashboard!$Q$3,A2140&lt;=Dashboard!$Q$4,OR(J2140&lt;&gt;"Yes",Dashboard!$Q$15="Yes")),P2140,""),"")</f>
        <v/>
      </c>
    </row>
    <row r="2141">
      <c r="A2141" s="47" t="n"/>
      <c r="B2141" s="48" t="n"/>
      <c r="C2141" s="48" t="n"/>
      <c r="D2141" s="48" t="n"/>
      <c r="E2141" s="48" t="n"/>
      <c r="F2141" s="48" t="n"/>
      <c r="G2141" s="48" t="n"/>
      <c r="H2141" s="48" t="n"/>
      <c r="I2141" s="49" t="n"/>
      <c r="J2141" s="50" t="n"/>
      <c r="K2141" s="48" t="n"/>
      <c r="L2141" s="51">
        <f>IF(A2141="","",DATE(YEAR(A2141),MONTH(A2141),1))</f>
        <v/>
      </c>
      <c r="M2141" s="52">
        <f>IF(OR(A2141="",NOT(ISNUMBER(I2141))),"",IF(G2141=Lists!$B$5,I2141/2,IF(G2141=Lists!$B$6,I2141,0)))</f>
        <v/>
      </c>
      <c r="N2141" s="52">
        <f>IF(OR(A2141="",NOT(ISNUMBER(I2141))),"",IF(G2141=Lists!$B$5,I2141/2,IF(G2141=Lists!$B$7,I2141,0)))</f>
        <v/>
      </c>
      <c r="O2141" s="53">
        <f>IF(COUNTA(A2141:K2141)=0,"",IF(OR(A2141="",B2141="",C2141="",D2141="",E2141="",F2141="",G2141="",NOT(ISNUMBER(I2141))),"Incomplete",IF(COUNTIF(Lists!$H$4:$AA$4,C2141)=0,"Check category",IF(COUNTIF(INDEX(Lists!$H$6:$AA$45,0,MATCH(C2141,Lists!$H$4:$AA$4,0)),D2141)=0,"Check sub-category","OK"))))</f>
        <v/>
      </c>
      <c r="P2141">
        <f>IF(ISNUMBER(I2141),I2141+ROW()/10000000,"")</f>
        <v/>
      </c>
      <c r="Q2141">
        <f>IF(AND(ISNUMBER(P2141),ISNUMBER(A2141)),IF(AND(A2141&gt;=Dashboard!$Q$3,A2141&lt;=Dashboard!$Q$4,OR(J2141&lt;&gt;"Yes",Dashboard!$Q$15="Yes")),P2141,""),"")</f>
        <v/>
      </c>
    </row>
    <row r="2142">
      <c r="A2142" s="47" t="n"/>
      <c r="B2142" s="48" t="n"/>
      <c r="C2142" s="48" t="n"/>
      <c r="D2142" s="48" t="n"/>
      <c r="E2142" s="48" t="n"/>
      <c r="F2142" s="48" t="n"/>
      <c r="G2142" s="48" t="n"/>
      <c r="H2142" s="48" t="n"/>
      <c r="I2142" s="49" t="n"/>
      <c r="J2142" s="50" t="n"/>
      <c r="K2142" s="48" t="n"/>
      <c r="L2142" s="51">
        <f>IF(A2142="","",DATE(YEAR(A2142),MONTH(A2142),1))</f>
        <v/>
      </c>
      <c r="M2142" s="52">
        <f>IF(OR(A2142="",NOT(ISNUMBER(I2142))),"",IF(G2142=Lists!$B$5,I2142/2,IF(G2142=Lists!$B$6,I2142,0)))</f>
        <v/>
      </c>
      <c r="N2142" s="52">
        <f>IF(OR(A2142="",NOT(ISNUMBER(I2142))),"",IF(G2142=Lists!$B$5,I2142/2,IF(G2142=Lists!$B$7,I2142,0)))</f>
        <v/>
      </c>
      <c r="O2142" s="53">
        <f>IF(COUNTA(A2142:K2142)=0,"",IF(OR(A2142="",B2142="",C2142="",D2142="",E2142="",F2142="",G2142="",NOT(ISNUMBER(I2142))),"Incomplete",IF(COUNTIF(Lists!$H$4:$AA$4,C2142)=0,"Check category",IF(COUNTIF(INDEX(Lists!$H$6:$AA$45,0,MATCH(C2142,Lists!$H$4:$AA$4,0)),D2142)=0,"Check sub-category","OK"))))</f>
        <v/>
      </c>
      <c r="P2142">
        <f>IF(ISNUMBER(I2142),I2142+ROW()/10000000,"")</f>
        <v/>
      </c>
      <c r="Q2142">
        <f>IF(AND(ISNUMBER(P2142),ISNUMBER(A2142)),IF(AND(A2142&gt;=Dashboard!$Q$3,A2142&lt;=Dashboard!$Q$4,OR(J2142&lt;&gt;"Yes",Dashboard!$Q$15="Yes")),P2142,""),"")</f>
        <v/>
      </c>
    </row>
    <row r="2143">
      <c r="A2143" s="47" t="n"/>
      <c r="B2143" s="48" t="n"/>
      <c r="C2143" s="48" t="n"/>
      <c r="D2143" s="48" t="n"/>
      <c r="E2143" s="48" t="n"/>
      <c r="F2143" s="48" t="n"/>
      <c r="G2143" s="48" t="n"/>
      <c r="H2143" s="48" t="n"/>
      <c r="I2143" s="49" t="n"/>
      <c r="J2143" s="50" t="n"/>
      <c r="K2143" s="48" t="n"/>
      <c r="L2143" s="51">
        <f>IF(A2143="","",DATE(YEAR(A2143),MONTH(A2143),1))</f>
        <v/>
      </c>
      <c r="M2143" s="52">
        <f>IF(OR(A2143="",NOT(ISNUMBER(I2143))),"",IF(G2143=Lists!$B$5,I2143/2,IF(G2143=Lists!$B$6,I2143,0)))</f>
        <v/>
      </c>
      <c r="N2143" s="52">
        <f>IF(OR(A2143="",NOT(ISNUMBER(I2143))),"",IF(G2143=Lists!$B$5,I2143/2,IF(G2143=Lists!$B$7,I2143,0)))</f>
        <v/>
      </c>
      <c r="O2143" s="53">
        <f>IF(COUNTA(A2143:K2143)=0,"",IF(OR(A2143="",B2143="",C2143="",D2143="",E2143="",F2143="",G2143="",NOT(ISNUMBER(I2143))),"Incomplete",IF(COUNTIF(Lists!$H$4:$AA$4,C2143)=0,"Check category",IF(COUNTIF(INDEX(Lists!$H$6:$AA$45,0,MATCH(C2143,Lists!$H$4:$AA$4,0)),D2143)=0,"Check sub-category","OK"))))</f>
        <v/>
      </c>
      <c r="P2143">
        <f>IF(ISNUMBER(I2143),I2143+ROW()/10000000,"")</f>
        <v/>
      </c>
      <c r="Q2143">
        <f>IF(AND(ISNUMBER(P2143),ISNUMBER(A2143)),IF(AND(A2143&gt;=Dashboard!$Q$3,A2143&lt;=Dashboard!$Q$4,OR(J2143&lt;&gt;"Yes",Dashboard!$Q$15="Yes")),P2143,""),"")</f>
        <v/>
      </c>
    </row>
    <row r="2144">
      <c r="A2144" s="47" t="n"/>
      <c r="B2144" s="48" t="n"/>
      <c r="C2144" s="48" t="n"/>
      <c r="D2144" s="48" t="n"/>
      <c r="E2144" s="48" t="n"/>
      <c r="F2144" s="48" t="n"/>
      <c r="G2144" s="48" t="n"/>
      <c r="H2144" s="48" t="n"/>
      <c r="I2144" s="49" t="n"/>
      <c r="J2144" s="50" t="n"/>
      <c r="K2144" s="48" t="n"/>
      <c r="L2144" s="51">
        <f>IF(A2144="","",DATE(YEAR(A2144),MONTH(A2144),1))</f>
        <v/>
      </c>
      <c r="M2144" s="52">
        <f>IF(OR(A2144="",NOT(ISNUMBER(I2144))),"",IF(G2144=Lists!$B$5,I2144/2,IF(G2144=Lists!$B$6,I2144,0)))</f>
        <v/>
      </c>
      <c r="N2144" s="52">
        <f>IF(OR(A2144="",NOT(ISNUMBER(I2144))),"",IF(G2144=Lists!$B$5,I2144/2,IF(G2144=Lists!$B$7,I2144,0)))</f>
        <v/>
      </c>
      <c r="O2144" s="53">
        <f>IF(COUNTA(A2144:K2144)=0,"",IF(OR(A2144="",B2144="",C2144="",D2144="",E2144="",F2144="",G2144="",NOT(ISNUMBER(I2144))),"Incomplete",IF(COUNTIF(Lists!$H$4:$AA$4,C2144)=0,"Check category",IF(COUNTIF(INDEX(Lists!$H$6:$AA$45,0,MATCH(C2144,Lists!$H$4:$AA$4,0)),D2144)=0,"Check sub-category","OK"))))</f>
        <v/>
      </c>
      <c r="P2144">
        <f>IF(ISNUMBER(I2144),I2144+ROW()/10000000,"")</f>
        <v/>
      </c>
      <c r="Q2144">
        <f>IF(AND(ISNUMBER(P2144),ISNUMBER(A2144)),IF(AND(A2144&gt;=Dashboard!$Q$3,A2144&lt;=Dashboard!$Q$4,OR(J2144&lt;&gt;"Yes",Dashboard!$Q$15="Yes")),P2144,""),"")</f>
        <v/>
      </c>
    </row>
    <row r="2145">
      <c r="A2145" s="47" t="n"/>
      <c r="B2145" s="48" t="n"/>
      <c r="C2145" s="48" t="n"/>
      <c r="D2145" s="48" t="n"/>
      <c r="E2145" s="48" t="n"/>
      <c r="F2145" s="48" t="n"/>
      <c r="G2145" s="48" t="n"/>
      <c r="H2145" s="48" t="n"/>
      <c r="I2145" s="49" t="n"/>
      <c r="J2145" s="50" t="n"/>
      <c r="K2145" s="48" t="n"/>
      <c r="L2145" s="51">
        <f>IF(A2145="","",DATE(YEAR(A2145),MONTH(A2145),1))</f>
        <v/>
      </c>
      <c r="M2145" s="52">
        <f>IF(OR(A2145="",NOT(ISNUMBER(I2145))),"",IF(G2145=Lists!$B$5,I2145/2,IF(G2145=Lists!$B$6,I2145,0)))</f>
        <v/>
      </c>
      <c r="N2145" s="52">
        <f>IF(OR(A2145="",NOT(ISNUMBER(I2145))),"",IF(G2145=Lists!$B$5,I2145/2,IF(G2145=Lists!$B$7,I2145,0)))</f>
        <v/>
      </c>
      <c r="O2145" s="53">
        <f>IF(COUNTA(A2145:K2145)=0,"",IF(OR(A2145="",B2145="",C2145="",D2145="",E2145="",F2145="",G2145="",NOT(ISNUMBER(I2145))),"Incomplete",IF(COUNTIF(Lists!$H$4:$AA$4,C2145)=0,"Check category",IF(COUNTIF(INDEX(Lists!$H$6:$AA$45,0,MATCH(C2145,Lists!$H$4:$AA$4,0)),D2145)=0,"Check sub-category","OK"))))</f>
        <v/>
      </c>
      <c r="P2145">
        <f>IF(ISNUMBER(I2145),I2145+ROW()/10000000,"")</f>
        <v/>
      </c>
      <c r="Q2145">
        <f>IF(AND(ISNUMBER(P2145),ISNUMBER(A2145)),IF(AND(A2145&gt;=Dashboard!$Q$3,A2145&lt;=Dashboard!$Q$4,OR(J2145&lt;&gt;"Yes",Dashboard!$Q$15="Yes")),P2145,""),"")</f>
        <v/>
      </c>
    </row>
    <row r="2146">
      <c r="A2146" s="47" t="n"/>
      <c r="B2146" s="48" t="n"/>
      <c r="C2146" s="48" t="n"/>
      <c r="D2146" s="48" t="n"/>
      <c r="E2146" s="48" t="n"/>
      <c r="F2146" s="48" t="n"/>
      <c r="G2146" s="48" t="n"/>
      <c r="H2146" s="48" t="n"/>
      <c r="I2146" s="49" t="n"/>
      <c r="J2146" s="50" t="n"/>
      <c r="K2146" s="48" t="n"/>
      <c r="L2146" s="51">
        <f>IF(A2146="","",DATE(YEAR(A2146),MONTH(A2146),1))</f>
        <v/>
      </c>
      <c r="M2146" s="52">
        <f>IF(OR(A2146="",NOT(ISNUMBER(I2146))),"",IF(G2146=Lists!$B$5,I2146/2,IF(G2146=Lists!$B$6,I2146,0)))</f>
        <v/>
      </c>
      <c r="N2146" s="52">
        <f>IF(OR(A2146="",NOT(ISNUMBER(I2146))),"",IF(G2146=Lists!$B$5,I2146/2,IF(G2146=Lists!$B$7,I2146,0)))</f>
        <v/>
      </c>
      <c r="O2146" s="53">
        <f>IF(COUNTA(A2146:K2146)=0,"",IF(OR(A2146="",B2146="",C2146="",D2146="",E2146="",F2146="",G2146="",NOT(ISNUMBER(I2146))),"Incomplete",IF(COUNTIF(Lists!$H$4:$AA$4,C2146)=0,"Check category",IF(COUNTIF(INDEX(Lists!$H$6:$AA$45,0,MATCH(C2146,Lists!$H$4:$AA$4,0)),D2146)=0,"Check sub-category","OK"))))</f>
        <v/>
      </c>
      <c r="P2146">
        <f>IF(ISNUMBER(I2146),I2146+ROW()/10000000,"")</f>
        <v/>
      </c>
      <c r="Q2146">
        <f>IF(AND(ISNUMBER(P2146),ISNUMBER(A2146)),IF(AND(A2146&gt;=Dashboard!$Q$3,A2146&lt;=Dashboard!$Q$4,OR(J2146&lt;&gt;"Yes",Dashboard!$Q$15="Yes")),P2146,""),"")</f>
        <v/>
      </c>
    </row>
    <row r="2147">
      <c r="A2147" s="47" t="n"/>
      <c r="B2147" s="48" t="n"/>
      <c r="C2147" s="48" t="n"/>
      <c r="D2147" s="48" t="n"/>
      <c r="E2147" s="48" t="n"/>
      <c r="F2147" s="48" t="n"/>
      <c r="G2147" s="48" t="n"/>
      <c r="H2147" s="48" t="n"/>
      <c r="I2147" s="49" t="n"/>
      <c r="J2147" s="50" t="n"/>
      <c r="K2147" s="48" t="n"/>
      <c r="L2147" s="51">
        <f>IF(A2147="","",DATE(YEAR(A2147),MONTH(A2147),1))</f>
        <v/>
      </c>
      <c r="M2147" s="52">
        <f>IF(OR(A2147="",NOT(ISNUMBER(I2147))),"",IF(G2147=Lists!$B$5,I2147/2,IF(G2147=Lists!$B$6,I2147,0)))</f>
        <v/>
      </c>
      <c r="N2147" s="52">
        <f>IF(OR(A2147="",NOT(ISNUMBER(I2147))),"",IF(G2147=Lists!$B$5,I2147/2,IF(G2147=Lists!$B$7,I2147,0)))</f>
        <v/>
      </c>
      <c r="O2147" s="53">
        <f>IF(COUNTA(A2147:K2147)=0,"",IF(OR(A2147="",B2147="",C2147="",D2147="",E2147="",F2147="",G2147="",NOT(ISNUMBER(I2147))),"Incomplete",IF(COUNTIF(Lists!$H$4:$AA$4,C2147)=0,"Check category",IF(COUNTIF(INDEX(Lists!$H$6:$AA$45,0,MATCH(C2147,Lists!$H$4:$AA$4,0)),D2147)=0,"Check sub-category","OK"))))</f>
        <v/>
      </c>
      <c r="P2147">
        <f>IF(ISNUMBER(I2147),I2147+ROW()/10000000,"")</f>
        <v/>
      </c>
      <c r="Q2147">
        <f>IF(AND(ISNUMBER(P2147),ISNUMBER(A2147)),IF(AND(A2147&gt;=Dashboard!$Q$3,A2147&lt;=Dashboard!$Q$4,OR(J2147&lt;&gt;"Yes",Dashboard!$Q$15="Yes")),P2147,""),"")</f>
        <v/>
      </c>
    </row>
    <row r="2148">
      <c r="A2148" s="47" t="n"/>
      <c r="B2148" s="48" t="n"/>
      <c r="C2148" s="48" t="n"/>
      <c r="D2148" s="48" t="n"/>
      <c r="E2148" s="48" t="n"/>
      <c r="F2148" s="48" t="n"/>
      <c r="G2148" s="48" t="n"/>
      <c r="H2148" s="48" t="n"/>
      <c r="I2148" s="49" t="n"/>
      <c r="J2148" s="50" t="n"/>
      <c r="K2148" s="48" t="n"/>
      <c r="L2148" s="51">
        <f>IF(A2148="","",DATE(YEAR(A2148),MONTH(A2148),1))</f>
        <v/>
      </c>
      <c r="M2148" s="52">
        <f>IF(OR(A2148="",NOT(ISNUMBER(I2148))),"",IF(G2148=Lists!$B$5,I2148/2,IF(G2148=Lists!$B$6,I2148,0)))</f>
        <v/>
      </c>
      <c r="N2148" s="52">
        <f>IF(OR(A2148="",NOT(ISNUMBER(I2148))),"",IF(G2148=Lists!$B$5,I2148/2,IF(G2148=Lists!$B$7,I2148,0)))</f>
        <v/>
      </c>
      <c r="O2148" s="53">
        <f>IF(COUNTA(A2148:K2148)=0,"",IF(OR(A2148="",B2148="",C2148="",D2148="",E2148="",F2148="",G2148="",NOT(ISNUMBER(I2148))),"Incomplete",IF(COUNTIF(Lists!$H$4:$AA$4,C2148)=0,"Check category",IF(COUNTIF(INDEX(Lists!$H$6:$AA$45,0,MATCH(C2148,Lists!$H$4:$AA$4,0)),D2148)=0,"Check sub-category","OK"))))</f>
        <v/>
      </c>
      <c r="P2148">
        <f>IF(ISNUMBER(I2148),I2148+ROW()/10000000,"")</f>
        <v/>
      </c>
      <c r="Q2148">
        <f>IF(AND(ISNUMBER(P2148),ISNUMBER(A2148)),IF(AND(A2148&gt;=Dashboard!$Q$3,A2148&lt;=Dashboard!$Q$4,OR(J2148&lt;&gt;"Yes",Dashboard!$Q$15="Yes")),P2148,""),"")</f>
        <v/>
      </c>
    </row>
    <row r="2149">
      <c r="A2149" s="47" t="n"/>
      <c r="B2149" s="48" t="n"/>
      <c r="C2149" s="48" t="n"/>
      <c r="D2149" s="48" t="n"/>
      <c r="E2149" s="48" t="n"/>
      <c r="F2149" s="48" t="n"/>
      <c r="G2149" s="48" t="n"/>
      <c r="H2149" s="48" t="n"/>
      <c r="I2149" s="49" t="n"/>
      <c r="J2149" s="50" t="n"/>
      <c r="K2149" s="48" t="n"/>
      <c r="L2149" s="51">
        <f>IF(A2149="","",DATE(YEAR(A2149),MONTH(A2149),1))</f>
        <v/>
      </c>
      <c r="M2149" s="52">
        <f>IF(OR(A2149="",NOT(ISNUMBER(I2149))),"",IF(G2149=Lists!$B$5,I2149/2,IF(G2149=Lists!$B$6,I2149,0)))</f>
        <v/>
      </c>
      <c r="N2149" s="52">
        <f>IF(OR(A2149="",NOT(ISNUMBER(I2149))),"",IF(G2149=Lists!$B$5,I2149/2,IF(G2149=Lists!$B$7,I2149,0)))</f>
        <v/>
      </c>
      <c r="O2149" s="53">
        <f>IF(COUNTA(A2149:K2149)=0,"",IF(OR(A2149="",B2149="",C2149="",D2149="",E2149="",F2149="",G2149="",NOT(ISNUMBER(I2149))),"Incomplete",IF(COUNTIF(Lists!$H$4:$AA$4,C2149)=0,"Check category",IF(COUNTIF(INDEX(Lists!$H$6:$AA$45,0,MATCH(C2149,Lists!$H$4:$AA$4,0)),D2149)=0,"Check sub-category","OK"))))</f>
        <v/>
      </c>
      <c r="P2149">
        <f>IF(ISNUMBER(I2149),I2149+ROW()/10000000,"")</f>
        <v/>
      </c>
      <c r="Q2149">
        <f>IF(AND(ISNUMBER(P2149),ISNUMBER(A2149)),IF(AND(A2149&gt;=Dashboard!$Q$3,A2149&lt;=Dashboard!$Q$4,OR(J2149&lt;&gt;"Yes",Dashboard!$Q$15="Yes")),P2149,""),"")</f>
        <v/>
      </c>
    </row>
    <row r="2150">
      <c r="A2150" s="47" t="n"/>
      <c r="B2150" s="48" t="n"/>
      <c r="C2150" s="48" t="n"/>
      <c r="D2150" s="48" t="n"/>
      <c r="E2150" s="48" t="n"/>
      <c r="F2150" s="48" t="n"/>
      <c r="G2150" s="48" t="n"/>
      <c r="H2150" s="48" t="n"/>
      <c r="I2150" s="49" t="n"/>
      <c r="J2150" s="50" t="n"/>
      <c r="K2150" s="48" t="n"/>
      <c r="L2150" s="51">
        <f>IF(A2150="","",DATE(YEAR(A2150),MONTH(A2150),1))</f>
        <v/>
      </c>
      <c r="M2150" s="52">
        <f>IF(OR(A2150="",NOT(ISNUMBER(I2150))),"",IF(G2150=Lists!$B$5,I2150/2,IF(G2150=Lists!$B$6,I2150,0)))</f>
        <v/>
      </c>
      <c r="N2150" s="52">
        <f>IF(OR(A2150="",NOT(ISNUMBER(I2150))),"",IF(G2150=Lists!$B$5,I2150/2,IF(G2150=Lists!$B$7,I2150,0)))</f>
        <v/>
      </c>
      <c r="O2150" s="53">
        <f>IF(COUNTA(A2150:K2150)=0,"",IF(OR(A2150="",B2150="",C2150="",D2150="",E2150="",F2150="",G2150="",NOT(ISNUMBER(I2150))),"Incomplete",IF(COUNTIF(Lists!$H$4:$AA$4,C2150)=0,"Check category",IF(COUNTIF(INDEX(Lists!$H$6:$AA$45,0,MATCH(C2150,Lists!$H$4:$AA$4,0)),D2150)=0,"Check sub-category","OK"))))</f>
        <v/>
      </c>
      <c r="P2150">
        <f>IF(ISNUMBER(I2150),I2150+ROW()/10000000,"")</f>
        <v/>
      </c>
      <c r="Q2150">
        <f>IF(AND(ISNUMBER(P2150),ISNUMBER(A2150)),IF(AND(A2150&gt;=Dashboard!$Q$3,A2150&lt;=Dashboard!$Q$4,OR(J2150&lt;&gt;"Yes",Dashboard!$Q$15="Yes")),P2150,""),"")</f>
        <v/>
      </c>
    </row>
    <row r="2151">
      <c r="A2151" s="47" t="n"/>
      <c r="B2151" s="48" t="n"/>
      <c r="C2151" s="48" t="n"/>
      <c r="D2151" s="48" t="n"/>
      <c r="E2151" s="48" t="n"/>
      <c r="F2151" s="48" t="n"/>
      <c r="G2151" s="48" t="n"/>
      <c r="H2151" s="48" t="n"/>
      <c r="I2151" s="49" t="n"/>
      <c r="J2151" s="50" t="n"/>
      <c r="K2151" s="48" t="n"/>
      <c r="L2151" s="51">
        <f>IF(A2151="","",DATE(YEAR(A2151),MONTH(A2151),1))</f>
        <v/>
      </c>
      <c r="M2151" s="52">
        <f>IF(OR(A2151="",NOT(ISNUMBER(I2151))),"",IF(G2151=Lists!$B$5,I2151/2,IF(G2151=Lists!$B$6,I2151,0)))</f>
        <v/>
      </c>
      <c r="N2151" s="52">
        <f>IF(OR(A2151="",NOT(ISNUMBER(I2151))),"",IF(G2151=Lists!$B$5,I2151/2,IF(G2151=Lists!$B$7,I2151,0)))</f>
        <v/>
      </c>
      <c r="O2151" s="53">
        <f>IF(COUNTA(A2151:K2151)=0,"",IF(OR(A2151="",B2151="",C2151="",D2151="",E2151="",F2151="",G2151="",NOT(ISNUMBER(I2151))),"Incomplete",IF(COUNTIF(Lists!$H$4:$AA$4,C2151)=0,"Check category",IF(COUNTIF(INDEX(Lists!$H$6:$AA$45,0,MATCH(C2151,Lists!$H$4:$AA$4,0)),D2151)=0,"Check sub-category","OK"))))</f>
        <v/>
      </c>
      <c r="P2151">
        <f>IF(ISNUMBER(I2151),I2151+ROW()/10000000,"")</f>
        <v/>
      </c>
      <c r="Q2151">
        <f>IF(AND(ISNUMBER(P2151),ISNUMBER(A2151)),IF(AND(A2151&gt;=Dashboard!$Q$3,A2151&lt;=Dashboard!$Q$4,OR(J2151&lt;&gt;"Yes",Dashboard!$Q$15="Yes")),P2151,""),"")</f>
        <v/>
      </c>
    </row>
    <row r="2152">
      <c r="A2152" s="47" t="n"/>
      <c r="B2152" s="48" t="n"/>
      <c r="C2152" s="48" t="n"/>
      <c r="D2152" s="48" t="n"/>
      <c r="E2152" s="48" t="n"/>
      <c r="F2152" s="48" t="n"/>
      <c r="G2152" s="48" t="n"/>
      <c r="H2152" s="48" t="n"/>
      <c r="I2152" s="49" t="n"/>
      <c r="J2152" s="50" t="n"/>
      <c r="K2152" s="48" t="n"/>
      <c r="L2152" s="51">
        <f>IF(A2152="","",DATE(YEAR(A2152),MONTH(A2152),1))</f>
        <v/>
      </c>
      <c r="M2152" s="52">
        <f>IF(OR(A2152="",NOT(ISNUMBER(I2152))),"",IF(G2152=Lists!$B$5,I2152/2,IF(G2152=Lists!$B$6,I2152,0)))</f>
        <v/>
      </c>
      <c r="N2152" s="52">
        <f>IF(OR(A2152="",NOT(ISNUMBER(I2152))),"",IF(G2152=Lists!$B$5,I2152/2,IF(G2152=Lists!$B$7,I2152,0)))</f>
        <v/>
      </c>
      <c r="O2152" s="53">
        <f>IF(COUNTA(A2152:K2152)=0,"",IF(OR(A2152="",B2152="",C2152="",D2152="",E2152="",F2152="",G2152="",NOT(ISNUMBER(I2152))),"Incomplete",IF(COUNTIF(Lists!$H$4:$AA$4,C2152)=0,"Check category",IF(COUNTIF(INDEX(Lists!$H$6:$AA$45,0,MATCH(C2152,Lists!$H$4:$AA$4,0)),D2152)=0,"Check sub-category","OK"))))</f>
        <v/>
      </c>
      <c r="P2152">
        <f>IF(ISNUMBER(I2152),I2152+ROW()/10000000,"")</f>
        <v/>
      </c>
      <c r="Q2152">
        <f>IF(AND(ISNUMBER(P2152),ISNUMBER(A2152)),IF(AND(A2152&gt;=Dashboard!$Q$3,A2152&lt;=Dashboard!$Q$4,OR(J2152&lt;&gt;"Yes",Dashboard!$Q$15="Yes")),P2152,""),"")</f>
        <v/>
      </c>
    </row>
    <row r="2153">
      <c r="A2153" s="47" t="n"/>
      <c r="B2153" s="48" t="n"/>
      <c r="C2153" s="48" t="n"/>
      <c r="D2153" s="48" t="n"/>
      <c r="E2153" s="48" t="n"/>
      <c r="F2153" s="48" t="n"/>
      <c r="G2153" s="48" t="n"/>
      <c r="H2153" s="48" t="n"/>
      <c r="I2153" s="49" t="n"/>
      <c r="J2153" s="50" t="n"/>
      <c r="K2153" s="48" t="n"/>
      <c r="L2153" s="51">
        <f>IF(A2153="","",DATE(YEAR(A2153),MONTH(A2153),1))</f>
        <v/>
      </c>
      <c r="M2153" s="52">
        <f>IF(OR(A2153="",NOT(ISNUMBER(I2153))),"",IF(G2153=Lists!$B$5,I2153/2,IF(G2153=Lists!$B$6,I2153,0)))</f>
        <v/>
      </c>
      <c r="N2153" s="52">
        <f>IF(OR(A2153="",NOT(ISNUMBER(I2153))),"",IF(G2153=Lists!$B$5,I2153/2,IF(G2153=Lists!$B$7,I2153,0)))</f>
        <v/>
      </c>
      <c r="O2153" s="53">
        <f>IF(COUNTA(A2153:K2153)=0,"",IF(OR(A2153="",B2153="",C2153="",D2153="",E2153="",F2153="",G2153="",NOT(ISNUMBER(I2153))),"Incomplete",IF(COUNTIF(Lists!$H$4:$AA$4,C2153)=0,"Check category",IF(COUNTIF(INDEX(Lists!$H$6:$AA$45,0,MATCH(C2153,Lists!$H$4:$AA$4,0)),D2153)=0,"Check sub-category","OK"))))</f>
        <v/>
      </c>
      <c r="P2153">
        <f>IF(ISNUMBER(I2153),I2153+ROW()/10000000,"")</f>
        <v/>
      </c>
      <c r="Q2153">
        <f>IF(AND(ISNUMBER(P2153),ISNUMBER(A2153)),IF(AND(A2153&gt;=Dashboard!$Q$3,A2153&lt;=Dashboard!$Q$4,OR(J2153&lt;&gt;"Yes",Dashboard!$Q$15="Yes")),P2153,""),"")</f>
        <v/>
      </c>
    </row>
    <row r="2154">
      <c r="A2154" s="47" t="n"/>
      <c r="B2154" s="48" t="n"/>
      <c r="C2154" s="48" t="n"/>
      <c r="D2154" s="48" t="n"/>
      <c r="E2154" s="48" t="n"/>
      <c r="F2154" s="48" t="n"/>
      <c r="G2154" s="48" t="n"/>
      <c r="H2154" s="48" t="n"/>
      <c r="I2154" s="49" t="n"/>
      <c r="J2154" s="50" t="n"/>
      <c r="K2154" s="48" t="n"/>
      <c r="L2154" s="51">
        <f>IF(A2154="","",DATE(YEAR(A2154),MONTH(A2154),1))</f>
        <v/>
      </c>
      <c r="M2154" s="52">
        <f>IF(OR(A2154="",NOT(ISNUMBER(I2154))),"",IF(G2154=Lists!$B$5,I2154/2,IF(G2154=Lists!$B$6,I2154,0)))</f>
        <v/>
      </c>
      <c r="N2154" s="52">
        <f>IF(OR(A2154="",NOT(ISNUMBER(I2154))),"",IF(G2154=Lists!$B$5,I2154/2,IF(G2154=Lists!$B$7,I2154,0)))</f>
        <v/>
      </c>
      <c r="O2154" s="53">
        <f>IF(COUNTA(A2154:K2154)=0,"",IF(OR(A2154="",B2154="",C2154="",D2154="",E2154="",F2154="",G2154="",NOT(ISNUMBER(I2154))),"Incomplete",IF(COUNTIF(Lists!$H$4:$AA$4,C2154)=0,"Check category",IF(COUNTIF(INDEX(Lists!$H$6:$AA$45,0,MATCH(C2154,Lists!$H$4:$AA$4,0)),D2154)=0,"Check sub-category","OK"))))</f>
        <v/>
      </c>
      <c r="P2154">
        <f>IF(ISNUMBER(I2154),I2154+ROW()/10000000,"")</f>
        <v/>
      </c>
      <c r="Q2154">
        <f>IF(AND(ISNUMBER(P2154),ISNUMBER(A2154)),IF(AND(A2154&gt;=Dashboard!$Q$3,A2154&lt;=Dashboard!$Q$4,OR(J2154&lt;&gt;"Yes",Dashboard!$Q$15="Yes")),P2154,""),"")</f>
        <v/>
      </c>
    </row>
    <row r="2155">
      <c r="A2155" s="47" t="n"/>
      <c r="B2155" s="48" t="n"/>
      <c r="C2155" s="48" t="n"/>
      <c r="D2155" s="48" t="n"/>
      <c r="E2155" s="48" t="n"/>
      <c r="F2155" s="48" t="n"/>
      <c r="G2155" s="48" t="n"/>
      <c r="H2155" s="48" t="n"/>
      <c r="I2155" s="49" t="n"/>
      <c r="J2155" s="50" t="n"/>
      <c r="K2155" s="48" t="n"/>
      <c r="L2155" s="51">
        <f>IF(A2155="","",DATE(YEAR(A2155),MONTH(A2155),1))</f>
        <v/>
      </c>
      <c r="M2155" s="52">
        <f>IF(OR(A2155="",NOT(ISNUMBER(I2155))),"",IF(G2155=Lists!$B$5,I2155/2,IF(G2155=Lists!$B$6,I2155,0)))</f>
        <v/>
      </c>
      <c r="N2155" s="52">
        <f>IF(OR(A2155="",NOT(ISNUMBER(I2155))),"",IF(G2155=Lists!$B$5,I2155/2,IF(G2155=Lists!$B$7,I2155,0)))</f>
        <v/>
      </c>
      <c r="O2155" s="53">
        <f>IF(COUNTA(A2155:K2155)=0,"",IF(OR(A2155="",B2155="",C2155="",D2155="",E2155="",F2155="",G2155="",NOT(ISNUMBER(I2155))),"Incomplete",IF(COUNTIF(Lists!$H$4:$AA$4,C2155)=0,"Check category",IF(COUNTIF(INDEX(Lists!$H$6:$AA$45,0,MATCH(C2155,Lists!$H$4:$AA$4,0)),D2155)=0,"Check sub-category","OK"))))</f>
        <v/>
      </c>
      <c r="P2155">
        <f>IF(ISNUMBER(I2155),I2155+ROW()/10000000,"")</f>
        <v/>
      </c>
      <c r="Q2155">
        <f>IF(AND(ISNUMBER(P2155),ISNUMBER(A2155)),IF(AND(A2155&gt;=Dashboard!$Q$3,A2155&lt;=Dashboard!$Q$4,OR(J2155&lt;&gt;"Yes",Dashboard!$Q$15="Yes")),P2155,""),"")</f>
        <v/>
      </c>
    </row>
    <row r="2156">
      <c r="A2156" s="47" t="n"/>
      <c r="B2156" s="48" t="n"/>
      <c r="C2156" s="48" t="n"/>
      <c r="D2156" s="48" t="n"/>
      <c r="E2156" s="48" t="n"/>
      <c r="F2156" s="48" t="n"/>
      <c r="G2156" s="48" t="n"/>
      <c r="H2156" s="48" t="n"/>
      <c r="I2156" s="49" t="n"/>
      <c r="J2156" s="50" t="n"/>
      <c r="K2156" s="48" t="n"/>
      <c r="L2156" s="51">
        <f>IF(A2156="","",DATE(YEAR(A2156),MONTH(A2156),1))</f>
        <v/>
      </c>
      <c r="M2156" s="52">
        <f>IF(OR(A2156="",NOT(ISNUMBER(I2156))),"",IF(G2156=Lists!$B$5,I2156/2,IF(G2156=Lists!$B$6,I2156,0)))</f>
        <v/>
      </c>
      <c r="N2156" s="52">
        <f>IF(OR(A2156="",NOT(ISNUMBER(I2156))),"",IF(G2156=Lists!$B$5,I2156/2,IF(G2156=Lists!$B$7,I2156,0)))</f>
        <v/>
      </c>
      <c r="O2156" s="53">
        <f>IF(COUNTA(A2156:K2156)=0,"",IF(OR(A2156="",B2156="",C2156="",D2156="",E2156="",F2156="",G2156="",NOT(ISNUMBER(I2156))),"Incomplete",IF(COUNTIF(Lists!$H$4:$AA$4,C2156)=0,"Check category",IF(COUNTIF(INDEX(Lists!$H$6:$AA$45,0,MATCH(C2156,Lists!$H$4:$AA$4,0)),D2156)=0,"Check sub-category","OK"))))</f>
        <v/>
      </c>
      <c r="P2156">
        <f>IF(ISNUMBER(I2156),I2156+ROW()/10000000,"")</f>
        <v/>
      </c>
      <c r="Q2156">
        <f>IF(AND(ISNUMBER(P2156),ISNUMBER(A2156)),IF(AND(A2156&gt;=Dashboard!$Q$3,A2156&lt;=Dashboard!$Q$4,OR(J2156&lt;&gt;"Yes",Dashboard!$Q$15="Yes")),P2156,""),"")</f>
        <v/>
      </c>
    </row>
    <row r="2157">
      <c r="A2157" s="47" t="n"/>
      <c r="B2157" s="48" t="n"/>
      <c r="C2157" s="48" t="n"/>
      <c r="D2157" s="48" t="n"/>
      <c r="E2157" s="48" t="n"/>
      <c r="F2157" s="48" t="n"/>
      <c r="G2157" s="48" t="n"/>
      <c r="H2157" s="48" t="n"/>
      <c r="I2157" s="49" t="n"/>
      <c r="J2157" s="50" t="n"/>
      <c r="K2157" s="48" t="n"/>
      <c r="L2157" s="51">
        <f>IF(A2157="","",DATE(YEAR(A2157),MONTH(A2157),1))</f>
        <v/>
      </c>
      <c r="M2157" s="52">
        <f>IF(OR(A2157="",NOT(ISNUMBER(I2157))),"",IF(G2157=Lists!$B$5,I2157/2,IF(G2157=Lists!$B$6,I2157,0)))</f>
        <v/>
      </c>
      <c r="N2157" s="52">
        <f>IF(OR(A2157="",NOT(ISNUMBER(I2157))),"",IF(G2157=Lists!$B$5,I2157/2,IF(G2157=Lists!$B$7,I2157,0)))</f>
        <v/>
      </c>
      <c r="O2157" s="53">
        <f>IF(COUNTA(A2157:K2157)=0,"",IF(OR(A2157="",B2157="",C2157="",D2157="",E2157="",F2157="",G2157="",NOT(ISNUMBER(I2157))),"Incomplete",IF(COUNTIF(Lists!$H$4:$AA$4,C2157)=0,"Check category",IF(COUNTIF(INDEX(Lists!$H$6:$AA$45,0,MATCH(C2157,Lists!$H$4:$AA$4,0)),D2157)=0,"Check sub-category","OK"))))</f>
        <v/>
      </c>
      <c r="P2157">
        <f>IF(ISNUMBER(I2157),I2157+ROW()/10000000,"")</f>
        <v/>
      </c>
      <c r="Q2157">
        <f>IF(AND(ISNUMBER(P2157),ISNUMBER(A2157)),IF(AND(A2157&gt;=Dashboard!$Q$3,A2157&lt;=Dashboard!$Q$4,OR(J2157&lt;&gt;"Yes",Dashboard!$Q$15="Yes")),P2157,""),"")</f>
        <v/>
      </c>
    </row>
    <row r="2158">
      <c r="A2158" s="47" t="n"/>
      <c r="B2158" s="48" t="n"/>
      <c r="C2158" s="48" t="n"/>
      <c r="D2158" s="48" t="n"/>
      <c r="E2158" s="48" t="n"/>
      <c r="F2158" s="48" t="n"/>
      <c r="G2158" s="48" t="n"/>
      <c r="H2158" s="48" t="n"/>
      <c r="I2158" s="49" t="n"/>
      <c r="J2158" s="50" t="n"/>
      <c r="K2158" s="48" t="n"/>
      <c r="L2158" s="51">
        <f>IF(A2158="","",DATE(YEAR(A2158),MONTH(A2158),1))</f>
        <v/>
      </c>
      <c r="M2158" s="52">
        <f>IF(OR(A2158="",NOT(ISNUMBER(I2158))),"",IF(G2158=Lists!$B$5,I2158/2,IF(G2158=Lists!$B$6,I2158,0)))</f>
        <v/>
      </c>
      <c r="N2158" s="52">
        <f>IF(OR(A2158="",NOT(ISNUMBER(I2158))),"",IF(G2158=Lists!$B$5,I2158/2,IF(G2158=Lists!$B$7,I2158,0)))</f>
        <v/>
      </c>
      <c r="O2158" s="53">
        <f>IF(COUNTA(A2158:K2158)=0,"",IF(OR(A2158="",B2158="",C2158="",D2158="",E2158="",F2158="",G2158="",NOT(ISNUMBER(I2158))),"Incomplete",IF(COUNTIF(Lists!$H$4:$AA$4,C2158)=0,"Check category",IF(COUNTIF(INDEX(Lists!$H$6:$AA$45,0,MATCH(C2158,Lists!$H$4:$AA$4,0)),D2158)=0,"Check sub-category","OK"))))</f>
        <v/>
      </c>
      <c r="P2158">
        <f>IF(ISNUMBER(I2158),I2158+ROW()/10000000,"")</f>
        <v/>
      </c>
      <c r="Q2158">
        <f>IF(AND(ISNUMBER(P2158),ISNUMBER(A2158)),IF(AND(A2158&gt;=Dashboard!$Q$3,A2158&lt;=Dashboard!$Q$4,OR(J2158&lt;&gt;"Yes",Dashboard!$Q$15="Yes")),P2158,""),"")</f>
        <v/>
      </c>
    </row>
    <row r="2159">
      <c r="A2159" s="47" t="n"/>
      <c r="B2159" s="48" t="n"/>
      <c r="C2159" s="48" t="n"/>
      <c r="D2159" s="48" t="n"/>
      <c r="E2159" s="48" t="n"/>
      <c r="F2159" s="48" t="n"/>
      <c r="G2159" s="48" t="n"/>
      <c r="H2159" s="48" t="n"/>
      <c r="I2159" s="49" t="n"/>
      <c r="J2159" s="50" t="n"/>
      <c r="K2159" s="48" t="n"/>
      <c r="L2159" s="51">
        <f>IF(A2159="","",DATE(YEAR(A2159),MONTH(A2159),1))</f>
        <v/>
      </c>
      <c r="M2159" s="52">
        <f>IF(OR(A2159="",NOT(ISNUMBER(I2159))),"",IF(G2159=Lists!$B$5,I2159/2,IF(G2159=Lists!$B$6,I2159,0)))</f>
        <v/>
      </c>
      <c r="N2159" s="52">
        <f>IF(OR(A2159="",NOT(ISNUMBER(I2159))),"",IF(G2159=Lists!$B$5,I2159/2,IF(G2159=Lists!$B$7,I2159,0)))</f>
        <v/>
      </c>
      <c r="O2159" s="53">
        <f>IF(COUNTA(A2159:K2159)=0,"",IF(OR(A2159="",B2159="",C2159="",D2159="",E2159="",F2159="",G2159="",NOT(ISNUMBER(I2159))),"Incomplete",IF(COUNTIF(Lists!$H$4:$AA$4,C2159)=0,"Check category",IF(COUNTIF(INDEX(Lists!$H$6:$AA$45,0,MATCH(C2159,Lists!$H$4:$AA$4,0)),D2159)=0,"Check sub-category","OK"))))</f>
        <v/>
      </c>
      <c r="P2159">
        <f>IF(ISNUMBER(I2159),I2159+ROW()/10000000,"")</f>
        <v/>
      </c>
      <c r="Q2159">
        <f>IF(AND(ISNUMBER(P2159),ISNUMBER(A2159)),IF(AND(A2159&gt;=Dashboard!$Q$3,A2159&lt;=Dashboard!$Q$4,OR(J2159&lt;&gt;"Yes",Dashboard!$Q$15="Yes")),P2159,""),"")</f>
        <v/>
      </c>
    </row>
    <row r="2160">
      <c r="A2160" s="47" t="n"/>
      <c r="B2160" s="48" t="n"/>
      <c r="C2160" s="48" t="n"/>
      <c r="D2160" s="48" t="n"/>
      <c r="E2160" s="48" t="n"/>
      <c r="F2160" s="48" t="n"/>
      <c r="G2160" s="48" t="n"/>
      <c r="H2160" s="48" t="n"/>
      <c r="I2160" s="49" t="n"/>
      <c r="J2160" s="50" t="n"/>
      <c r="K2160" s="48" t="n"/>
      <c r="L2160" s="51">
        <f>IF(A2160="","",DATE(YEAR(A2160),MONTH(A2160),1))</f>
        <v/>
      </c>
      <c r="M2160" s="52">
        <f>IF(OR(A2160="",NOT(ISNUMBER(I2160))),"",IF(G2160=Lists!$B$5,I2160/2,IF(G2160=Lists!$B$6,I2160,0)))</f>
        <v/>
      </c>
      <c r="N2160" s="52">
        <f>IF(OR(A2160="",NOT(ISNUMBER(I2160))),"",IF(G2160=Lists!$B$5,I2160/2,IF(G2160=Lists!$B$7,I2160,0)))</f>
        <v/>
      </c>
      <c r="O2160" s="53">
        <f>IF(COUNTA(A2160:K2160)=0,"",IF(OR(A2160="",B2160="",C2160="",D2160="",E2160="",F2160="",G2160="",NOT(ISNUMBER(I2160))),"Incomplete",IF(COUNTIF(Lists!$H$4:$AA$4,C2160)=0,"Check category",IF(COUNTIF(INDEX(Lists!$H$6:$AA$45,0,MATCH(C2160,Lists!$H$4:$AA$4,0)),D2160)=0,"Check sub-category","OK"))))</f>
        <v/>
      </c>
      <c r="P2160">
        <f>IF(ISNUMBER(I2160),I2160+ROW()/10000000,"")</f>
        <v/>
      </c>
      <c r="Q2160">
        <f>IF(AND(ISNUMBER(P2160),ISNUMBER(A2160)),IF(AND(A2160&gt;=Dashboard!$Q$3,A2160&lt;=Dashboard!$Q$4,OR(J2160&lt;&gt;"Yes",Dashboard!$Q$15="Yes")),P2160,""),"")</f>
        <v/>
      </c>
    </row>
    <row r="2161">
      <c r="A2161" s="47" t="n"/>
      <c r="B2161" s="48" t="n"/>
      <c r="C2161" s="48" t="n"/>
      <c r="D2161" s="48" t="n"/>
      <c r="E2161" s="48" t="n"/>
      <c r="F2161" s="48" t="n"/>
      <c r="G2161" s="48" t="n"/>
      <c r="H2161" s="48" t="n"/>
      <c r="I2161" s="49" t="n"/>
      <c r="J2161" s="50" t="n"/>
      <c r="K2161" s="48" t="n"/>
      <c r="L2161" s="51">
        <f>IF(A2161="","",DATE(YEAR(A2161),MONTH(A2161),1))</f>
        <v/>
      </c>
      <c r="M2161" s="52">
        <f>IF(OR(A2161="",NOT(ISNUMBER(I2161))),"",IF(G2161=Lists!$B$5,I2161/2,IF(G2161=Lists!$B$6,I2161,0)))</f>
        <v/>
      </c>
      <c r="N2161" s="52">
        <f>IF(OR(A2161="",NOT(ISNUMBER(I2161))),"",IF(G2161=Lists!$B$5,I2161/2,IF(G2161=Lists!$B$7,I2161,0)))</f>
        <v/>
      </c>
      <c r="O2161" s="53">
        <f>IF(COUNTA(A2161:K2161)=0,"",IF(OR(A2161="",B2161="",C2161="",D2161="",E2161="",F2161="",G2161="",NOT(ISNUMBER(I2161))),"Incomplete",IF(COUNTIF(Lists!$H$4:$AA$4,C2161)=0,"Check category",IF(COUNTIF(INDEX(Lists!$H$6:$AA$45,0,MATCH(C2161,Lists!$H$4:$AA$4,0)),D2161)=0,"Check sub-category","OK"))))</f>
        <v/>
      </c>
      <c r="P2161">
        <f>IF(ISNUMBER(I2161),I2161+ROW()/10000000,"")</f>
        <v/>
      </c>
      <c r="Q2161">
        <f>IF(AND(ISNUMBER(P2161),ISNUMBER(A2161)),IF(AND(A2161&gt;=Dashboard!$Q$3,A2161&lt;=Dashboard!$Q$4,OR(J2161&lt;&gt;"Yes",Dashboard!$Q$15="Yes")),P2161,""),"")</f>
        <v/>
      </c>
    </row>
    <row r="2162">
      <c r="A2162" s="47" t="n"/>
      <c r="B2162" s="48" t="n"/>
      <c r="C2162" s="48" t="n"/>
      <c r="D2162" s="48" t="n"/>
      <c r="E2162" s="48" t="n"/>
      <c r="F2162" s="48" t="n"/>
      <c r="G2162" s="48" t="n"/>
      <c r="H2162" s="48" t="n"/>
      <c r="I2162" s="49" t="n"/>
      <c r="J2162" s="50" t="n"/>
      <c r="K2162" s="48" t="n"/>
      <c r="L2162" s="51">
        <f>IF(A2162="","",DATE(YEAR(A2162),MONTH(A2162),1))</f>
        <v/>
      </c>
      <c r="M2162" s="52">
        <f>IF(OR(A2162="",NOT(ISNUMBER(I2162))),"",IF(G2162=Lists!$B$5,I2162/2,IF(G2162=Lists!$B$6,I2162,0)))</f>
        <v/>
      </c>
      <c r="N2162" s="52">
        <f>IF(OR(A2162="",NOT(ISNUMBER(I2162))),"",IF(G2162=Lists!$B$5,I2162/2,IF(G2162=Lists!$B$7,I2162,0)))</f>
        <v/>
      </c>
      <c r="O2162" s="53">
        <f>IF(COUNTA(A2162:K2162)=0,"",IF(OR(A2162="",B2162="",C2162="",D2162="",E2162="",F2162="",G2162="",NOT(ISNUMBER(I2162))),"Incomplete",IF(COUNTIF(Lists!$H$4:$AA$4,C2162)=0,"Check category",IF(COUNTIF(INDEX(Lists!$H$6:$AA$45,0,MATCH(C2162,Lists!$H$4:$AA$4,0)),D2162)=0,"Check sub-category","OK"))))</f>
        <v/>
      </c>
      <c r="P2162">
        <f>IF(ISNUMBER(I2162),I2162+ROW()/10000000,"")</f>
        <v/>
      </c>
      <c r="Q2162">
        <f>IF(AND(ISNUMBER(P2162),ISNUMBER(A2162)),IF(AND(A2162&gt;=Dashboard!$Q$3,A2162&lt;=Dashboard!$Q$4,OR(J2162&lt;&gt;"Yes",Dashboard!$Q$15="Yes")),P2162,""),"")</f>
        <v/>
      </c>
    </row>
    <row r="2163">
      <c r="A2163" s="47" t="n"/>
      <c r="B2163" s="48" t="n"/>
      <c r="C2163" s="48" t="n"/>
      <c r="D2163" s="48" t="n"/>
      <c r="E2163" s="48" t="n"/>
      <c r="F2163" s="48" t="n"/>
      <c r="G2163" s="48" t="n"/>
      <c r="H2163" s="48" t="n"/>
      <c r="I2163" s="49" t="n"/>
      <c r="J2163" s="50" t="n"/>
      <c r="K2163" s="48" t="n"/>
      <c r="L2163" s="51">
        <f>IF(A2163="","",DATE(YEAR(A2163),MONTH(A2163),1))</f>
        <v/>
      </c>
      <c r="M2163" s="52">
        <f>IF(OR(A2163="",NOT(ISNUMBER(I2163))),"",IF(G2163=Lists!$B$5,I2163/2,IF(G2163=Lists!$B$6,I2163,0)))</f>
        <v/>
      </c>
      <c r="N2163" s="52">
        <f>IF(OR(A2163="",NOT(ISNUMBER(I2163))),"",IF(G2163=Lists!$B$5,I2163/2,IF(G2163=Lists!$B$7,I2163,0)))</f>
        <v/>
      </c>
      <c r="O2163" s="53">
        <f>IF(COUNTA(A2163:K2163)=0,"",IF(OR(A2163="",B2163="",C2163="",D2163="",E2163="",F2163="",G2163="",NOT(ISNUMBER(I2163))),"Incomplete",IF(COUNTIF(Lists!$H$4:$AA$4,C2163)=0,"Check category",IF(COUNTIF(INDEX(Lists!$H$6:$AA$45,0,MATCH(C2163,Lists!$H$4:$AA$4,0)),D2163)=0,"Check sub-category","OK"))))</f>
        <v/>
      </c>
      <c r="P2163">
        <f>IF(ISNUMBER(I2163),I2163+ROW()/10000000,"")</f>
        <v/>
      </c>
      <c r="Q2163">
        <f>IF(AND(ISNUMBER(P2163),ISNUMBER(A2163)),IF(AND(A2163&gt;=Dashboard!$Q$3,A2163&lt;=Dashboard!$Q$4,OR(J2163&lt;&gt;"Yes",Dashboard!$Q$15="Yes")),P2163,""),"")</f>
        <v/>
      </c>
    </row>
    <row r="2164">
      <c r="A2164" s="47" t="n"/>
      <c r="B2164" s="48" t="n"/>
      <c r="C2164" s="48" t="n"/>
      <c r="D2164" s="48" t="n"/>
      <c r="E2164" s="48" t="n"/>
      <c r="F2164" s="48" t="n"/>
      <c r="G2164" s="48" t="n"/>
      <c r="H2164" s="48" t="n"/>
      <c r="I2164" s="49" t="n"/>
      <c r="J2164" s="50" t="n"/>
      <c r="K2164" s="48" t="n"/>
      <c r="L2164" s="51">
        <f>IF(A2164="","",DATE(YEAR(A2164),MONTH(A2164),1))</f>
        <v/>
      </c>
      <c r="M2164" s="52">
        <f>IF(OR(A2164="",NOT(ISNUMBER(I2164))),"",IF(G2164=Lists!$B$5,I2164/2,IF(G2164=Lists!$B$6,I2164,0)))</f>
        <v/>
      </c>
      <c r="N2164" s="52">
        <f>IF(OR(A2164="",NOT(ISNUMBER(I2164))),"",IF(G2164=Lists!$B$5,I2164/2,IF(G2164=Lists!$B$7,I2164,0)))</f>
        <v/>
      </c>
      <c r="O2164" s="53">
        <f>IF(COUNTA(A2164:K2164)=0,"",IF(OR(A2164="",B2164="",C2164="",D2164="",E2164="",F2164="",G2164="",NOT(ISNUMBER(I2164))),"Incomplete",IF(COUNTIF(Lists!$H$4:$AA$4,C2164)=0,"Check category",IF(COUNTIF(INDEX(Lists!$H$6:$AA$45,0,MATCH(C2164,Lists!$H$4:$AA$4,0)),D2164)=0,"Check sub-category","OK"))))</f>
        <v/>
      </c>
      <c r="P2164">
        <f>IF(ISNUMBER(I2164),I2164+ROW()/10000000,"")</f>
        <v/>
      </c>
      <c r="Q2164">
        <f>IF(AND(ISNUMBER(P2164),ISNUMBER(A2164)),IF(AND(A2164&gt;=Dashboard!$Q$3,A2164&lt;=Dashboard!$Q$4,OR(J2164&lt;&gt;"Yes",Dashboard!$Q$15="Yes")),P2164,""),"")</f>
        <v/>
      </c>
    </row>
    <row r="2165">
      <c r="A2165" s="47" t="n"/>
      <c r="B2165" s="48" t="n"/>
      <c r="C2165" s="48" t="n"/>
      <c r="D2165" s="48" t="n"/>
      <c r="E2165" s="48" t="n"/>
      <c r="F2165" s="48" t="n"/>
      <c r="G2165" s="48" t="n"/>
      <c r="H2165" s="48" t="n"/>
      <c r="I2165" s="49" t="n"/>
      <c r="J2165" s="50" t="n"/>
      <c r="K2165" s="48" t="n"/>
      <c r="L2165" s="51">
        <f>IF(A2165="","",DATE(YEAR(A2165),MONTH(A2165),1))</f>
        <v/>
      </c>
      <c r="M2165" s="52">
        <f>IF(OR(A2165="",NOT(ISNUMBER(I2165))),"",IF(G2165=Lists!$B$5,I2165/2,IF(G2165=Lists!$B$6,I2165,0)))</f>
        <v/>
      </c>
      <c r="N2165" s="52">
        <f>IF(OR(A2165="",NOT(ISNUMBER(I2165))),"",IF(G2165=Lists!$B$5,I2165/2,IF(G2165=Lists!$B$7,I2165,0)))</f>
        <v/>
      </c>
      <c r="O2165" s="53">
        <f>IF(COUNTA(A2165:K2165)=0,"",IF(OR(A2165="",B2165="",C2165="",D2165="",E2165="",F2165="",G2165="",NOT(ISNUMBER(I2165))),"Incomplete",IF(COUNTIF(Lists!$H$4:$AA$4,C2165)=0,"Check category",IF(COUNTIF(INDEX(Lists!$H$6:$AA$45,0,MATCH(C2165,Lists!$H$4:$AA$4,0)),D2165)=0,"Check sub-category","OK"))))</f>
        <v/>
      </c>
      <c r="P2165">
        <f>IF(ISNUMBER(I2165),I2165+ROW()/10000000,"")</f>
        <v/>
      </c>
      <c r="Q2165">
        <f>IF(AND(ISNUMBER(P2165),ISNUMBER(A2165)),IF(AND(A2165&gt;=Dashboard!$Q$3,A2165&lt;=Dashboard!$Q$4,OR(J2165&lt;&gt;"Yes",Dashboard!$Q$15="Yes")),P2165,""),"")</f>
        <v/>
      </c>
    </row>
    <row r="2166">
      <c r="A2166" s="47" t="n"/>
      <c r="B2166" s="48" t="n"/>
      <c r="C2166" s="48" t="n"/>
      <c r="D2166" s="48" t="n"/>
      <c r="E2166" s="48" t="n"/>
      <c r="F2166" s="48" t="n"/>
      <c r="G2166" s="48" t="n"/>
      <c r="H2166" s="48" t="n"/>
      <c r="I2166" s="49" t="n"/>
      <c r="J2166" s="50" t="n"/>
      <c r="K2166" s="48" t="n"/>
      <c r="L2166" s="51">
        <f>IF(A2166="","",DATE(YEAR(A2166),MONTH(A2166),1))</f>
        <v/>
      </c>
      <c r="M2166" s="52">
        <f>IF(OR(A2166="",NOT(ISNUMBER(I2166))),"",IF(G2166=Lists!$B$5,I2166/2,IF(G2166=Lists!$B$6,I2166,0)))</f>
        <v/>
      </c>
      <c r="N2166" s="52">
        <f>IF(OR(A2166="",NOT(ISNUMBER(I2166))),"",IF(G2166=Lists!$B$5,I2166/2,IF(G2166=Lists!$B$7,I2166,0)))</f>
        <v/>
      </c>
      <c r="O2166" s="53">
        <f>IF(COUNTA(A2166:K2166)=0,"",IF(OR(A2166="",B2166="",C2166="",D2166="",E2166="",F2166="",G2166="",NOT(ISNUMBER(I2166))),"Incomplete",IF(COUNTIF(Lists!$H$4:$AA$4,C2166)=0,"Check category",IF(COUNTIF(INDEX(Lists!$H$6:$AA$45,0,MATCH(C2166,Lists!$H$4:$AA$4,0)),D2166)=0,"Check sub-category","OK"))))</f>
        <v/>
      </c>
      <c r="P2166">
        <f>IF(ISNUMBER(I2166),I2166+ROW()/10000000,"")</f>
        <v/>
      </c>
      <c r="Q2166">
        <f>IF(AND(ISNUMBER(P2166),ISNUMBER(A2166)),IF(AND(A2166&gt;=Dashboard!$Q$3,A2166&lt;=Dashboard!$Q$4,OR(J2166&lt;&gt;"Yes",Dashboard!$Q$15="Yes")),P2166,""),"")</f>
        <v/>
      </c>
    </row>
    <row r="2167">
      <c r="A2167" s="47" t="n"/>
      <c r="B2167" s="48" t="n"/>
      <c r="C2167" s="48" t="n"/>
      <c r="D2167" s="48" t="n"/>
      <c r="E2167" s="48" t="n"/>
      <c r="F2167" s="48" t="n"/>
      <c r="G2167" s="48" t="n"/>
      <c r="H2167" s="48" t="n"/>
      <c r="I2167" s="49" t="n"/>
      <c r="J2167" s="50" t="n"/>
      <c r="K2167" s="48" t="n"/>
      <c r="L2167" s="51">
        <f>IF(A2167="","",DATE(YEAR(A2167),MONTH(A2167),1))</f>
        <v/>
      </c>
      <c r="M2167" s="52">
        <f>IF(OR(A2167="",NOT(ISNUMBER(I2167))),"",IF(G2167=Lists!$B$5,I2167/2,IF(G2167=Lists!$B$6,I2167,0)))</f>
        <v/>
      </c>
      <c r="N2167" s="52">
        <f>IF(OR(A2167="",NOT(ISNUMBER(I2167))),"",IF(G2167=Lists!$B$5,I2167/2,IF(G2167=Lists!$B$7,I2167,0)))</f>
        <v/>
      </c>
      <c r="O2167" s="53">
        <f>IF(COUNTA(A2167:K2167)=0,"",IF(OR(A2167="",B2167="",C2167="",D2167="",E2167="",F2167="",G2167="",NOT(ISNUMBER(I2167))),"Incomplete",IF(COUNTIF(Lists!$H$4:$AA$4,C2167)=0,"Check category",IF(COUNTIF(INDEX(Lists!$H$6:$AA$45,0,MATCH(C2167,Lists!$H$4:$AA$4,0)),D2167)=0,"Check sub-category","OK"))))</f>
        <v/>
      </c>
      <c r="P2167">
        <f>IF(ISNUMBER(I2167),I2167+ROW()/10000000,"")</f>
        <v/>
      </c>
      <c r="Q2167">
        <f>IF(AND(ISNUMBER(P2167),ISNUMBER(A2167)),IF(AND(A2167&gt;=Dashboard!$Q$3,A2167&lt;=Dashboard!$Q$4,OR(J2167&lt;&gt;"Yes",Dashboard!$Q$15="Yes")),P2167,""),"")</f>
        <v/>
      </c>
    </row>
    <row r="2168">
      <c r="A2168" s="47" t="n"/>
      <c r="B2168" s="48" t="n"/>
      <c r="C2168" s="48" t="n"/>
      <c r="D2168" s="48" t="n"/>
      <c r="E2168" s="48" t="n"/>
      <c r="F2168" s="48" t="n"/>
      <c r="G2168" s="48" t="n"/>
      <c r="H2168" s="48" t="n"/>
      <c r="I2168" s="49" t="n"/>
      <c r="J2168" s="50" t="n"/>
      <c r="K2168" s="48" t="n"/>
      <c r="L2168" s="51">
        <f>IF(A2168="","",DATE(YEAR(A2168),MONTH(A2168),1))</f>
        <v/>
      </c>
      <c r="M2168" s="52">
        <f>IF(OR(A2168="",NOT(ISNUMBER(I2168))),"",IF(G2168=Lists!$B$5,I2168/2,IF(G2168=Lists!$B$6,I2168,0)))</f>
        <v/>
      </c>
      <c r="N2168" s="52">
        <f>IF(OR(A2168="",NOT(ISNUMBER(I2168))),"",IF(G2168=Lists!$B$5,I2168/2,IF(G2168=Lists!$B$7,I2168,0)))</f>
        <v/>
      </c>
      <c r="O2168" s="53">
        <f>IF(COUNTA(A2168:K2168)=0,"",IF(OR(A2168="",B2168="",C2168="",D2168="",E2168="",F2168="",G2168="",NOT(ISNUMBER(I2168))),"Incomplete",IF(COUNTIF(Lists!$H$4:$AA$4,C2168)=0,"Check category",IF(COUNTIF(INDEX(Lists!$H$6:$AA$45,0,MATCH(C2168,Lists!$H$4:$AA$4,0)),D2168)=0,"Check sub-category","OK"))))</f>
        <v/>
      </c>
      <c r="P2168">
        <f>IF(ISNUMBER(I2168),I2168+ROW()/10000000,"")</f>
        <v/>
      </c>
      <c r="Q2168">
        <f>IF(AND(ISNUMBER(P2168),ISNUMBER(A2168)),IF(AND(A2168&gt;=Dashboard!$Q$3,A2168&lt;=Dashboard!$Q$4,OR(J2168&lt;&gt;"Yes",Dashboard!$Q$15="Yes")),P2168,""),"")</f>
        <v/>
      </c>
    </row>
    <row r="2169">
      <c r="A2169" s="47" t="n"/>
      <c r="B2169" s="48" t="n"/>
      <c r="C2169" s="48" t="n"/>
      <c r="D2169" s="48" t="n"/>
      <c r="E2169" s="48" t="n"/>
      <c r="F2169" s="48" t="n"/>
      <c r="G2169" s="48" t="n"/>
      <c r="H2169" s="48" t="n"/>
      <c r="I2169" s="49" t="n"/>
      <c r="J2169" s="50" t="n"/>
      <c r="K2169" s="48" t="n"/>
      <c r="L2169" s="51">
        <f>IF(A2169="","",DATE(YEAR(A2169),MONTH(A2169),1))</f>
        <v/>
      </c>
      <c r="M2169" s="52">
        <f>IF(OR(A2169="",NOT(ISNUMBER(I2169))),"",IF(G2169=Lists!$B$5,I2169/2,IF(G2169=Lists!$B$6,I2169,0)))</f>
        <v/>
      </c>
      <c r="N2169" s="52">
        <f>IF(OR(A2169="",NOT(ISNUMBER(I2169))),"",IF(G2169=Lists!$B$5,I2169/2,IF(G2169=Lists!$B$7,I2169,0)))</f>
        <v/>
      </c>
      <c r="O2169" s="53">
        <f>IF(COUNTA(A2169:K2169)=0,"",IF(OR(A2169="",B2169="",C2169="",D2169="",E2169="",F2169="",G2169="",NOT(ISNUMBER(I2169))),"Incomplete",IF(COUNTIF(Lists!$H$4:$AA$4,C2169)=0,"Check category",IF(COUNTIF(INDEX(Lists!$H$6:$AA$45,0,MATCH(C2169,Lists!$H$4:$AA$4,0)),D2169)=0,"Check sub-category","OK"))))</f>
        <v/>
      </c>
      <c r="P2169">
        <f>IF(ISNUMBER(I2169),I2169+ROW()/10000000,"")</f>
        <v/>
      </c>
      <c r="Q2169">
        <f>IF(AND(ISNUMBER(P2169),ISNUMBER(A2169)),IF(AND(A2169&gt;=Dashboard!$Q$3,A2169&lt;=Dashboard!$Q$4,OR(J2169&lt;&gt;"Yes",Dashboard!$Q$15="Yes")),P2169,""),"")</f>
        <v/>
      </c>
    </row>
    <row r="2170">
      <c r="A2170" s="47" t="n"/>
      <c r="B2170" s="48" t="n"/>
      <c r="C2170" s="48" t="n"/>
      <c r="D2170" s="48" t="n"/>
      <c r="E2170" s="48" t="n"/>
      <c r="F2170" s="48" t="n"/>
      <c r="G2170" s="48" t="n"/>
      <c r="H2170" s="48" t="n"/>
      <c r="I2170" s="49" t="n"/>
      <c r="J2170" s="50" t="n"/>
      <c r="K2170" s="48" t="n"/>
      <c r="L2170" s="51">
        <f>IF(A2170="","",DATE(YEAR(A2170),MONTH(A2170),1))</f>
        <v/>
      </c>
      <c r="M2170" s="52">
        <f>IF(OR(A2170="",NOT(ISNUMBER(I2170))),"",IF(G2170=Lists!$B$5,I2170/2,IF(G2170=Lists!$B$6,I2170,0)))</f>
        <v/>
      </c>
      <c r="N2170" s="52">
        <f>IF(OR(A2170="",NOT(ISNUMBER(I2170))),"",IF(G2170=Lists!$B$5,I2170/2,IF(G2170=Lists!$B$7,I2170,0)))</f>
        <v/>
      </c>
      <c r="O2170" s="53">
        <f>IF(COUNTA(A2170:K2170)=0,"",IF(OR(A2170="",B2170="",C2170="",D2170="",E2170="",F2170="",G2170="",NOT(ISNUMBER(I2170))),"Incomplete",IF(COUNTIF(Lists!$H$4:$AA$4,C2170)=0,"Check category",IF(COUNTIF(INDEX(Lists!$H$6:$AA$45,0,MATCH(C2170,Lists!$H$4:$AA$4,0)),D2170)=0,"Check sub-category","OK"))))</f>
        <v/>
      </c>
      <c r="P2170">
        <f>IF(ISNUMBER(I2170),I2170+ROW()/10000000,"")</f>
        <v/>
      </c>
      <c r="Q2170">
        <f>IF(AND(ISNUMBER(P2170),ISNUMBER(A2170)),IF(AND(A2170&gt;=Dashboard!$Q$3,A2170&lt;=Dashboard!$Q$4,OR(J2170&lt;&gt;"Yes",Dashboard!$Q$15="Yes")),P2170,""),"")</f>
        <v/>
      </c>
    </row>
    <row r="2171">
      <c r="A2171" s="47" t="n"/>
      <c r="B2171" s="48" t="n"/>
      <c r="C2171" s="48" t="n"/>
      <c r="D2171" s="48" t="n"/>
      <c r="E2171" s="48" t="n"/>
      <c r="F2171" s="48" t="n"/>
      <c r="G2171" s="48" t="n"/>
      <c r="H2171" s="48" t="n"/>
      <c r="I2171" s="49" t="n"/>
      <c r="J2171" s="50" t="n"/>
      <c r="K2171" s="48" t="n"/>
      <c r="L2171" s="51">
        <f>IF(A2171="","",DATE(YEAR(A2171),MONTH(A2171),1))</f>
        <v/>
      </c>
      <c r="M2171" s="52">
        <f>IF(OR(A2171="",NOT(ISNUMBER(I2171))),"",IF(G2171=Lists!$B$5,I2171/2,IF(G2171=Lists!$B$6,I2171,0)))</f>
        <v/>
      </c>
      <c r="N2171" s="52">
        <f>IF(OR(A2171="",NOT(ISNUMBER(I2171))),"",IF(G2171=Lists!$B$5,I2171/2,IF(G2171=Lists!$B$7,I2171,0)))</f>
        <v/>
      </c>
      <c r="O2171" s="53">
        <f>IF(COUNTA(A2171:K2171)=0,"",IF(OR(A2171="",B2171="",C2171="",D2171="",E2171="",F2171="",G2171="",NOT(ISNUMBER(I2171))),"Incomplete",IF(COUNTIF(Lists!$H$4:$AA$4,C2171)=0,"Check category",IF(COUNTIF(INDEX(Lists!$H$6:$AA$45,0,MATCH(C2171,Lists!$H$4:$AA$4,0)),D2171)=0,"Check sub-category","OK"))))</f>
        <v/>
      </c>
      <c r="P2171">
        <f>IF(ISNUMBER(I2171),I2171+ROW()/10000000,"")</f>
        <v/>
      </c>
      <c r="Q2171">
        <f>IF(AND(ISNUMBER(P2171),ISNUMBER(A2171)),IF(AND(A2171&gt;=Dashboard!$Q$3,A2171&lt;=Dashboard!$Q$4,OR(J2171&lt;&gt;"Yes",Dashboard!$Q$15="Yes")),P2171,""),"")</f>
        <v/>
      </c>
    </row>
    <row r="2172">
      <c r="A2172" s="47" t="n"/>
      <c r="B2172" s="48" t="n"/>
      <c r="C2172" s="48" t="n"/>
      <c r="D2172" s="48" t="n"/>
      <c r="E2172" s="48" t="n"/>
      <c r="F2172" s="48" t="n"/>
      <c r="G2172" s="48" t="n"/>
      <c r="H2172" s="48" t="n"/>
      <c r="I2172" s="49" t="n"/>
      <c r="J2172" s="50" t="n"/>
      <c r="K2172" s="48" t="n"/>
      <c r="L2172" s="51">
        <f>IF(A2172="","",DATE(YEAR(A2172),MONTH(A2172),1))</f>
        <v/>
      </c>
      <c r="M2172" s="52">
        <f>IF(OR(A2172="",NOT(ISNUMBER(I2172))),"",IF(G2172=Lists!$B$5,I2172/2,IF(G2172=Lists!$B$6,I2172,0)))</f>
        <v/>
      </c>
      <c r="N2172" s="52">
        <f>IF(OR(A2172="",NOT(ISNUMBER(I2172))),"",IF(G2172=Lists!$B$5,I2172/2,IF(G2172=Lists!$B$7,I2172,0)))</f>
        <v/>
      </c>
      <c r="O2172" s="53">
        <f>IF(COUNTA(A2172:K2172)=0,"",IF(OR(A2172="",B2172="",C2172="",D2172="",E2172="",F2172="",G2172="",NOT(ISNUMBER(I2172))),"Incomplete",IF(COUNTIF(Lists!$H$4:$AA$4,C2172)=0,"Check category",IF(COUNTIF(INDEX(Lists!$H$6:$AA$45,0,MATCH(C2172,Lists!$H$4:$AA$4,0)),D2172)=0,"Check sub-category","OK"))))</f>
        <v/>
      </c>
      <c r="P2172">
        <f>IF(ISNUMBER(I2172),I2172+ROW()/10000000,"")</f>
        <v/>
      </c>
      <c r="Q2172">
        <f>IF(AND(ISNUMBER(P2172),ISNUMBER(A2172)),IF(AND(A2172&gt;=Dashboard!$Q$3,A2172&lt;=Dashboard!$Q$4,OR(J2172&lt;&gt;"Yes",Dashboard!$Q$15="Yes")),P2172,""),"")</f>
        <v/>
      </c>
    </row>
    <row r="2173">
      <c r="A2173" s="47" t="n"/>
      <c r="B2173" s="48" t="n"/>
      <c r="C2173" s="48" t="n"/>
      <c r="D2173" s="48" t="n"/>
      <c r="E2173" s="48" t="n"/>
      <c r="F2173" s="48" t="n"/>
      <c r="G2173" s="48" t="n"/>
      <c r="H2173" s="48" t="n"/>
      <c r="I2173" s="49" t="n"/>
      <c r="J2173" s="50" t="n"/>
      <c r="K2173" s="48" t="n"/>
      <c r="L2173" s="51">
        <f>IF(A2173="","",DATE(YEAR(A2173),MONTH(A2173),1))</f>
        <v/>
      </c>
      <c r="M2173" s="52">
        <f>IF(OR(A2173="",NOT(ISNUMBER(I2173))),"",IF(G2173=Lists!$B$5,I2173/2,IF(G2173=Lists!$B$6,I2173,0)))</f>
        <v/>
      </c>
      <c r="N2173" s="52">
        <f>IF(OR(A2173="",NOT(ISNUMBER(I2173))),"",IF(G2173=Lists!$B$5,I2173/2,IF(G2173=Lists!$B$7,I2173,0)))</f>
        <v/>
      </c>
      <c r="O2173" s="53">
        <f>IF(COUNTA(A2173:K2173)=0,"",IF(OR(A2173="",B2173="",C2173="",D2173="",E2173="",F2173="",G2173="",NOT(ISNUMBER(I2173))),"Incomplete",IF(COUNTIF(Lists!$H$4:$AA$4,C2173)=0,"Check category",IF(COUNTIF(INDEX(Lists!$H$6:$AA$45,0,MATCH(C2173,Lists!$H$4:$AA$4,0)),D2173)=0,"Check sub-category","OK"))))</f>
        <v/>
      </c>
      <c r="P2173">
        <f>IF(ISNUMBER(I2173),I2173+ROW()/10000000,"")</f>
        <v/>
      </c>
      <c r="Q2173">
        <f>IF(AND(ISNUMBER(P2173),ISNUMBER(A2173)),IF(AND(A2173&gt;=Dashboard!$Q$3,A2173&lt;=Dashboard!$Q$4,OR(J2173&lt;&gt;"Yes",Dashboard!$Q$15="Yes")),P2173,""),"")</f>
        <v/>
      </c>
    </row>
    <row r="2174">
      <c r="A2174" s="47" t="n"/>
      <c r="B2174" s="48" t="n"/>
      <c r="C2174" s="48" t="n"/>
      <c r="D2174" s="48" t="n"/>
      <c r="E2174" s="48" t="n"/>
      <c r="F2174" s="48" t="n"/>
      <c r="G2174" s="48" t="n"/>
      <c r="H2174" s="48" t="n"/>
      <c r="I2174" s="49" t="n"/>
      <c r="J2174" s="50" t="n"/>
      <c r="K2174" s="48" t="n"/>
      <c r="L2174" s="51">
        <f>IF(A2174="","",DATE(YEAR(A2174),MONTH(A2174),1))</f>
        <v/>
      </c>
      <c r="M2174" s="52">
        <f>IF(OR(A2174="",NOT(ISNUMBER(I2174))),"",IF(G2174=Lists!$B$5,I2174/2,IF(G2174=Lists!$B$6,I2174,0)))</f>
        <v/>
      </c>
      <c r="N2174" s="52">
        <f>IF(OR(A2174="",NOT(ISNUMBER(I2174))),"",IF(G2174=Lists!$B$5,I2174/2,IF(G2174=Lists!$B$7,I2174,0)))</f>
        <v/>
      </c>
      <c r="O2174" s="53">
        <f>IF(COUNTA(A2174:K2174)=0,"",IF(OR(A2174="",B2174="",C2174="",D2174="",E2174="",F2174="",G2174="",NOT(ISNUMBER(I2174))),"Incomplete",IF(COUNTIF(Lists!$H$4:$AA$4,C2174)=0,"Check category",IF(COUNTIF(INDEX(Lists!$H$6:$AA$45,0,MATCH(C2174,Lists!$H$4:$AA$4,0)),D2174)=0,"Check sub-category","OK"))))</f>
        <v/>
      </c>
      <c r="P2174">
        <f>IF(ISNUMBER(I2174),I2174+ROW()/10000000,"")</f>
        <v/>
      </c>
      <c r="Q2174">
        <f>IF(AND(ISNUMBER(P2174),ISNUMBER(A2174)),IF(AND(A2174&gt;=Dashboard!$Q$3,A2174&lt;=Dashboard!$Q$4,OR(J2174&lt;&gt;"Yes",Dashboard!$Q$15="Yes")),P2174,""),"")</f>
        <v/>
      </c>
    </row>
    <row r="2175">
      <c r="A2175" s="47" t="n"/>
      <c r="B2175" s="48" t="n"/>
      <c r="C2175" s="48" t="n"/>
      <c r="D2175" s="48" t="n"/>
      <c r="E2175" s="48" t="n"/>
      <c r="F2175" s="48" t="n"/>
      <c r="G2175" s="48" t="n"/>
      <c r="H2175" s="48" t="n"/>
      <c r="I2175" s="49" t="n"/>
      <c r="J2175" s="50" t="n"/>
      <c r="K2175" s="48" t="n"/>
      <c r="L2175" s="51">
        <f>IF(A2175="","",DATE(YEAR(A2175),MONTH(A2175),1))</f>
        <v/>
      </c>
      <c r="M2175" s="52">
        <f>IF(OR(A2175="",NOT(ISNUMBER(I2175))),"",IF(G2175=Lists!$B$5,I2175/2,IF(G2175=Lists!$B$6,I2175,0)))</f>
        <v/>
      </c>
      <c r="N2175" s="52">
        <f>IF(OR(A2175="",NOT(ISNUMBER(I2175))),"",IF(G2175=Lists!$B$5,I2175/2,IF(G2175=Lists!$B$7,I2175,0)))</f>
        <v/>
      </c>
      <c r="O2175" s="53">
        <f>IF(COUNTA(A2175:K2175)=0,"",IF(OR(A2175="",B2175="",C2175="",D2175="",E2175="",F2175="",G2175="",NOT(ISNUMBER(I2175))),"Incomplete",IF(COUNTIF(Lists!$H$4:$AA$4,C2175)=0,"Check category",IF(COUNTIF(INDEX(Lists!$H$6:$AA$45,0,MATCH(C2175,Lists!$H$4:$AA$4,0)),D2175)=0,"Check sub-category","OK"))))</f>
        <v/>
      </c>
      <c r="P2175">
        <f>IF(ISNUMBER(I2175),I2175+ROW()/10000000,"")</f>
        <v/>
      </c>
      <c r="Q2175">
        <f>IF(AND(ISNUMBER(P2175),ISNUMBER(A2175)),IF(AND(A2175&gt;=Dashboard!$Q$3,A2175&lt;=Dashboard!$Q$4,OR(J2175&lt;&gt;"Yes",Dashboard!$Q$15="Yes")),P2175,""),"")</f>
        <v/>
      </c>
    </row>
    <row r="2176">
      <c r="A2176" s="47" t="n"/>
      <c r="B2176" s="48" t="n"/>
      <c r="C2176" s="48" t="n"/>
      <c r="D2176" s="48" t="n"/>
      <c r="E2176" s="48" t="n"/>
      <c r="F2176" s="48" t="n"/>
      <c r="G2176" s="48" t="n"/>
      <c r="H2176" s="48" t="n"/>
      <c r="I2176" s="49" t="n"/>
      <c r="J2176" s="50" t="n"/>
      <c r="K2176" s="48" t="n"/>
      <c r="L2176" s="51">
        <f>IF(A2176="","",DATE(YEAR(A2176),MONTH(A2176),1))</f>
        <v/>
      </c>
      <c r="M2176" s="52">
        <f>IF(OR(A2176="",NOT(ISNUMBER(I2176))),"",IF(G2176=Lists!$B$5,I2176/2,IF(G2176=Lists!$B$6,I2176,0)))</f>
        <v/>
      </c>
      <c r="N2176" s="52">
        <f>IF(OR(A2176="",NOT(ISNUMBER(I2176))),"",IF(G2176=Lists!$B$5,I2176/2,IF(G2176=Lists!$B$7,I2176,0)))</f>
        <v/>
      </c>
      <c r="O2176" s="53">
        <f>IF(COUNTA(A2176:K2176)=0,"",IF(OR(A2176="",B2176="",C2176="",D2176="",E2176="",F2176="",G2176="",NOT(ISNUMBER(I2176))),"Incomplete",IF(COUNTIF(Lists!$H$4:$AA$4,C2176)=0,"Check category",IF(COUNTIF(INDEX(Lists!$H$6:$AA$45,0,MATCH(C2176,Lists!$H$4:$AA$4,0)),D2176)=0,"Check sub-category","OK"))))</f>
        <v/>
      </c>
      <c r="P2176">
        <f>IF(ISNUMBER(I2176),I2176+ROW()/10000000,"")</f>
        <v/>
      </c>
      <c r="Q2176">
        <f>IF(AND(ISNUMBER(P2176),ISNUMBER(A2176)),IF(AND(A2176&gt;=Dashboard!$Q$3,A2176&lt;=Dashboard!$Q$4,OR(J2176&lt;&gt;"Yes",Dashboard!$Q$15="Yes")),P2176,""),"")</f>
        <v/>
      </c>
    </row>
    <row r="2177">
      <c r="A2177" s="47" t="n"/>
      <c r="B2177" s="48" t="n"/>
      <c r="C2177" s="48" t="n"/>
      <c r="D2177" s="48" t="n"/>
      <c r="E2177" s="48" t="n"/>
      <c r="F2177" s="48" t="n"/>
      <c r="G2177" s="48" t="n"/>
      <c r="H2177" s="48" t="n"/>
      <c r="I2177" s="49" t="n"/>
      <c r="J2177" s="50" t="n"/>
      <c r="K2177" s="48" t="n"/>
      <c r="L2177" s="51">
        <f>IF(A2177="","",DATE(YEAR(A2177),MONTH(A2177),1))</f>
        <v/>
      </c>
      <c r="M2177" s="52">
        <f>IF(OR(A2177="",NOT(ISNUMBER(I2177))),"",IF(G2177=Lists!$B$5,I2177/2,IF(G2177=Lists!$B$6,I2177,0)))</f>
        <v/>
      </c>
      <c r="N2177" s="52">
        <f>IF(OR(A2177="",NOT(ISNUMBER(I2177))),"",IF(G2177=Lists!$B$5,I2177/2,IF(G2177=Lists!$B$7,I2177,0)))</f>
        <v/>
      </c>
      <c r="O2177" s="53">
        <f>IF(COUNTA(A2177:K2177)=0,"",IF(OR(A2177="",B2177="",C2177="",D2177="",E2177="",F2177="",G2177="",NOT(ISNUMBER(I2177))),"Incomplete",IF(COUNTIF(Lists!$H$4:$AA$4,C2177)=0,"Check category",IF(COUNTIF(INDEX(Lists!$H$6:$AA$45,0,MATCH(C2177,Lists!$H$4:$AA$4,0)),D2177)=0,"Check sub-category","OK"))))</f>
        <v/>
      </c>
      <c r="P2177">
        <f>IF(ISNUMBER(I2177),I2177+ROW()/10000000,"")</f>
        <v/>
      </c>
      <c r="Q2177">
        <f>IF(AND(ISNUMBER(P2177),ISNUMBER(A2177)),IF(AND(A2177&gt;=Dashboard!$Q$3,A2177&lt;=Dashboard!$Q$4,OR(J2177&lt;&gt;"Yes",Dashboard!$Q$15="Yes")),P2177,""),"")</f>
        <v/>
      </c>
    </row>
    <row r="2178">
      <c r="A2178" s="47" t="n"/>
      <c r="B2178" s="48" t="n"/>
      <c r="C2178" s="48" t="n"/>
      <c r="D2178" s="48" t="n"/>
      <c r="E2178" s="48" t="n"/>
      <c r="F2178" s="48" t="n"/>
      <c r="G2178" s="48" t="n"/>
      <c r="H2178" s="48" t="n"/>
      <c r="I2178" s="49" t="n"/>
      <c r="J2178" s="50" t="n"/>
      <c r="K2178" s="48" t="n"/>
      <c r="L2178" s="51">
        <f>IF(A2178="","",DATE(YEAR(A2178),MONTH(A2178),1))</f>
        <v/>
      </c>
      <c r="M2178" s="52">
        <f>IF(OR(A2178="",NOT(ISNUMBER(I2178))),"",IF(G2178=Lists!$B$5,I2178/2,IF(G2178=Lists!$B$6,I2178,0)))</f>
        <v/>
      </c>
      <c r="N2178" s="52">
        <f>IF(OR(A2178="",NOT(ISNUMBER(I2178))),"",IF(G2178=Lists!$B$5,I2178/2,IF(G2178=Lists!$B$7,I2178,0)))</f>
        <v/>
      </c>
      <c r="O2178" s="53">
        <f>IF(COUNTA(A2178:K2178)=0,"",IF(OR(A2178="",B2178="",C2178="",D2178="",E2178="",F2178="",G2178="",NOT(ISNUMBER(I2178))),"Incomplete",IF(COUNTIF(Lists!$H$4:$AA$4,C2178)=0,"Check category",IF(COUNTIF(INDEX(Lists!$H$6:$AA$45,0,MATCH(C2178,Lists!$H$4:$AA$4,0)),D2178)=0,"Check sub-category","OK"))))</f>
        <v/>
      </c>
      <c r="P2178">
        <f>IF(ISNUMBER(I2178),I2178+ROW()/10000000,"")</f>
        <v/>
      </c>
      <c r="Q2178">
        <f>IF(AND(ISNUMBER(P2178),ISNUMBER(A2178)),IF(AND(A2178&gt;=Dashboard!$Q$3,A2178&lt;=Dashboard!$Q$4,OR(J2178&lt;&gt;"Yes",Dashboard!$Q$15="Yes")),P2178,""),"")</f>
        <v/>
      </c>
    </row>
    <row r="2179">
      <c r="A2179" s="47" t="n"/>
      <c r="B2179" s="48" t="n"/>
      <c r="C2179" s="48" t="n"/>
      <c r="D2179" s="48" t="n"/>
      <c r="E2179" s="48" t="n"/>
      <c r="F2179" s="48" t="n"/>
      <c r="G2179" s="48" t="n"/>
      <c r="H2179" s="48" t="n"/>
      <c r="I2179" s="49" t="n"/>
      <c r="J2179" s="50" t="n"/>
      <c r="K2179" s="48" t="n"/>
      <c r="L2179" s="51">
        <f>IF(A2179="","",DATE(YEAR(A2179),MONTH(A2179),1))</f>
        <v/>
      </c>
      <c r="M2179" s="52">
        <f>IF(OR(A2179="",NOT(ISNUMBER(I2179))),"",IF(G2179=Lists!$B$5,I2179/2,IF(G2179=Lists!$B$6,I2179,0)))</f>
        <v/>
      </c>
      <c r="N2179" s="52">
        <f>IF(OR(A2179="",NOT(ISNUMBER(I2179))),"",IF(G2179=Lists!$B$5,I2179/2,IF(G2179=Lists!$B$7,I2179,0)))</f>
        <v/>
      </c>
      <c r="O2179" s="53">
        <f>IF(COUNTA(A2179:K2179)=0,"",IF(OR(A2179="",B2179="",C2179="",D2179="",E2179="",F2179="",G2179="",NOT(ISNUMBER(I2179))),"Incomplete",IF(COUNTIF(Lists!$H$4:$AA$4,C2179)=0,"Check category",IF(COUNTIF(INDEX(Lists!$H$6:$AA$45,0,MATCH(C2179,Lists!$H$4:$AA$4,0)),D2179)=0,"Check sub-category","OK"))))</f>
        <v/>
      </c>
      <c r="P2179">
        <f>IF(ISNUMBER(I2179),I2179+ROW()/10000000,"")</f>
        <v/>
      </c>
      <c r="Q2179">
        <f>IF(AND(ISNUMBER(P2179),ISNUMBER(A2179)),IF(AND(A2179&gt;=Dashboard!$Q$3,A2179&lt;=Dashboard!$Q$4,OR(J2179&lt;&gt;"Yes",Dashboard!$Q$15="Yes")),P2179,""),"")</f>
        <v/>
      </c>
    </row>
    <row r="2180">
      <c r="A2180" s="47" t="n"/>
      <c r="B2180" s="48" t="n"/>
      <c r="C2180" s="48" t="n"/>
      <c r="D2180" s="48" t="n"/>
      <c r="E2180" s="48" t="n"/>
      <c r="F2180" s="48" t="n"/>
      <c r="G2180" s="48" t="n"/>
      <c r="H2180" s="48" t="n"/>
      <c r="I2180" s="49" t="n"/>
      <c r="J2180" s="50" t="n"/>
      <c r="K2180" s="48" t="n"/>
      <c r="L2180" s="51">
        <f>IF(A2180="","",DATE(YEAR(A2180),MONTH(A2180),1))</f>
        <v/>
      </c>
      <c r="M2180" s="52">
        <f>IF(OR(A2180="",NOT(ISNUMBER(I2180))),"",IF(G2180=Lists!$B$5,I2180/2,IF(G2180=Lists!$B$6,I2180,0)))</f>
        <v/>
      </c>
      <c r="N2180" s="52">
        <f>IF(OR(A2180="",NOT(ISNUMBER(I2180))),"",IF(G2180=Lists!$B$5,I2180/2,IF(G2180=Lists!$B$7,I2180,0)))</f>
        <v/>
      </c>
      <c r="O2180" s="53">
        <f>IF(COUNTA(A2180:K2180)=0,"",IF(OR(A2180="",B2180="",C2180="",D2180="",E2180="",F2180="",G2180="",NOT(ISNUMBER(I2180))),"Incomplete",IF(COUNTIF(Lists!$H$4:$AA$4,C2180)=0,"Check category",IF(COUNTIF(INDEX(Lists!$H$6:$AA$45,0,MATCH(C2180,Lists!$H$4:$AA$4,0)),D2180)=0,"Check sub-category","OK"))))</f>
        <v/>
      </c>
      <c r="P2180">
        <f>IF(ISNUMBER(I2180),I2180+ROW()/10000000,"")</f>
        <v/>
      </c>
      <c r="Q2180">
        <f>IF(AND(ISNUMBER(P2180),ISNUMBER(A2180)),IF(AND(A2180&gt;=Dashboard!$Q$3,A2180&lt;=Dashboard!$Q$4,OR(J2180&lt;&gt;"Yes",Dashboard!$Q$15="Yes")),P2180,""),"")</f>
        <v/>
      </c>
    </row>
    <row r="2181">
      <c r="A2181" s="47" t="n"/>
      <c r="B2181" s="48" t="n"/>
      <c r="C2181" s="48" t="n"/>
      <c r="D2181" s="48" t="n"/>
      <c r="E2181" s="48" t="n"/>
      <c r="F2181" s="48" t="n"/>
      <c r="G2181" s="48" t="n"/>
      <c r="H2181" s="48" t="n"/>
      <c r="I2181" s="49" t="n"/>
      <c r="J2181" s="50" t="n"/>
      <c r="K2181" s="48" t="n"/>
      <c r="L2181" s="51">
        <f>IF(A2181="","",DATE(YEAR(A2181),MONTH(A2181),1))</f>
        <v/>
      </c>
      <c r="M2181" s="52">
        <f>IF(OR(A2181="",NOT(ISNUMBER(I2181))),"",IF(G2181=Lists!$B$5,I2181/2,IF(G2181=Lists!$B$6,I2181,0)))</f>
        <v/>
      </c>
      <c r="N2181" s="52">
        <f>IF(OR(A2181="",NOT(ISNUMBER(I2181))),"",IF(G2181=Lists!$B$5,I2181/2,IF(G2181=Lists!$B$7,I2181,0)))</f>
        <v/>
      </c>
      <c r="O2181" s="53">
        <f>IF(COUNTA(A2181:K2181)=0,"",IF(OR(A2181="",B2181="",C2181="",D2181="",E2181="",F2181="",G2181="",NOT(ISNUMBER(I2181))),"Incomplete",IF(COUNTIF(Lists!$H$4:$AA$4,C2181)=0,"Check category",IF(COUNTIF(INDEX(Lists!$H$6:$AA$45,0,MATCH(C2181,Lists!$H$4:$AA$4,0)),D2181)=0,"Check sub-category","OK"))))</f>
        <v/>
      </c>
      <c r="P2181">
        <f>IF(ISNUMBER(I2181),I2181+ROW()/10000000,"")</f>
        <v/>
      </c>
      <c r="Q2181">
        <f>IF(AND(ISNUMBER(P2181),ISNUMBER(A2181)),IF(AND(A2181&gt;=Dashboard!$Q$3,A2181&lt;=Dashboard!$Q$4,OR(J2181&lt;&gt;"Yes",Dashboard!$Q$15="Yes")),P2181,""),"")</f>
        <v/>
      </c>
    </row>
    <row r="2182">
      <c r="A2182" s="47" t="n"/>
      <c r="B2182" s="48" t="n"/>
      <c r="C2182" s="48" t="n"/>
      <c r="D2182" s="48" t="n"/>
      <c r="E2182" s="48" t="n"/>
      <c r="F2182" s="48" t="n"/>
      <c r="G2182" s="48" t="n"/>
      <c r="H2182" s="48" t="n"/>
      <c r="I2182" s="49" t="n"/>
      <c r="J2182" s="50" t="n"/>
      <c r="K2182" s="48" t="n"/>
      <c r="L2182" s="51">
        <f>IF(A2182="","",DATE(YEAR(A2182),MONTH(A2182),1))</f>
        <v/>
      </c>
      <c r="M2182" s="52">
        <f>IF(OR(A2182="",NOT(ISNUMBER(I2182))),"",IF(G2182=Lists!$B$5,I2182/2,IF(G2182=Lists!$B$6,I2182,0)))</f>
        <v/>
      </c>
      <c r="N2182" s="52">
        <f>IF(OR(A2182="",NOT(ISNUMBER(I2182))),"",IF(G2182=Lists!$B$5,I2182/2,IF(G2182=Lists!$B$7,I2182,0)))</f>
        <v/>
      </c>
      <c r="O2182" s="53">
        <f>IF(COUNTA(A2182:K2182)=0,"",IF(OR(A2182="",B2182="",C2182="",D2182="",E2182="",F2182="",G2182="",NOT(ISNUMBER(I2182))),"Incomplete",IF(COUNTIF(Lists!$H$4:$AA$4,C2182)=0,"Check category",IF(COUNTIF(INDEX(Lists!$H$6:$AA$45,0,MATCH(C2182,Lists!$H$4:$AA$4,0)),D2182)=0,"Check sub-category","OK"))))</f>
        <v/>
      </c>
      <c r="P2182">
        <f>IF(ISNUMBER(I2182),I2182+ROW()/10000000,"")</f>
        <v/>
      </c>
      <c r="Q2182">
        <f>IF(AND(ISNUMBER(P2182),ISNUMBER(A2182)),IF(AND(A2182&gt;=Dashboard!$Q$3,A2182&lt;=Dashboard!$Q$4,OR(J2182&lt;&gt;"Yes",Dashboard!$Q$15="Yes")),P2182,""),"")</f>
        <v/>
      </c>
    </row>
    <row r="2183">
      <c r="A2183" s="47" t="n"/>
      <c r="B2183" s="48" t="n"/>
      <c r="C2183" s="48" t="n"/>
      <c r="D2183" s="48" t="n"/>
      <c r="E2183" s="48" t="n"/>
      <c r="F2183" s="48" t="n"/>
      <c r="G2183" s="48" t="n"/>
      <c r="H2183" s="48" t="n"/>
      <c r="I2183" s="49" t="n"/>
      <c r="J2183" s="50" t="n"/>
      <c r="K2183" s="48" t="n"/>
      <c r="L2183" s="51">
        <f>IF(A2183="","",DATE(YEAR(A2183),MONTH(A2183),1))</f>
        <v/>
      </c>
      <c r="M2183" s="52">
        <f>IF(OR(A2183="",NOT(ISNUMBER(I2183))),"",IF(G2183=Lists!$B$5,I2183/2,IF(G2183=Lists!$B$6,I2183,0)))</f>
        <v/>
      </c>
      <c r="N2183" s="52">
        <f>IF(OR(A2183="",NOT(ISNUMBER(I2183))),"",IF(G2183=Lists!$B$5,I2183/2,IF(G2183=Lists!$B$7,I2183,0)))</f>
        <v/>
      </c>
      <c r="O2183" s="53">
        <f>IF(COUNTA(A2183:K2183)=0,"",IF(OR(A2183="",B2183="",C2183="",D2183="",E2183="",F2183="",G2183="",NOT(ISNUMBER(I2183))),"Incomplete",IF(COUNTIF(Lists!$H$4:$AA$4,C2183)=0,"Check category",IF(COUNTIF(INDEX(Lists!$H$6:$AA$45,0,MATCH(C2183,Lists!$H$4:$AA$4,0)),D2183)=0,"Check sub-category","OK"))))</f>
        <v/>
      </c>
      <c r="P2183">
        <f>IF(ISNUMBER(I2183),I2183+ROW()/10000000,"")</f>
        <v/>
      </c>
      <c r="Q2183">
        <f>IF(AND(ISNUMBER(P2183),ISNUMBER(A2183)),IF(AND(A2183&gt;=Dashboard!$Q$3,A2183&lt;=Dashboard!$Q$4,OR(J2183&lt;&gt;"Yes",Dashboard!$Q$15="Yes")),P2183,""),"")</f>
        <v/>
      </c>
    </row>
    <row r="2184">
      <c r="A2184" s="47" t="n"/>
      <c r="B2184" s="48" t="n"/>
      <c r="C2184" s="48" t="n"/>
      <c r="D2184" s="48" t="n"/>
      <c r="E2184" s="48" t="n"/>
      <c r="F2184" s="48" t="n"/>
      <c r="G2184" s="48" t="n"/>
      <c r="H2184" s="48" t="n"/>
      <c r="I2184" s="49" t="n"/>
      <c r="J2184" s="50" t="n"/>
      <c r="K2184" s="48" t="n"/>
      <c r="L2184" s="51">
        <f>IF(A2184="","",DATE(YEAR(A2184),MONTH(A2184),1))</f>
        <v/>
      </c>
      <c r="M2184" s="52">
        <f>IF(OR(A2184="",NOT(ISNUMBER(I2184))),"",IF(G2184=Lists!$B$5,I2184/2,IF(G2184=Lists!$B$6,I2184,0)))</f>
        <v/>
      </c>
      <c r="N2184" s="52">
        <f>IF(OR(A2184="",NOT(ISNUMBER(I2184))),"",IF(G2184=Lists!$B$5,I2184/2,IF(G2184=Lists!$B$7,I2184,0)))</f>
        <v/>
      </c>
      <c r="O2184" s="53">
        <f>IF(COUNTA(A2184:K2184)=0,"",IF(OR(A2184="",B2184="",C2184="",D2184="",E2184="",F2184="",G2184="",NOT(ISNUMBER(I2184))),"Incomplete",IF(COUNTIF(Lists!$H$4:$AA$4,C2184)=0,"Check category",IF(COUNTIF(INDEX(Lists!$H$6:$AA$45,0,MATCH(C2184,Lists!$H$4:$AA$4,0)),D2184)=0,"Check sub-category","OK"))))</f>
        <v/>
      </c>
      <c r="P2184">
        <f>IF(ISNUMBER(I2184),I2184+ROW()/10000000,"")</f>
        <v/>
      </c>
      <c r="Q2184">
        <f>IF(AND(ISNUMBER(P2184),ISNUMBER(A2184)),IF(AND(A2184&gt;=Dashboard!$Q$3,A2184&lt;=Dashboard!$Q$4,OR(J2184&lt;&gt;"Yes",Dashboard!$Q$15="Yes")),P2184,""),"")</f>
        <v/>
      </c>
    </row>
    <row r="2185">
      <c r="A2185" s="47" t="n"/>
      <c r="B2185" s="48" t="n"/>
      <c r="C2185" s="48" t="n"/>
      <c r="D2185" s="48" t="n"/>
      <c r="E2185" s="48" t="n"/>
      <c r="F2185" s="48" t="n"/>
      <c r="G2185" s="48" t="n"/>
      <c r="H2185" s="48" t="n"/>
      <c r="I2185" s="49" t="n"/>
      <c r="J2185" s="50" t="n"/>
      <c r="K2185" s="48" t="n"/>
      <c r="L2185" s="51">
        <f>IF(A2185="","",DATE(YEAR(A2185),MONTH(A2185),1))</f>
        <v/>
      </c>
      <c r="M2185" s="52">
        <f>IF(OR(A2185="",NOT(ISNUMBER(I2185))),"",IF(G2185=Lists!$B$5,I2185/2,IF(G2185=Lists!$B$6,I2185,0)))</f>
        <v/>
      </c>
      <c r="N2185" s="52">
        <f>IF(OR(A2185="",NOT(ISNUMBER(I2185))),"",IF(G2185=Lists!$B$5,I2185/2,IF(G2185=Lists!$B$7,I2185,0)))</f>
        <v/>
      </c>
      <c r="O2185" s="53">
        <f>IF(COUNTA(A2185:K2185)=0,"",IF(OR(A2185="",B2185="",C2185="",D2185="",E2185="",F2185="",G2185="",NOT(ISNUMBER(I2185))),"Incomplete",IF(COUNTIF(Lists!$H$4:$AA$4,C2185)=0,"Check category",IF(COUNTIF(INDEX(Lists!$H$6:$AA$45,0,MATCH(C2185,Lists!$H$4:$AA$4,0)),D2185)=0,"Check sub-category","OK"))))</f>
        <v/>
      </c>
      <c r="P2185">
        <f>IF(ISNUMBER(I2185),I2185+ROW()/10000000,"")</f>
        <v/>
      </c>
      <c r="Q2185">
        <f>IF(AND(ISNUMBER(P2185),ISNUMBER(A2185)),IF(AND(A2185&gt;=Dashboard!$Q$3,A2185&lt;=Dashboard!$Q$4,OR(J2185&lt;&gt;"Yes",Dashboard!$Q$15="Yes")),P2185,""),"")</f>
        <v/>
      </c>
    </row>
    <row r="2186">
      <c r="A2186" s="47" t="n"/>
      <c r="B2186" s="48" t="n"/>
      <c r="C2186" s="48" t="n"/>
      <c r="D2186" s="48" t="n"/>
      <c r="E2186" s="48" t="n"/>
      <c r="F2186" s="48" t="n"/>
      <c r="G2186" s="48" t="n"/>
      <c r="H2186" s="48" t="n"/>
      <c r="I2186" s="49" t="n"/>
      <c r="J2186" s="50" t="n"/>
      <c r="K2186" s="48" t="n"/>
      <c r="L2186" s="51">
        <f>IF(A2186="","",DATE(YEAR(A2186),MONTH(A2186),1))</f>
        <v/>
      </c>
      <c r="M2186" s="52">
        <f>IF(OR(A2186="",NOT(ISNUMBER(I2186))),"",IF(G2186=Lists!$B$5,I2186/2,IF(G2186=Lists!$B$6,I2186,0)))</f>
        <v/>
      </c>
      <c r="N2186" s="52">
        <f>IF(OR(A2186="",NOT(ISNUMBER(I2186))),"",IF(G2186=Lists!$B$5,I2186/2,IF(G2186=Lists!$B$7,I2186,0)))</f>
        <v/>
      </c>
      <c r="O2186" s="53">
        <f>IF(COUNTA(A2186:K2186)=0,"",IF(OR(A2186="",B2186="",C2186="",D2186="",E2186="",F2186="",G2186="",NOT(ISNUMBER(I2186))),"Incomplete",IF(COUNTIF(Lists!$H$4:$AA$4,C2186)=0,"Check category",IF(COUNTIF(INDEX(Lists!$H$6:$AA$45,0,MATCH(C2186,Lists!$H$4:$AA$4,0)),D2186)=0,"Check sub-category","OK"))))</f>
        <v/>
      </c>
      <c r="P2186">
        <f>IF(ISNUMBER(I2186),I2186+ROW()/10000000,"")</f>
        <v/>
      </c>
      <c r="Q2186">
        <f>IF(AND(ISNUMBER(P2186),ISNUMBER(A2186)),IF(AND(A2186&gt;=Dashboard!$Q$3,A2186&lt;=Dashboard!$Q$4,OR(J2186&lt;&gt;"Yes",Dashboard!$Q$15="Yes")),P2186,""),"")</f>
        <v/>
      </c>
    </row>
    <row r="2187">
      <c r="A2187" s="47" t="n"/>
      <c r="B2187" s="48" t="n"/>
      <c r="C2187" s="48" t="n"/>
      <c r="D2187" s="48" t="n"/>
      <c r="E2187" s="48" t="n"/>
      <c r="F2187" s="48" t="n"/>
      <c r="G2187" s="48" t="n"/>
      <c r="H2187" s="48" t="n"/>
      <c r="I2187" s="49" t="n"/>
      <c r="J2187" s="50" t="n"/>
      <c r="K2187" s="48" t="n"/>
      <c r="L2187" s="51">
        <f>IF(A2187="","",DATE(YEAR(A2187),MONTH(A2187),1))</f>
        <v/>
      </c>
      <c r="M2187" s="52">
        <f>IF(OR(A2187="",NOT(ISNUMBER(I2187))),"",IF(G2187=Lists!$B$5,I2187/2,IF(G2187=Lists!$B$6,I2187,0)))</f>
        <v/>
      </c>
      <c r="N2187" s="52">
        <f>IF(OR(A2187="",NOT(ISNUMBER(I2187))),"",IF(G2187=Lists!$B$5,I2187/2,IF(G2187=Lists!$B$7,I2187,0)))</f>
        <v/>
      </c>
      <c r="O2187" s="53">
        <f>IF(COUNTA(A2187:K2187)=0,"",IF(OR(A2187="",B2187="",C2187="",D2187="",E2187="",F2187="",G2187="",NOT(ISNUMBER(I2187))),"Incomplete",IF(COUNTIF(Lists!$H$4:$AA$4,C2187)=0,"Check category",IF(COUNTIF(INDEX(Lists!$H$6:$AA$45,0,MATCH(C2187,Lists!$H$4:$AA$4,0)),D2187)=0,"Check sub-category","OK"))))</f>
        <v/>
      </c>
      <c r="P2187">
        <f>IF(ISNUMBER(I2187),I2187+ROW()/10000000,"")</f>
        <v/>
      </c>
      <c r="Q2187">
        <f>IF(AND(ISNUMBER(P2187),ISNUMBER(A2187)),IF(AND(A2187&gt;=Dashboard!$Q$3,A2187&lt;=Dashboard!$Q$4,OR(J2187&lt;&gt;"Yes",Dashboard!$Q$15="Yes")),P2187,""),"")</f>
        <v/>
      </c>
    </row>
    <row r="2188">
      <c r="A2188" s="47" t="n"/>
      <c r="B2188" s="48" t="n"/>
      <c r="C2188" s="48" t="n"/>
      <c r="D2188" s="48" t="n"/>
      <c r="E2188" s="48" t="n"/>
      <c r="F2188" s="48" t="n"/>
      <c r="G2188" s="48" t="n"/>
      <c r="H2188" s="48" t="n"/>
      <c r="I2188" s="49" t="n"/>
      <c r="J2188" s="50" t="n"/>
      <c r="K2188" s="48" t="n"/>
      <c r="L2188" s="51">
        <f>IF(A2188="","",DATE(YEAR(A2188),MONTH(A2188),1))</f>
        <v/>
      </c>
      <c r="M2188" s="52">
        <f>IF(OR(A2188="",NOT(ISNUMBER(I2188))),"",IF(G2188=Lists!$B$5,I2188/2,IF(G2188=Lists!$B$6,I2188,0)))</f>
        <v/>
      </c>
      <c r="N2188" s="52">
        <f>IF(OR(A2188="",NOT(ISNUMBER(I2188))),"",IF(G2188=Lists!$B$5,I2188/2,IF(G2188=Lists!$B$7,I2188,0)))</f>
        <v/>
      </c>
      <c r="O2188" s="53">
        <f>IF(COUNTA(A2188:K2188)=0,"",IF(OR(A2188="",B2188="",C2188="",D2188="",E2188="",F2188="",G2188="",NOT(ISNUMBER(I2188))),"Incomplete",IF(COUNTIF(Lists!$H$4:$AA$4,C2188)=0,"Check category",IF(COUNTIF(INDEX(Lists!$H$6:$AA$45,0,MATCH(C2188,Lists!$H$4:$AA$4,0)),D2188)=0,"Check sub-category","OK"))))</f>
        <v/>
      </c>
      <c r="P2188">
        <f>IF(ISNUMBER(I2188),I2188+ROW()/10000000,"")</f>
        <v/>
      </c>
      <c r="Q2188">
        <f>IF(AND(ISNUMBER(P2188),ISNUMBER(A2188)),IF(AND(A2188&gt;=Dashboard!$Q$3,A2188&lt;=Dashboard!$Q$4,OR(J2188&lt;&gt;"Yes",Dashboard!$Q$15="Yes")),P2188,""),"")</f>
        <v/>
      </c>
    </row>
    <row r="2189">
      <c r="A2189" s="47" t="n"/>
      <c r="B2189" s="48" t="n"/>
      <c r="C2189" s="48" t="n"/>
      <c r="D2189" s="48" t="n"/>
      <c r="E2189" s="48" t="n"/>
      <c r="F2189" s="48" t="n"/>
      <c r="G2189" s="48" t="n"/>
      <c r="H2189" s="48" t="n"/>
      <c r="I2189" s="49" t="n"/>
      <c r="J2189" s="50" t="n"/>
      <c r="K2189" s="48" t="n"/>
      <c r="L2189" s="51">
        <f>IF(A2189="","",DATE(YEAR(A2189),MONTH(A2189),1))</f>
        <v/>
      </c>
      <c r="M2189" s="52">
        <f>IF(OR(A2189="",NOT(ISNUMBER(I2189))),"",IF(G2189=Lists!$B$5,I2189/2,IF(G2189=Lists!$B$6,I2189,0)))</f>
        <v/>
      </c>
      <c r="N2189" s="52">
        <f>IF(OR(A2189="",NOT(ISNUMBER(I2189))),"",IF(G2189=Lists!$B$5,I2189/2,IF(G2189=Lists!$B$7,I2189,0)))</f>
        <v/>
      </c>
      <c r="O2189" s="53">
        <f>IF(COUNTA(A2189:K2189)=0,"",IF(OR(A2189="",B2189="",C2189="",D2189="",E2189="",F2189="",G2189="",NOT(ISNUMBER(I2189))),"Incomplete",IF(COUNTIF(Lists!$H$4:$AA$4,C2189)=0,"Check category",IF(COUNTIF(INDEX(Lists!$H$6:$AA$45,0,MATCH(C2189,Lists!$H$4:$AA$4,0)),D2189)=0,"Check sub-category","OK"))))</f>
        <v/>
      </c>
      <c r="P2189">
        <f>IF(ISNUMBER(I2189),I2189+ROW()/10000000,"")</f>
        <v/>
      </c>
      <c r="Q2189">
        <f>IF(AND(ISNUMBER(P2189),ISNUMBER(A2189)),IF(AND(A2189&gt;=Dashboard!$Q$3,A2189&lt;=Dashboard!$Q$4,OR(J2189&lt;&gt;"Yes",Dashboard!$Q$15="Yes")),P2189,""),"")</f>
        <v/>
      </c>
    </row>
    <row r="2190">
      <c r="A2190" s="47" t="n"/>
      <c r="B2190" s="48" t="n"/>
      <c r="C2190" s="48" t="n"/>
      <c r="D2190" s="48" t="n"/>
      <c r="E2190" s="48" t="n"/>
      <c r="F2190" s="48" t="n"/>
      <c r="G2190" s="48" t="n"/>
      <c r="H2190" s="48" t="n"/>
      <c r="I2190" s="49" t="n"/>
      <c r="J2190" s="50" t="n"/>
      <c r="K2190" s="48" t="n"/>
      <c r="L2190" s="51">
        <f>IF(A2190="","",DATE(YEAR(A2190),MONTH(A2190),1))</f>
        <v/>
      </c>
      <c r="M2190" s="52">
        <f>IF(OR(A2190="",NOT(ISNUMBER(I2190))),"",IF(G2190=Lists!$B$5,I2190/2,IF(G2190=Lists!$B$6,I2190,0)))</f>
        <v/>
      </c>
      <c r="N2190" s="52">
        <f>IF(OR(A2190="",NOT(ISNUMBER(I2190))),"",IF(G2190=Lists!$B$5,I2190/2,IF(G2190=Lists!$B$7,I2190,0)))</f>
        <v/>
      </c>
      <c r="O2190" s="53">
        <f>IF(COUNTA(A2190:K2190)=0,"",IF(OR(A2190="",B2190="",C2190="",D2190="",E2190="",F2190="",G2190="",NOT(ISNUMBER(I2190))),"Incomplete",IF(COUNTIF(Lists!$H$4:$AA$4,C2190)=0,"Check category",IF(COUNTIF(INDEX(Lists!$H$6:$AA$45,0,MATCH(C2190,Lists!$H$4:$AA$4,0)),D2190)=0,"Check sub-category","OK"))))</f>
        <v/>
      </c>
      <c r="P2190">
        <f>IF(ISNUMBER(I2190),I2190+ROW()/10000000,"")</f>
        <v/>
      </c>
      <c r="Q2190">
        <f>IF(AND(ISNUMBER(P2190),ISNUMBER(A2190)),IF(AND(A2190&gt;=Dashboard!$Q$3,A2190&lt;=Dashboard!$Q$4,OR(J2190&lt;&gt;"Yes",Dashboard!$Q$15="Yes")),P2190,""),"")</f>
        <v/>
      </c>
    </row>
    <row r="2191">
      <c r="A2191" s="47" t="n"/>
      <c r="B2191" s="48" t="n"/>
      <c r="C2191" s="48" t="n"/>
      <c r="D2191" s="48" t="n"/>
      <c r="E2191" s="48" t="n"/>
      <c r="F2191" s="48" t="n"/>
      <c r="G2191" s="48" t="n"/>
      <c r="H2191" s="48" t="n"/>
      <c r="I2191" s="49" t="n"/>
      <c r="J2191" s="50" t="n"/>
      <c r="K2191" s="48" t="n"/>
      <c r="L2191" s="51">
        <f>IF(A2191="","",DATE(YEAR(A2191),MONTH(A2191),1))</f>
        <v/>
      </c>
      <c r="M2191" s="52">
        <f>IF(OR(A2191="",NOT(ISNUMBER(I2191))),"",IF(G2191=Lists!$B$5,I2191/2,IF(G2191=Lists!$B$6,I2191,0)))</f>
        <v/>
      </c>
      <c r="N2191" s="52">
        <f>IF(OR(A2191="",NOT(ISNUMBER(I2191))),"",IF(G2191=Lists!$B$5,I2191/2,IF(G2191=Lists!$B$7,I2191,0)))</f>
        <v/>
      </c>
      <c r="O2191" s="53">
        <f>IF(COUNTA(A2191:K2191)=0,"",IF(OR(A2191="",B2191="",C2191="",D2191="",E2191="",F2191="",G2191="",NOT(ISNUMBER(I2191))),"Incomplete",IF(COUNTIF(Lists!$H$4:$AA$4,C2191)=0,"Check category",IF(COUNTIF(INDEX(Lists!$H$6:$AA$45,0,MATCH(C2191,Lists!$H$4:$AA$4,0)),D2191)=0,"Check sub-category","OK"))))</f>
        <v/>
      </c>
      <c r="P2191">
        <f>IF(ISNUMBER(I2191),I2191+ROW()/10000000,"")</f>
        <v/>
      </c>
      <c r="Q2191">
        <f>IF(AND(ISNUMBER(P2191),ISNUMBER(A2191)),IF(AND(A2191&gt;=Dashboard!$Q$3,A2191&lt;=Dashboard!$Q$4,OR(J2191&lt;&gt;"Yes",Dashboard!$Q$15="Yes")),P2191,""),"")</f>
        <v/>
      </c>
    </row>
    <row r="2192">
      <c r="A2192" s="47" t="n"/>
      <c r="B2192" s="48" t="n"/>
      <c r="C2192" s="48" t="n"/>
      <c r="D2192" s="48" t="n"/>
      <c r="E2192" s="48" t="n"/>
      <c r="F2192" s="48" t="n"/>
      <c r="G2192" s="48" t="n"/>
      <c r="H2192" s="48" t="n"/>
      <c r="I2192" s="49" t="n"/>
      <c r="J2192" s="50" t="n"/>
      <c r="K2192" s="48" t="n"/>
      <c r="L2192" s="51">
        <f>IF(A2192="","",DATE(YEAR(A2192),MONTH(A2192),1))</f>
        <v/>
      </c>
      <c r="M2192" s="52">
        <f>IF(OR(A2192="",NOT(ISNUMBER(I2192))),"",IF(G2192=Lists!$B$5,I2192/2,IF(G2192=Lists!$B$6,I2192,0)))</f>
        <v/>
      </c>
      <c r="N2192" s="52">
        <f>IF(OR(A2192="",NOT(ISNUMBER(I2192))),"",IF(G2192=Lists!$B$5,I2192/2,IF(G2192=Lists!$B$7,I2192,0)))</f>
        <v/>
      </c>
      <c r="O2192" s="53">
        <f>IF(COUNTA(A2192:K2192)=0,"",IF(OR(A2192="",B2192="",C2192="",D2192="",E2192="",F2192="",G2192="",NOT(ISNUMBER(I2192))),"Incomplete",IF(COUNTIF(Lists!$H$4:$AA$4,C2192)=0,"Check category",IF(COUNTIF(INDEX(Lists!$H$6:$AA$45,0,MATCH(C2192,Lists!$H$4:$AA$4,0)),D2192)=0,"Check sub-category","OK"))))</f>
        <v/>
      </c>
      <c r="P2192">
        <f>IF(ISNUMBER(I2192),I2192+ROW()/10000000,"")</f>
        <v/>
      </c>
      <c r="Q2192">
        <f>IF(AND(ISNUMBER(P2192),ISNUMBER(A2192)),IF(AND(A2192&gt;=Dashboard!$Q$3,A2192&lt;=Dashboard!$Q$4,OR(J2192&lt;&gt;"Yes",Dashboard!$Q$15="Yes")),P2192,""),"")</f>
        <v/>
      </c>
    </row>
    <row r="2193">
      <c r="A2193" s="47" t="n"/>
      <c r="B2193" s="48" t="n"/>
      <c r="C2193" s="48" t="n"/>
      <c r="D2193" s="48" t="n"/>
      <c r="E2193" s="48" t="n"/>
      <c r="F2193" s="48" t="n"/>
      <c r="G2193" s="48" t="n"/>
      <c r="H2193" s="48" t="n"/>
      <c r="I2193" s="49" t="n"/>
      <c r="J2193" s="50" t="n"/>
      <c r="K2193" s="48" t="n"/>
      <c r="L2193" s="51">
        <f>IF(A2193="","",DATE(YEAR(A2193),MONTH(A2193),1))</f>
        <v/>
      </c>
      <c r="M2193" s="52">
        <f>IF(OR(A2193="",NOT(ISNUMBER(I2193))),"",IF(G2193=Lists!$B$5,I2193/2,IF(G2193=Lists!$B$6,I2193,0)))</f>
        <v/>
      </c>
      <c r="N2193" s="52">
        <f>IF(OR(A2193="",NOT(ISNUMBER(I2193))),"",IF(G2193=Lists!$B$5,I2193/2,IF(G2193=Lists!$B$7,I2193,0)))</f>
        <v/>
      </c>
      <c r="O2193" s="53">
        <f>IF(COUNTA(A2193:K2193)=0,"",IF(OR(A2193="",B2193="",C2193="",D2193="",E2193="",F2193="",G2193="",NOT(ISNUMBER(I2193))),"Incomplete",IF(COUNTIF(Lists!$H$4:$AA$4,C2193)=0,"Check category",IF(COUNTIF(INDEX(Lists!$H$6:$AA$45,0,MATCH(C2193,Lists!$H$4:$AA$4,0)),D2193)=0,"Check sub-category","OK"))))</f>
        <v/>
      </c>
      <c r="P2193">
        <f>IF(ISNUMBER(I2193),I2193+ROW()/10000000,"")</f>
        <v/>
      </c>
      <c r="Q2193">
        <f>IF(AND(ISNUMBER(P2193),ISNUMBER(A2193)),IF(AND(A2193&gt;=Dashboard!$Q$3,A2193&lt;=Dashboard!$Q$4,OR(J2193&lt;&gt;"Yes",Dashboard!$Q$15="Yes")),P2193,""),"")</f>
        <v/>
      </c>
    </row>
    <row r="2194">
      <c r="A2194" s="47" t="n"/>
      <c r="B2194" s="48" t="n"/>
      <c r="C2194" s="48" t="n"/>
      <c r="D2194" s="48" t="n"/>
      <c r="E2194" s="48" t="n"/>
      <c r="F2194" s="48" t="n"/>
      <c r="G2194" s="48" t="n"/>
      <c r="H2194" s="48" t="n"/>
      <c r="I2194" s="49" t="n"/>
      <c r="J2194" s="50" t="n"/>
      <c r="K2194" s="48" t="n"/>
      <c r="L2194" s="51">
        <f>IF(A2194="","",DATE(YEAR(A2194),MONTH(A2194),1))</f>
        <v/>
      </c>
      <c r="M2194" s="52">
        <f>IF(OR(A2194="",NOT(ISNUMBER(I2194))),"",IF(G2194=Lists!$B$5,I2194/2,IF(G2194=Lists!$B$6,I2194,0)))</f>
        <v/>
      </c>
      <c r="N2194" s="52">
        <f>IF(OR(A2194="",NOT(ISNUMBER(I2194))),"",IF(G2194=Lists!$B$5,I2194/2,IF(G2194=Lists!$B$7,I2194,0)))</f>
        <v/>
      </c>
      <c r="O2194" s="53">
        <f>IF(COUNTA(A2194:K2194)=0,"",IF(OR(A2194="",B2194="",C2194="",D2194="",E2194="",F2194="",G2194="",NOT(ISNUMBER(I2194))),"Incomplete",IF(COUNTIF(Lists!$H$4:$AA$4,C2194)=0,"Check category",IF(COUNTIF(INDEX(Lists!$H$6:$AA$45,0,MATCH(C2194,Lists!$H$4:$AA$4,0)),D2194)=0,"Check sub-category","OK"))))</f>
        <v/>
      </c>
      <c r="P2194">
        <f>IF(ISNUMBER(I2194),I2194+ROW()/10000000,"")</f>
        <v/>
      </c>
      <c r="Q2194">
        <f>IF(AND(ISNUMBER(P2194),ISNUMBER(A2194)),IF(AND(A2194&gt;=Dashboard!$Q$3,A2194&lt;=Dashboard!$Q$4,OR(J2194&lt;&gt;"Yes",Dashboard!$Q$15="Yes")),P2194,""),"")</f>
        <v/>
      </c>
    </row>
    <row r="2195">
      <c r="A2195" s="47" t="n"/>
      <c r="B2195" s="48" t="n"/>
      <c r="C2195" s="48" t="n"/>
      <c r="D2195" s="48" t="n"/>
      <c r="E2195" s="48" t="n"/>
      <c r="F2195" s="48" t="n"/>
      <c r="G2195" s="48" t="n"/>
      <c r="H2195" s="48" t="n"/>
      <c r="I2195" s="49" t="n"/>
      <c r="J2195" s="50" t="n"/>
      <c r="K2195" s="48" t="n"/>
      <c r="L2195" s="51">
        <f>IF(A2195="","",DATE(YEAR(A2195),MONTH(A2195),1))</f>
        <v/>
      </c>
      <c r="M2195" s="52">
        <f>IF(OR(A2195="",NOT(ISNUMBER(I2195))),"",IF(G2195=Lists!$B$5,I2195/2,IF(G2195=Lists!$B$6,I2195,0)))</f>
        <v/>
      </c>
      <c r="N2195" s="52">
        <f>IF(OR(A2195="",NOT(ISNUMBER(I2195))),"",IF(G2195=Lists!$B$5,I2195/2,IF(G2195=Lists!$B$7,I2195,0)))</f>
        <v/>
      </c>
      <c r="O2195" s="53">
        <f>IF(COUNTA(A2195:K2195)=0,"",IF(OR(A2195="",B2195="",C2195="",D2195="",E2195="",F2195="",G2195="",NOT(ISNUMBER(I2195))),"Incomplete",IF(COUNTIF(Lists!$H$4:$AA$4,C2195)=0,"Check category",IF(COUNTIF(INDEX(Lists!$H$6:$AA$45,0,MATCH(C2195,Lists!$H$4:$AA$4,0)),D2195)=0,"Check sub-category","OK"))))</f>
        <v/>
      </c>
      <c r="P2195">
        <f>IF(ISNUMBER(I2195),I2195+ROW()/10000000,"")</f>
        <v/>
      </c>
      <c r="Q2195">
        <f>IF(AND(ISNUMBER(P2195),ISNUMBER(A2195)),IF(AND(A2195&gt;=Dashboard!$Q$3,A2195&lt;=Dashboard!$Q$4,OR(J2195&lt;&gt;"Yes",Dashboard!$Q$15="Yes")),P2195,""),"")</f>
        <v/>
      </c>
    </row>
    <row r="2196">
      <c r="A2196" s="47" t="n"/>
      <c r="B2196" s="48" t="n"/>
      <c r="C2196" s="48" t="n"/>
      <c r="D2196" s="48" t="n"/>
      <c r="E2196" s="48" t="n"/>
      <c r="F2196" s="48" t="n"/>
      <c r="G2196" s="48" t="n"/>
      <c r="H2196" s="48" t="n"/>
      <c r="I2196" s="49" t="n"/>
      <c r="J2196" s="50" t="n"/>
      <c r="K2196" s="48" t="n"/>
      <c r="L2196" s="51">
        <f>IF(A2196="","",DATE(YEAR(A2196),MONTH(A2196),1))</f>
        <v/>
      </c>
      <c r="M2196" s="52">
        <f>IF(OR(A2196="",NOT(ISNUMBER(I2196))),"",IF(G2196=Lists!$B$5,I2196/2,IF(G2196=Lists!$B$6,I2196,0)))</f>
        <v/>
      </c>
      <c r="N2196" s="52">
        <f>IF(OR(A2196="",NOT(ISNUMBER(I2196))),"",IF(G2196=Lists!$B$5,I2196/2,IF(G2196=Lists!$B$7,I2196,0)))</f>
        <v/>
      </c>
      <c r="O2196" s="53">
        <f>IF(COUNTA(A2196:K2196)=0,"",IF(OR(A2196="",B2196="",C2196="",D2196="",E2196="",F2196="",G2196="",NOT(ISNUMBER(I2196))),"Incomplete",IF(COUNTIF(Lists!$H$4:$AA$4,C2196)=0,"Check category",IF(COUNTIF(INDEX(Lists!$H$6:$AA$45,0,MATCH(C2196,Lists!$H$4:$AA$4,0)),D2196)=0,"Check sub-category","OK"))))</f>
        <v/>
      </c>
      <c r="P2196">
        <f>IF(ISNUMBER(I2196),I2196+ROW()/10000000,"")</f>
        <v/>
      </c>
      <c r="Q2196">
        <f>IF(AND(ISNUMBER(P2196),ISNUMBER(A2196)),IF(AND(A2196&gt;=Dashboard!$Q$3,A2196&lt;=Dashboard!$Q$4,OR(J2196&lt;&gt;"Yes",Dashboard!$Q$15="Yes")),P2196,""),"")</f>
        <v/>
      </c>
    </row>
    <row r="2197">
      <c r="A2197" s="47" t="n"/>
      <c r="B2197" s="48" t="n"/>
      <c r="C2197" s="48" t="n"/>
      <c r="D2197" s="48" t="n"/>
      <c r="E2197" s="48" t="n"/>
      <c r="F2197" s="48" t="n"/>
      <c r="G2197" s="48" t="n"/>
      <c r="H2197" s="48" t="n"/>
      <c r="I2197" s="49" t="n"/>
      <c r="J2197" s="50" t="n"/>
      <c r="K2197" s="48" t="n"/>
      <c r="L2197" s="51">
        <f>IF(A2197="","",DATE(YEAR(A2197),MONTH(A2197),1))</f>
        <v/>
      </c>
      <c r="M2197" s="52">
        <f>IF(OR(A2197="",NOT(ISNUMBER(I2197))),"",IF(G2197=Lists!$B$5,I2197/2,IF(G2197=Lists!$B$6,I2197,0)))</f>
        <v/>
      </c>
      <c r="N2197" s="52">
        <f>IF(OR(A2197="",NOT(ISNUMBER(I2197))),"",IF(G2197=Lists!$B$5,I2197/2,IF(G2197=Lists!$B$7,I2197,0)))</f>
        <v/>
      </c>
      <c r="O2197" s="53">
        <f>IF(COUNTA(A2197:K2197)=0,"",IF(OR(A2197="",B2197="",C2197="",D2197="",E2197="",F2197="",G2197="",NOT(ISNUMBER(I2197))),"Incomplete",IF(COUNTIF(Lists!$H$4:$AA$4,C2197)=0,"Check category",IF(COUNTIF(INDEX(Lists!$H$6:$AA$45,0,MATCH(C2197,Lists!$H$4:$AA$4,0)),D2197)=0,"Check sub-category","OK"))))</f>
        <v/>
      </c>
      <c r="P2197">
        <f>IF(ISNUMBER(I2197),I2197+ROW()/10000000,"")</f>
        <v/>
      </c>
      <c r="Q2197">
        <f>IF(AND(ISNUMBER(P2197),ISNUMBER(A2197)),IF(AND(A2197&gt;=Dashboard!$Q$3,A2197&lt;=Dashboard!$Q$4,OR(J2197&lt;&gt;"Yes",Dashboard!$Q$15="Yes")),P2197,""),"")</f>
        <v/>
      </c>
    </row>
    <row r="2198">
      <c r="A2198" s="47" t="n"/>
      <c r="B2198" s="48" t="n"/>
      <c r="C2198" s="48" t="n"/>
      <c r="D2198" s="48" t="n"/>
      <c r="E2198" s="48" t="n"/>
      <c r="F2198" s="48" t="n"/>
      <c r="G2198" s="48" t="n"/>
      <c r="H2198" s="48" t="n"/>
      <c r="I2198" s="49" t="n"/>
      <c r="J2198" s="50" t="n"/>
      <c r="K2198" s="48" t="n"/>
      <c r="L2198" s="51">
        <f>IF(A2198="","",DATE(YEAR(A2198),MONTH(A2198),1))</f>
        <v/>
      </c>
      <c r="M2198" s="52">
        <f>IF(OR(A2198="",NOT(ISNUMBER(I2198))),"",IF(G2198=Lists!$B$5,I2198/2,IF(G2198=Lists!$B$6,I2198,0)))</f>
        <v/>
      </c>
      <c r="N2198" s="52">
        <f>IF(OR(A2198="",NOT(ISNUMBER(I2198))),"",IF(G2198=Lists!$B$5,I2198/2,IF(G2198=Lists!$B$7,I2198,0)))</f>
        <v/>
      </c>
      <c r="O2198" s="53">
        <f>IF(COUNTA(A2198:K2198)=0,"",IF(OR(A2198="",B2198="",C2198="",D2198="",E2198="",F2198="",G2198="",NOT(ISNUMBER(I2198))),"Incomplete",IF(COUNTIF(Lists!$H$4:$AA$4,C2198)=0,"Check category",IF(COUNTIF(INDEX(Lists!$H$6:$AA$45,0,MATCH(C2198,Lists!$H$4:$AA$4,0)),D2198)=0,"Check sub-category","OK"))))</f>
        <v/>
      </c>
      <c r="P2198">
        <f>IF(ISNUMBER(I2198),I2198+ROW()/10000000,"")</f>
        <v/>
      </c>
      <c r="Q2198">
        <f>IF(AND(ISNUMBER(P2198),ISNUMBER(A2198)),IF(AND(A2198&gt;=Dashboard!$Q$3,A2198&lt;=Dashboard!$Q$4,OR(J2198&lt;&gt;"Yes",Dashboard!$Q$15="Yes")),P2198,""),"")</f>
        <v/>
      </c>
    </row>
    <row r="2199">
      <c r="A2199" s="47" t="n"/>
      <c r="B2199" s="48" t="n"/>
      <c r="C2199" s="48" t="n"/>
      <c r="D2199" s="48" t="n"/>
      <c r="E2199" s="48" t="n"/>
      <c r="F2199" s="48" t="n"/>
      <c r="G2199" s="48" t="n"/>
      <c r="H2199" s="48" t="n"/>
      <c r="I2199" s="49" t="n"/>
      <c r="J2199" s="50" t="n"/>
      <c r="K2199" s="48" t="n"/>
      <c r="L2199" s="51">
        <f>IF(A2199="","",DATE(YEAR(A2199),MONTH(A2199),1))</f>
        <v/>
      </c>
      <c r="M2199" s="52">
        <f>IF(OR(A2199="",NOT(ISNUMBER(I2199))),"",IF(G2199=Lists!$B$5,I2199/2,IF(G2199=Lists!$B$6,I2199,0)))</f>
        <v/>
      </c>
      <c r="N2199" s="52">
        <f>IF(OR(A2199="",NOT(ISNUMBER(I2199))),"",IF(G2199=Lists!$B$5,I2199/2,IF(G2199=Lists!$B$7,I2199,0)))</f>
        <v/>
      </c>
      <c r="O2199" s="53">
        <f>IF(COUNTA(A2199:K2199)=0,"",IF(OR(A2199="",B2199="",C2199="",D2199="",E2199="",F2199="",G2199="",NOT(ISNUMBER(I2199))),"Incomplete",IF(COUNTIF(Lists!$H$4:$AA$4,C2199)=0,"Check category",IF(COUNTIF(INDEX(Lists!$H$6:$AA$45,0,MATCH(C2199,Lists!$H$4:$AA$4,0)),D2199)=0,"Check sub-category","OK"))))</f>
        <v/>
      </c>
      <c r="P2199">
        <f>IF(ISNUMBER(I2199),I2199+ROW()/10000000,"")</f>
        <v/>
      </c>
      <c r="Q2199">
        <f>IF(AND(ISNUMBER(P2199),ISNUMBER(A2199)),IF(AND(A2199&gt;=Dashboard!$Q$3,A2199&lt;=Dashboard!$Q$4,OR(J2199&lt;&gt;"Yes",Dashboard!$Q$15="Yes")),P2199,""),"")</f>
        <v/>
      </c>
    </row>
    <row r="2200">
      <c r="A2200" s="47" t="n"/>
      <c r="B2200" s="48" t="n"/>
      <c r="C2200" s="48" t="n"/>
      <c r="D2200" s="48" t="n"/>
      <c r="E2200" s="48" t="n"/>
      <c r="F2200" s="48" t="n"/>
      <c r="G2200" s="48" t="n"/>
      <c r="H2200" s="48" t="n"/>
      <c r="I2200" s="49" t="n"/>
      <c r="J2200" s="50" t="n"/>
      <c r="K2200" s="48" t="n"/>
      <c r="L2200" s="51">
        <f>IF(A2200="","",DATE(YEAR(A2200),MONTH(A2200),1))</f>
        <v/>
      </c>
      <c r="M2200" s="52">
        <f>IF(OR(A2200="",NOT(ISNUMBER(I2200))),"",IF(G2200=Lists!$B$5,I2200/2,IF(G2200=Lists!$B$6,I2200,0)))</f>
        <v/>
      </c>
      <c r="N2200" s="52">
        <f>IF(OR(A2200="",NOT(ISNUMBER(I2200))),"",IF(G2200=Lists!$B$5,I2200/2,IF(G2200=Lists!$B$7,I2200,0)))</f>
        <v/>
      </c>
      <c r="O2200" s="53">
        <f>IF(COUNTA(A2200:K2200)=0,"",IF(OR(A2200="",B2200="",C2200="",D2200="",E2200="",F2200="",G2200="",NOT(ISNUMBER(I2200))),"Incomplete",IF(COUNTIF(Lists!$H$4:$AA$4,C2200)=0,"Check category",IF(COUNTIF(INDEX(Lists!$H$6:$AA$45,0,MATCH(C2200,Lists!$H$4:$AA$4,0)),D2200)=0,"Check sub-category","OK"))))</f>
        <v/>
      </c>
      <c r="P2200">
        <f>IF(ISNUMBER(I2200),I2200+ROW()/10000000,"")</f>
        <v/>
      </c>
      <c r="Q2200">
        <f>IF(AND(ISNUMBER(P2200),ISNUMBER(A2200)),IF(AND(A2200&gt;=Dashboard!$Q$3,A2200&lt;=Dashboard!$Q$4,OR(J2200&lt;&gt;"Yes",Dashboard!$Q$15="Yes")),P2200,""),"")</f>
        <v/>
      </c>
    </row>
    <row r="2201">
      <c r="A2201" s="47" t="n"/>
      <c r="B2201" s="48" t="n"/>
      <c r="C2201" s="48" t="n"/>
      <c r="D2201" s="48" t="n"/>
      <c r="E2201" s="48" t="n"/>
      <c r="F2201" s="48" t="n"/>
      <c r="G2201" s="48" t="n"/>
      <c r="H2201" s="48" t="n"/>
      <c r="I2201" s="49" t="n"/>
      <c r="J2201" s="50" t="n"/>
      <c r="K2201" s="48" t="n"/>
      <c r="L2201" s="51">
        <f>IF(A2201="","",DATE(YEAR(A2201),MONTH(A2201),1))</f>
        <v/>
      </c>
      <c r="M2201" s="52">
        <f>IF(OR(A2201="",NOT(ISNUMBER(I2201))),"",IF(G2201=Lists!$B$5,I2201/2,IF(G2201=Lists!$B$6,I2201,0)))</f>
        <v/>
      </c>
      <c r="N2201" s="52">
        <f>IF(OR(A2201="",NOT(ISNUMBER(I2201))),"",IF(G2201=Lists!$B$5,I2201/2,IF(G2201=Lists!$B$7,I2201,0)))</f>
        <v/>
      </c>
      <c r="O2201" s="53">
        <f>IF(COUNTA(A2201:K2201)=0,"",IF(OR(A2201="",B2201="",C2201="",D2201="",E2201="",F2201="",G2201="",NOT(ISNUMBER(I2201))),"Incomplete",IF(COUNTIF(Lists!$H$4:$AA$4,C2201)=0,"Check category",IF(COUNTIF(INDEX(Lists!$H$6:$AA$45,0,MATCH(C2201,Lists!$H$4:$AA$4,0)),D2201)=0,"Check sub-category","OK"))))</f>
        <v/>
      </c>
      <c r="P2201">
        <f>IF(ISNUMBER(I2201),I2201+ROW()/10000000,"")</f>
        <v/>
      </c>
      <c r="Q2201">
        <f>IF(AND(ISNUMBER(P2201),ISNUMBER(A2201)),IF(AND(A2201&gt;=Dashboard!$Q$3,A2201&lt;=Dashboard!$Q$4,OR(J2201&lt;&gt;"Yes",Dashboard!$Q$15="Yes")),P2201,""),"")</f>
        <v/>
      </c>
    </row>
    <row r="2202">
      <c r="A2202" s="47" t="n"/>
      <c r="B2202" s="48" t="n"/>
      <c r="C2202" s="48" t="n"/>
      <c r="D2202" s="48" t="n"/>
      <c r="E2202" s="48" t="n"/>
      <c r="F2202" s="48" t="n"/>
      <c r="G2202" s="48" t="n"/>
      <c r="H2202" s="48" t="n"/>
      <c r="I2202" s="49" t="n"/>
      <c r="J2202" s="50" t="n"/>
      <c r="K2202" s="48" t="n"/>
      <c r="L2202" s="51">
        <f>IF(A2202="","",DATE(YEAR(A2202),MONTH(A2202),1))</f>
        <v/>
      </c>
      <c r="M2202" s="52">
        <f>IF(OR(A2202="",NOT(ISNUMBER(I2202))),"",IF(G2202=Lists!$B$5,I2202/2,IF(G2202=Lists!$B$6,I2202,0)))</f>
        <v/>
      </c>
      <c r="N2202" s="52">
        <f>IF(OR(A2202="",NOT(ISNUMBER(I2202))),"",IF(G2202=Lists!$B$5,I2202/2,IF(G2202=Lists!$B$7,I2202,0)))</f>
        <v/>
      </c>
      <c r="O2202" s="53">
        <f>IF(COUNTA(A2202:K2202)=0,"",IF(OR(A2202="",B2202="",C2202="",D2202="",E2202="",F2202="",G2202="",NOT(ISNUMBER(I2202))),"Incomplete",IF(COUNTIF(Lists!$H$4:$AA$4,C2202)=0,"Check category",IF(COUNTIF(INDEX(Lists!$H$6:$AA$45,0,MATCH(C2202,Lists!$H$4:$AA$4,0)),D2202)=0,"Check sub-category","OK"))))</f>
        <v/>
      </c>
      <c r="P2202">
        <f>IF(ISNUMBER(I2202),I2202+ROW()/10000000,"")</f>
        <v/>
      </c>
      <c r="Q2202">
        <f>IF(AND(ISNUMBER(P2202),ISNUMBER(A2202)),IF(AND(A2202&gt;=Dashboard!$Q$3,A2202&lt;=Dashboard!$Q$4,OR(J2202&lt;&gt;"Yes",Dashboard!$Q$15="Yes")),P2202,""),"")</f>
        <v/>
      </c>
    </row>
    <row r="2203">
      <c r="A2203" s="47" t="n"/>
      <c r="B2203" s="48" t="n"/>
      <c r="C2203" s="48" t="n"/>
      <c r="D2203" s="48" t="n"/>
      <c r="E2203" s="48" t="n"/>
      <c r="F2203" s="48" t="n"/>
      <c r="G2203" s="48" t="n"/>
      <c r="H2203" s="48" t="n"/>
      <c r="I2203" s="49" t="n"/>
      <c r="J2203" s="50" t="n"/>
      <c r="K2203" s="48" t="n"/>
      <c r="L2203" s="51">
        <f>IF(A2203="","",DATE(YEAR(A2203),MONTH(A2203),1))</f>
        <v/>
      </c>
      <c r="M2203" s="52">
        <f>IF(OR(A2203="",NOT(ISNUMBER(I2203))),"",IF(G2203=Lists!$B$5,I2203/2,IF(G2203=Lists!$B$6,I2203,0)))</f>
        <v/>
      </c>
      <c r="N2203" s="52">
        <f>IF(OR(A2203="",NOT(ISNUMBER(I2203))),"",IF(G2203=Lists!$B$5,I2203/2,IF(G2203=Lists!$B$7,I2203,0)))</f>
        <v/>
      </c>
      <c r="O2203" s="53">
        <f>IF(COUNTA(A2203:K2203)=0,"",IF(OR(A2203="",B2203="",C2203="",D2203="",E2203="",F2203="",G2203="",NOT(ISNUMBER(I2203))),"Incomplete",IF(COUNTIF(Lists!$H$4:$AA$4,C2203)=0,"Check category",IF(COUNTIF(INDEX(Lists!$H$6:$AA$45,0,MATCH(C2203,Lists!$H$4:$AA$4,0)),D2203)=0,"Check sub-category","OK"))))</f>
        <v/>
      </c>
      <c r="P2203">
        <f>IF(ISNUMBER(I2203),I2203+ROW()/10000000,"")</f>
        <v/>
      </c>
      <c r="Q2203">
        <f>IF(AND(ISNUMBER(P2203),ISNUMBER(A2203)),IF(AND(A2203&gt;=Dashboard!$Q$3,A2203&lt;=Dashboard!$Q$4,OR(J2203&lt;&gt;"Yes",Dashboard!$Q$15="Yes")),P2203,""),"")</f>
        <v/>
      </c>
    </row>
    <row r="2204">
      <c r="A2204" s="47" t="n"/>
      <c r="B2204" s="48" t="n"/>
      <c r="C2204" s="48" t="n"/>
      <c r="D2204" s="48" t="n"/>
      <c r="E2204" s="48" t="n"/>
      <c r="F2204" s="48" t="n"/>
      <c r="G2204" s="48" t="n"/>
      <c r="H2204" s="48" t="n"/>
      <c r="I2204" s="49" t="n"/>
      <c r="J2204" s="50" t="n"/>
      <c r="K2204" s="48" t="n"/>
      <c r="L2204" s="51">
        <f>IF(A2204="","",DATE(YEAR(A2204),MONTH(A2204),1))</f>
        <v/>
      </c>
      <c r="M2204" s="52">
        <f>IF(OR(A2204="",NOT(ISNUMBER(I2204))),"",IF(G2204=Lists!$B$5,I2204/2,IF(G2204=Lists!$B$6,I2204,0)))</f>
        <v/>
      </c>
      <c r="N2204" s="52">
        <f>IF(OR(A2204="",NOT(ISNUMBER(I2204))),"",IF(G2204=Lists!$B$5,I2204/2,IF(G2204=Lists!$B$7,I2204,0)))</f>
        <v/>
      </c>
      <c r="O2204" s="53">
        <f>IF(COUNTA(A2204:K2204)=0,"",IF(OR(A2204="",B2204="",C2204="",D2204="",E2204="",F2204="",G2204="",NOT(ISNUMBER(I2204))),"Incomplete",IF(COUNTIF(Lists!$H$4:$AA$4,C2204)=0,"Check category",IF(COUNTIF(INDEX(Lists!$H$6:$AA$45,0,MATCH(C2204,Lists!$H$4:$AA$4,0)),D2204)=0,"Check sub-category","OK"))))</f>
        <v/>
      </c>
      <c r="P2204">
        <f>IF(ISNUMBER(I2204),I2204+ROW()/10000000,"")</f>
        <v/>
      </c>
      <c r="Q2204">
        <f>IF(AND(ISNUMBER(P2204),ISNUMBER(A2204)),IF(AND(A2204&gt;=Dashboard!$Q$3,A2204&lt;=Dashboard!$Q$4,OR(J2204&lt;&gt;"Yes",Dashboard!$Q$15="Yes")),P2204,""),"")</f>
        <v/>
      </c>
    </row>
    <row r="2205">
      <c r="A2205" s="47" t="n"/>
      <c r="B2205" s="48" t="n"/>
      <c r="C2205" s="48" t="n"/>
      <c r="D2205" s="48" t="n"/>
      <c r="E2205" s="48" t="n"/>
      <c r="F2205" s="48" t="n"/>
      <c r="G2205" s="48" t="n"/>
      <c r="H2205" s="48" t="n"/>
      <c r="I2205" s="49" t="n"/>
      <c r="J2205" s="50" t="n"/>
      <c r="K2205" s="48" t="n"/>
      <c r="L2205" s="51">
        <f>IF(A2205="","",DATE(YEAR(A2205),MONTH(A2205),1))</f>
        <v/>
      </c>
      <c r="M2205" s="52">
        <f>IF(OR(A2205="",NOT(ISNUMBER(I2205))),"",IF(G2205=Lists!$B$5,I2205/2,IF(G2205=Lists!$B$6,I2205,0)))</f>
        <v/>
      </c>
      <c r="N2205" s="52">
        <f>IF(OR(A2205="",NOT(ISNUMBER(I2205))),"",IF(G2205=Lists!$B$5,I2205/2,IF(G2205=Lists!$B$7,I2205,0)))</f>
        <v/>
      </c>
      <c r="O2205" s="53">
        <f>IF(COUNTA(A2205:K2205)=0,"",IF(OR(A2205="",B2205="",C2205="",D2205="",E2205="",F2205="",G2205="",NOT(ISNUMBER(I2205))),"Incomplete",IF(COUNTIF(Lists!$H$4:$AA$4,C2205)=0,"Check category",IF(COUNTIF(INDEX(Lists!$H$6:$AA$45,0,MATCH(C2205,Lists!$H$4:$AA$4,0)),D2205)=0,"Check sub-category","OK"))))</f>
        <v/>
      </c>
      <c r="P2205">
        <f>IF(ISNUMBER(I2205),I2205+ROW()/10000000,"")</f>
        <v/>
      </c>
      <c r="Q2205">
        <f>IF(AND(ISNUMBER(P2205),ISNUMBER(A2205)),IF(AND(A2205&gt;=Dashboard!$Q$3,A2205&lt;=Dashboard!$Q$4,OR(J2205&lt;&gt;"Yes",Dashboard!$Q$15="Yes")),P2205,""),"")</f>
        <v/>
      </c>
    </row>
    <row r="2206">
      <c r="A2206" s="47" t="n"/>
      <c r="B2206" s="48" t="n"/>
      <c r="C2206" s="48" t="n"/>
      <c r="D2206" s="48" t="n"/>
      <c r="E2206" s="48" t="n"/>
      <c r="F2206" s="48" t="n"/>
      <c r="G2206" s="48" t="n"/>
      <c r="H2206" s="48" t="n"/>
      <c r="I2206" s="49" t="n"/>
      <c r="J2206" s="50" t="n"/>
      <c r="K2206" s="48" t="n"/>
      <c r="L2206" s="51">
        <f>IF(A2206="","",DATE(YEAR(A2206),MONTH(A2206),1))</f>
        <v/>
      </c>
      <c r="M2206" s="52">
        <f>IF(OR(A2206="",NOT(ISNUMBER(I2206))),"",IF(G2206=Lists!$B$5,I2206/2,IF(G2206=Lists!$B$6,I2206,0)))</f>
        <v/>
      </c>
      <c r="N2206" s="52">
        <f>IF(OR(A2206="",NOT(ISNUMBER(I2206))),"",IF(G2206=Lists!$B$5,I2206/2,IF(G2206=Lists!$B$7,I2206,0)))</f>
        <v/>
      </c>
      <c r="O2206" s="53">
        <f>IF(COUNTA(A2206:K2206)=0,"",IF(OR(A2206="",B2206="",C2206="",D2206="",E2206="",F2206="",G2206="",NOT(ISNUMBER(I2206))),"Incomplete",IF(COUNTIF(Lists!$H$4:$AA$4,C2206)=0,"Check category",IF(COUNTIF(INDEX(Lists!$H$6:$AA$45,0,MATCH(C2206,Lists!$H$4:$AA$4,0)),D2206)=0,"Check sub-category","OK"))))</f>
        <v/>
      </c>
      <c r="P2206">
        <f>IF(ISNUMBER(I2206),I2206+ROW()/10000000,"")</f>
        <v/>
      </c>
      <c r="Q2206">
        <f>IF(AND(ISNUMBER(P2206),ISNUMBER(A2206)),IF(AND(A2206&gt;=Dashboard!$Q$3,A2206&lt;=Dashboard!$Q$4,OR(J2206&lt;&gt;"Yes",Dashboard!$Q$15="Yes")),P2206,""),"")</f>
        <v/>
      </c>
    </row>
    <row r="2207">
      <c r="A2207" s="47" t="n"/>
      <c r="B2207" s="48" t="n"/>
      <c r="C2207" s="48" t="n"/>
      <c r="D2207" s="48" t="n"/>
      <c r="E2207" s="48" t="n"/>
      <c r="F2207" s="48" t="n"/>
      <c r="G2207" s="48" t="n"/>
      <c r="H2207" s="48" t="n"/>
      <c r="I2207" s="49" t="n"/>
      <c r="J2207" s="50" t="n"/>
      <c r="K2207" s="48" t="n"/>
      <c r="L2207" s="51">
        <f>IF(A2207="","",DATE(YEAR(A2207),MONTH(A2207),1))</f>
        <v/>
      </c>
      <c r="M2207" s="52">
        <f>IF(OR(A2207="",NOT(ISNUMBER(I2207))),"",IF(G2207=Lists!$B$5,I2207/2,IF(G2207=Lists!$B$6,I2207,0)))</f>
        <v/>
      </c>
      <c r="N2207" s="52">
        <f>IF(OR(A2207="",NOT(ISNUMBER(I2207))),"",IF(G2207=Lists!$B$5,I2207/2,IF(G2207=Lists!$B$7,I2207,0)))</f>
        <v/>
      </c>
      <c r="O2207" s="53">
        <f>IF(COUNTA(A2207:K2207)=0,"",IF(OR(A2207="",B2207="",C2207="",D2207="",E2207="",F2207="",G2207="",NOT(ISNUMBER(I2207))),"Incomplete",IF(COUNTIF(Lists!$H$4:$AA$4,C2207)=0,"Check category",IF(COUNTIF(INDEX(Lists!$H$6:$AA$45,0,MATCH(C2207,Lists!$H$4:$AA$4,0)),D2207)=0,"Check sub-category","OK"))))</f>
        <v/>
      </c>
      <c r="P2207">
        <f>IF(ISNUMBER(I2207),I2207+ROW()/10000000,"")</f>
        <v/>
      </c>
      <c r="Q2207">
        <f>IF(AND(ISNUMBER(P2207),ISNUMBER(A2207)),IF(AND(A2207&gt;=Dashboard!$Q$3,A2207&lt;=Dashboard!$Q$4,OR(J2207&lt;&gt;"Yes",Dashboard!$Q$15="Yes")),P2207,""),"")</f>
        <v/>
      </c>
    </row>
    <row r="2208">
      <c r="A2208" s="47" t="n"/>
      <c r="B2208" s="48" t="n"/>
      <c r="C2208" s="48" t="n"/>
      <c r="D2208" s="48" t="n"/>
      <c r="E2208" s="48" t="n"/>
      <c r="F2208" s="48" t="n"/>
      <c r="G2208" s="48" t="n"/>
      <c r="H2208" s="48" t="n"/>
      <c r="I2208" s="49" t="n"/>
      <c r="J2208" s="50" t="n"/>
      <c r="K2208" s="48" t="n"/>
      <c r="L2208" s="51">
        <f>IF(A2208="","",DATE(YEAR(A2208),MONTH(A2208),1))</f>
        <v/>
      </c>
      <c r="M2208" s="52">
        <f>IF(OR(A2208="",NOT(ISNUMBER(I2208))),"",IF(G2208=Lists!$B$5,I2208/2,IF(G2208=Lists!$B$6,I2208,0)))</f>
        <v/>
      </c>
      <c r="N2208" s="52">
        <f>IF(OR(A2208="",NOT(ISNUMBER(I2208))),"",IF(G2208=Lists!$B$5,I2208/2,IF(G2208=Lists!$B$7,I2208,0)))</f>
        <v/>
      </c>
      <c r="O2208" s="53">
        <f>IF(COUNTA(A2208:K2208)=0,"",IF(OR(A2208="",B2208="",C2208="",D2208="",E2208="",F2208="",G2208="",NOT(ISNUMBER(I2208))),"Incomplete",IF(COUNTIF(Lists!$H$4:$AA$4,C2208)=0,"Check category",IF(COUNTIF(INDEX(Lists!$H$6:$AA$45,0,MATCH(C2208,Lists!$H$4:$AA$4,0)),D2208)=0,"Check sub-category","OK"))))</f>
        <v/>
      </c>
      <c r="P2208">
        <f>IF(ISNUMBER(I2208),I2208+ROW()/10000000,"")</f>
        <v/>
      </c>
      <c r="Q2208">
        <f>IF(AND(ISNUMBER(P2208),ISNUMBER(A2208)),IF(AND(A2208&gt;=Dashboard!$Q$3,A2208&lt;=Dashboard!$Q$4,OR(J2208&lt;&gt;"Yes",Dashboard!$Q$15="Yes")),P2208,""),"")</f>
        <v/>
      </c>
    </row>
    <row r="2209">
      <c r="A2209" s="47" t="n"/>
      <c r="B2209" s="48" t="n"/>
      <c r="C2209" s="48" t="n"/>
      <c r="D2209" s="48" t="n"/>
      <c r="E2209" s="48" t="n"/>
      <c r="F2209" s="48" t="n"/>
      <c r="G2209" s="48" t="n"/>
      <c r="H2209" s="48" t="n"/>
      <c r="I2209" s="49" t="n"/>
      <c r="J2209" s="50" t="n"/>
      <c r="K2209" s="48" t="n"/>
      <c r="L2209" s="51">
        <f>IF(A2209="","",DATE(YEAR(A2209),MONTH(A2209),1))</f>
        <v/>
      </c>
      <c r="M2209" s="52">
        <f>IF(OR(A2209="",NOT(ISNUMBER(I2209))),"",IF(G2209=Lists!$B$5,I2209/2,IF(G2209=Lists!$B$6,I2209,0)))</f>
        <v/>
      </c>
      <c r="N2209" s="52">
        <f>IF(OR(A2209="",NOT(ISNUMBER(I2209))),"",IF(G2209=Lists!$B$5,I2209/2,IF(G2209=Lists!$B$7,I2209,0)))</f>
        <v/>
      </c>
      <c r="O2209" s="53">
        <f>IF(COUNTA(A2209:K2209)=0,"",IF(OR(A2209="",B2209="",C2209="",D2209="",E2209="",F2209="",G2209="",NOT(ISNUMBER(I2209))),"Incomplete",IF(COUNTIF(Lists!$H$4:$AA$4,C2209)=0,"Check category",IF(COUNTIF(INDEX(Lists!$H$6:$AA$45,0,MATCH(C2209,Lists!$H$4:$AA$4,0)),D2209)=0,"Check sub-category","OK"))))</f>
        <v/>
      </c>
      <c r="P2209">
        <f>IF(ISNUMBER(I2209),I2209+ROW()/10000000,"")</f>
        <v/>
      </c>
      <c r="Q2209">
        <f>IF(AND(ISNUMBER(P2209),ISNUMBER(A2209)),IF(AND(A2209&gt;=Dashboard!$Q$3,A2209&lt;=Dashboard!$Q$4,OR(J2209&lt;&gt;"Yes",Dashboard!$Q$15="Yes")),P2209,""),"")</f>
        <v/>
      </c>
    </row>
    <row r="2210">
      <c r="A2210" s="47" t="n"/>
      <c r="B2210" s="48" t="n"/>
      <c r="C2210" s="48" t="n"/>
      <c r="D2210" s="48" t="n"/>
      <c r="E2210" s="48" t="n"/>
      <c r="F2210" s="48" t="n"/>
      <c r="G2210" s="48" t="n"/>
      <c r="H2210" s="48" t="n"/>
      <c r="I2210" s="49" t="n"/>
      <c r="J2210" s="50" t="n"/>
      <c r="K2210" s="48" t="n"/>
      <c r="L2210" s="51">
        <f>IF(A2210="","",DATE(YEAR(A2210),MONTH(A2210),1))</f>
        <v/>
      </c>
      <c r="M2210" s="52">
        <f>IF(OR(A2210="",NOT(ISNUMBER(I2210))),"",IF(G2210=Lists!$B$5,I2210/2,IF(G2210=Lists!$B$6,I2210,0)))</f>
        <v/>
      </c>
      <c r="N2210" s="52">
        <f>IF(OR(A2210="",NOT(ISNUMBER(I2210))),"",IF(G2210=Lists!$B$5,I2210/2,IF(G2210=Lists!$B$7,I2210,0)))</f>
        <v/>
      </c>
      <c r="O2210" s="53">
        <f>IF(COUNTA(A2210:K2210)=0,"",IF(OR(A2210="",B2210="",C2210="",D2210="",E2210="",F2210="",G2210="",NOT(ISNUMBER(I2210))),"Incomplete",IF(COUNTIF(Lists!$H$4:$AA$4,C2210)=0,"Check category",IF(COUNTIF(INDEX(Lists!$H$6:$AA$45,0,MATCH(C2210,Lists!$H$4:$AA$4,0)),D2210)=0,"Check sub-category","OK"))))</f>
        <v/>
      </c>
      <c r="P2210">
        <f>IF(ISNUMBER(I2210),I2210+ROW()/10000000,"")</f>
        <v/>
      </c>
      <c r="Q2210">
        <f>IF(AND(ISNUMBER(P2210),ISNUMBER(A2210)),IF(AND(A2210&gt;=Dashboard!$Q$3,A2210&lt;=Dashboard!$Q$4,OR(J2210&lt;&gt;"Yes",Dashboard!$Q$15="Yes")),P2210,""),"")</f>
        <v/>
      </c>
    </row>
    <row r="2211">
      <c r="A2211" s="47" t="n"/>
      <c r="B2211" s="48" t="n"/>
      <c r="C2211" s="48" t="n"/>
      <c r="D2211" s="48" t="n"/>
      <c r="E2211" s="48" t="n"/>
      <c r="F2211" s="48" t="n"/>
      <c r="G2211" s="48" t="n"/>
      <c r="H2211" s="48" t="n"/>
      <c r="I2211" s="49" t="n"/>
      <c r="J2211" s="50" t="n"/>
      <c r="K2211" s="48" t="n"/>
      <c r="L2211" s="51">
        <f>IF(A2211="","",DATE(YEAR(A2211),MONTH(A2211),1))</f>
        <v/>
      </c>
      <c r="M2211" s="52">
        <f>IF(OR(A2211="",NOT(ISNUMBER(I2211))),"",IF(G2211=Lists!$B$5,I2211/2,IF(G2211=Lists!$B$6,I2211,0)))</f>
        <v/>
      </c>
      <c r="N2211" s="52">
        <f>IF(OR(A2211="",NOT(ISNUMBER(I2211))),"",IF(G2211=Lists!$B$5,I2211/2,IF(G2211=Lists!$B$7,I2211,0)))</f>
        <v/>
      </c>
      <c r="O2211" s="53">
        <f>IF(COUNTA(A2211:K2211)=0,"",IF(OR(A2211="",B2211="",C2211="",D2211="",E2211="",F2211="",G2211="",NOT(ISNUMBER(I2211))),"Incomplete",IF(COUNTIF(Lists!$H$4:$AA$4,C2211)=0,"Check category",IF(COUNTIF(INDEX(Lists!$H$6:$AA$45,0,MATCH(C2211,Lists!$H$4:$AA$4,0)),D2211)=0,"Check sub-category","OK"))))</f>
        <v/>
      </c>
      <c r="P2211">
        <f>IF(ISNUMBER(I2211),I2211+ROW()/10000000,"")</f>
        <v/>
      </c>
      <c r="Q2211">
        <f>IF(AND(ISNUMBER(P2211),ISNUMBER(A2211)),IF(AND(A2211&gt;=Dashboard!$Q$3,A2211&lt;=Dashboard!$Q$4,OR(J2211&lt;&gt;"Yes",Dashboard!$Q$15="Yes")),P2211,""),"")</f>
        <v/>
      </c>
    </row>
    <row r="2212">
      <c r="A2212" s="47" t="n"/>
      <c r="B2212" s="48" t="n"/>
      <c r="C2212" s="48" t="n"/>
      <c r="D2212" s="48" t="n"/>
      <c r="E2212" s="48" t="n"/>
      <c r="F2212" s="48" t="n"/>
      <c r="G2212" s="48" t="n"/>
      <c r="H2212" s="48" t="n"/>
      <c r="I2212" s="49" t="n"/>
      <c r="J2212" s="50" t="n"/>
      <c r="K2212" s="48" t="n"/>
      <c r="L2212" s="51">
        <f>IF(A2212="","",DATE(YEAR(A2212),MONTH(A2212),1))</f>
        <v/>
      </c>
      <c r="M2212" s="52">
        <f>IF(OR(A2212="",NOT(ISNUMBER(I2212))),"",IF(G2212=Lists!$B$5,I2212/2,IF(G2212=Lists!$B$6,I2212,0)))</f>
        <v/>
      </c>
      <c r="N2212" s="52">
        <f>IF(OR(A2212="",NOT(ISNUMBER(I2212))),"",IF(G2212=Lists!$B$5,I2212/2,IF(G2212=Lists!$B$7,I2212,0)))</f>
        <v/>
      </c>
      <c r="O2212" s="53">
        <f>IF(COUNTA(A2212:K2212)=0,"",IF(OR(A2212="",B2212="",C2212="",D2212="",E2212="",F2212="",G2212="",NOT(ISNUMBER(I2212))),"Incomplete",IF(COUNTIF(Lists!$H$4:$AA$4,C2212)=0,"Check category",IF(COUNTIF(INDEX(Lists!$H$6:$AA$45,0,MATCH(C2212,Lists!$H$4:$AA$4,0)),D2212)=0,"Check sub-category","OK"))))</f>
        <v/>
      </c>
      <c r="P2212">
        <f>IF(ISNUMBER(I2212),I2212+ROW()/10000000,"")</f>
        <v/>
      </c>
      <c r="Q2212">
        <f>IF(AND(ISNUMBER(P2212),ISNUMBER(A2212)),IF(AND(A2212&gt;=Dashboard!$Q$3,A2212&lt;=Dashboard!$Q$4,OR(J2212&lt;&gt;"Yes",Dashboard!$Q$15="Yes")),P2212,""),"")</f>
        <v/>
      </c>
    </row>
    <row r="2213">
      <c r="A2213" s="47" t="n"/>
      <c r="B2213" s="48" t="n"/>
      <c r="C2213" s="48" t="n"/>
      <c r="D2213" s="48" t="n"/>
      <c r="E2213" s="48" t="n"/>
      <c r="F2213" s="48" t="n"/>
      <c r="G2213" s="48" t="n"/>
      <c r="H2213" s="48" t="n"/>
      <c r="I2213" s="49" t="n"/>
      <c r="J2213" s="50" t="n"/>
      <c r="K2213" s="48" t="n"/>
      <c r="L2213" s="51">
        <f>IF(A2213="","",DATE(YEAR(A2213),MONTH(A2213),1))</f>
        <v/>
      </c>
      <c r="M2213" s="52">
        <f>IF(OR(A2213="",NOT(ISNUMBER(I2213))),"",IF(G2213=Lists!$B$5,I2213/2,IF(G2213=Lists!$B$6,I2213,0)))</f>
        <v/>
      </c>
      <c r="N2213" s="52">
        <f>IF(OR(A2213="",NOT(ISNUMBER(I2213))),"",IF(G2213=Lists!$B$5,I2213/2,IF(G2213=Lists!$B$7,I2213,0)))</f>
        <v/>
      </c>
      <c r="O2213" s="53">
        <f>IF(COUNTA(A2213:K2213)=0,"",IF(OR(A2213="",B2213="",C2213="",D2213="",E2213="",F2213="",G2213="",NOT(ISNUMBER(I2213))),"Incomplete",IF(COUNTIF(Lists!$H$4:$AA$4,C2213)=0,"Check category",IF(COUNTIF(INDEX(Lists!$H$6:$AA$45,0,MATCH(C2213,Lists!$H$4:$AA$4,0)),D2213)=0,"Check sub-category","OK"))))</f>
        <v/>
      </c>
      <c r="P2213">
        <f>IF(ISNUMBER(I2213),I2213+ROW()/10000000,"")</f>
        <v/>
      </c>
      <c r="Q2213">
        <f>IF(AND(ISNUMBER(P2213),ISNUMBER(A2213)),IF(AND(A2213&gt;=Dashboard!$Q$3,A2213&lt;=Dashboard!$Q$4,OR(J2213&lt;&gt;"Yes",Dashboard!$Q$15="Yes")),P2213,""),"")</f>
        <v/>
      </c>
    </row>
    <row r="2214">
      <c r="A2214" s="47" t="n"/>
      <c r="B2214" s="48" t="n"/>
      <c r="C2214" s="48" t="n"/>
      <c r="D2214" s="48" t="n"/>
      <c r="E2214" s="48" t="n"/>
      <c r="F2214" s="48" t="n"/>
      <c r="G2214" s="48" t="n"/>
      <c r="H2214" s="48" t="n"/>
      <c r="I2214" s="49" t="n"/>
      <c r="J2214" s="50" t="n"/>
      <c r="K2214" s="48" t="n"/>
      <c r="L2214" s="51">
        <f>IF(A2214="","",DATE(YEAR(A2214),MONTH(A2214),1))</f>
        <v/>
      </c>
      <c r="M2214" s="52">
        <f>IF(OR(A2214="",NOT(ISNUMBER(I2214))),"",IF(G2214=Lists!$B$5,I2214/2,IF(G2214=Lists!$B$6,I2214,0)))</f>
        <v/>
      </c>
      <c r="N2214" s="52">
        <f>IF(OR(A2214="",NOT(ISNUMBER(I2214))),"",IF(G2214=Lists!$B$5,I2214/2,IF(G2214=Lists!$B$7,I2214,0)))</f>
        <v/>
      </c>
      <c r="O2214" s="53">
        <f>IF(COUNTA(A2214:K2214)=0,"",IF(OR(A2214="",B2214="",C2214="",D2214="",E2214="",F2214="",G2214="",NOT(ISNUMBER(I2214))),"Incomplete",IF(COUNTIF(Lists!$H$4:$AA$4,C2214)=0,"Check category",IF(COUNTIF(INDEX(Lists!$H$6:$AA$45,0,MATCH(C2214,Lists!$H$4:$AA$4,0)),D2214)=0,"Check sub-category","OK"))))</f>
        <v/>
      </c>
      <c r="P2214">
        <f>IF(ISNUMBER(I2214),I2214+ROW()/10000000,"")</f>
        <v/>
      </c>
      <c r="Q2214">
        <f>IF(AND(ISNUMBER(P2214),ISNUMBER(A2214)),IF(AND(A2214&gt;=Dashboard!$Q$3,A2214&lt;=Dashboard!$Q$4,OR(J2214&lt;&gt;"Yes",Dashboard!$Q$15="Yes")),P2214,""),"")</f>
        <v/>
      </c>
    </row>
    <row r="2215">
      <c r="A2215" s="47" t="n"/>
      <c r="B2215" s="48" t="n"/>
      <c r="C2215" s="48" t="n"/>
      <c r="D2215" s="48" t="n"/>
      <c r="E2215" s="48" t="n"/>
      <c r="F2215" s="48" t="n"/>
      <c r="G2215" s="48" t="n"/>
      <c r="H2215" s="48" t="n"/>
      <c r="I2215" s="49" t="n"/>
      <c r="J2215" s="50" t="n"/>
      <c r="K2215" s="48" t="n"/>
      <c r="L2215" s="51">
        <f>IF(A2215="","",DATE(YEAR(A2215),MONTH(A2215),1))</f>
        <v/>
      </c>
      <c r="M2215" s="52">
        <f>IF(OR(A2215="",NOT(ISNUMBER(I2215))),"",IF(G2215=Lists!$B$5,I2215/2,IF(G2215=Lists!$B$6,I2215,0)))</f>
        <v/>
      </c>
      <c r="N2215" s="52">
        <f>IF(OR(A2215="",NOT(ISNUMBER(I2215))),"",IF(G2215=Lists!$B$5,I2215/2,IF(G2215=Lists!$B$7,I2215,0)))</f>
        <v/>
      </c>
      <c r="O2215" s="53">
        <f>IF(COUNTA(A2215:K2215)=0,"",IF(OR(A2215="",B2215="",C2215="",D2215="",E2215="",F2215="",G2215="",NOT(ISNUMBER(I2215))),"Incomplete",IF(COUNTIF(Lists!$H$4:$AA$4,C2215)=0,"Check category",IF(COUNTIF(INDEX(Lists!$H$6:$AA$45,0,MATCH(C2215,Lists!$H$4:$AA$4,0)),D2215)=0,"Check sub-category","OK"))))</f>
        <v/>
      </c>
      <c r="P2215">
        <f>IF(ISNUMBER(I2215),I2215+ROW()/10000000,"")</f>
        <v/>
      </c>
      <c r="Q2215">
        <f>IF(AND(ISNUMBER(P2215),ISNUMBER(A2215)),IF(AND(A2215&gt;=Dashboard!$Q$3,A2215&lt;=Dashboard!$Q$4,OR(J2215&lt;&gt;"Yes",Dashboard!$Q$15="Yes")),P2215,""),"")</f>
        <v/>
      </c>
    </row>
    <row r="2216">
      <c r="A2216" s="47" t="n"/>
      <c r="B2216" s="48" t="n"/>
      <c r="C2216" s="48" t="n"/>
      <c r="D2216" s="48" t="n"/>
      <c r="E2216" s="48" t="n"/>
      <c r="F2216" s="48" t="n"/>
      <c r="G2216" s="48" t="n"/>
      <c r="H2216" s="48" t="n"/>
      <c r="I2216" s="49" t="n"/>
      <c r="J2216" s="50" t="n"/>
      <c r="K2216" s="48" t="n"/>
      <c r="L2216" s="51">
        <f>IF(A2216="","",DATE(YEAR(A2216),MONTH(A2216),1))</f>
        <v/>
      </c>
      <c r="M2216" s="52">
        <f>IF(OR(A2216="",NOT(ISNUMBER(I2216))),"",IF(G2216=Lists!$B$5,I2216/2,IF(G2216=Lists!$B$6,I2216,0)))</f>
        <v/>
      </c>
      <c r="N2216" s="52">
        <f>IF(OR(A2216="",NOT(ISNUMBER(I2216))),"",IF(G2216=Lists!$B$5,I2216/2,IF(G2216=Lists!$B$7,I2216,0)))</f>
        <v/>
      </c>
      <c r="O2216" s="53">
        <f>IF(COUNTA(A2216:K2216)=0,"",IF(OR(A2216="",B2216="",C2216="",D2216="",E2216="",F2216="",G2216="",NOT(ISNUMBER(I2216))),"Incomplete",IF(COUNTIF(Lists!$H$4:$AA$4,C2216)=0,"Check category",IF(COUNTIF(INDEX(Lists!$H$6:$AA$45,0,MATCH(C2216,Lists!$H$4:$AA$4,0)),D2216)=0,"Check sub-category","OK"))))</f>
        <v/>
      </c>
      <c r="P2216">
        <f>IF(ISNUMBER(I2216),I2216+ROW()/10000000,"")</f>
        <v/>
      </c>
      <c r="Q2216">
        <f>IF(AND(ISNUMBER(P2216),ISNUMBER(A2216)),IF(AND(A2216&gt;=Dashboard!$Q$3,A2216&lt;=Dashboard!$Q$4,OR(J2216&lt;&gt;"Yes",Dashboard!$Q$15="Yes")),P2216,""),"")</f>
        <v/>
      </c>
    </row>
    <row r="2217">
      <c r="A2217" s="47" t="n"/>
      <c r="B2217" s="48" t="n"/>
      <c r="C2217" s="48" t="n"/>
      <c r="D2217" s="48" t="n"/>
      <c r="E2217" s="48" t="n"/>
      <c r="F2217" s="48" t="n"/>
      <c r="G2217" s="48" t="n"/>
      <c r="H2217" s="48" t="n"/>
      <c r="I2217" s="49" t="n"/>
      <c r="J2217" s="50" t="n"/>
      <c r="K2217" s="48" t="n"/>
      <c r="L2217" s="51">
        <f>IF(A2217="","",DATE(YEAR(A2217),MONTH(A2217),1))</f>
        <v/>
      </c>
      <c r="M2217" s="52">
        <f>IF(OR(A2217="",NOT(ISNUMBER(I2217))),"",IF(G2217=Lists!$B$5,I2217/2,IF(G2217=Lists!$B$6,I2217,0)))</f>
        <v/>
      </c>
      <c r="N2217" s="52">
        <f>IF(OR(A2217="",NOT(ISNUMBER(I2217))),"",IF(G2217=Lists!$B$5,I2217/2,IF(G2217=Lists!$B$7,I2217,0)))</f>
        <v/>
      </c>
      <c r="O2217" s="53">
        <f>IF(COUNTA(A2217:K2217)=0,"",IF(OR(A2217="",B2217="",C2217="",D2217="",E2217="",F2217="",G2217="",NOT(ISNUMBER(I2217))),"Incomplete",IF(COUNTIF(Lists!$H$4:$AA$4,C2217)=0,"Check category",IF(COUNTIF(INDEX(Lists!$H$6:$AA$45,0,MATCH(C2217,Lists!$H$4:$AA$4,0)),D2217)=0,"Check sub-category","OK"))))</f>
        <v/>
      </c>
      <c r="P2217">
        <f>IF(ISNUMBER(I2217),I2217+ROW()/10000000,"")</f>
        <v/>
      </c>
      <c r="Q2217">
        <f>IF(AND(ISNUMBER(P2217),ISNUMBER(A2217)),IF(AND(A2217&gt;=Dashboard!$Q$3,A2217&lt;=Dashboard!$Q$4,OR(J2217&lt;&gt;"Yes",Dashboard!$Q$15="Yes")),P2217,""),"")</f>
        <v/>
      </c>
    </row>
    <row r="2218">
      <c r="A2218" s="47" t="n"/>
      <c r="B2218" s="48" t="n"/>
      <c r="C2218" s="48" t="n"/>
      <c r="D2218" s="48" t="n"/>
      <c r="E2218" s="48" t="n"/>
      <c r="F2218" s="48" t="n"/>
      <c r="G2218" s="48" t="n"/>
      <c r="H2218" s="48" t="n"/>
      <c r="I2218" s="49" t="n"/>
      <c r="J2218" s="50" t="n"/>
      <c r="K2218" s="48" t="n"/>
      <c r="L2218" s="51">
        <f>IF(A2218="","",DATE(YEAR(A2218),MONTH(A2218),1))</f>
        <v/>
      </c>
      <c r="M2218" s="52">
        <f>IF(OR(A2218="",NOT(ISNUMBER(I2218))),"",IF(G2218=Lists!$B$5,I2218/2,IF(G2218=Lists!$B$6,I2218,0)))</f>
        <v/>
      </c>
      <c r="N2218" s="52">
        <f>IF(OR(A2218="",NOT(ISNUMBER(I2218))),"",IF(G2218=Lists!$B$5,I2218/2,IF(G2218=Lists!$B$7,I2218,0)))</f>
        <v/>
      </c>
      <c r="O2218" s="53">
        <f>IF(COUNTA(A2218:K2218)=0,"",IF(OR(A2218="",B2218="",C2218="",D2218="",E2218="",F2218="",G2218="",NOT(ISNUMBER(I2218))),"Incomplete",IF(COUNTIF(Lists!$H$4:$AA$4,C2218)=0,"Check category",IF(COUNTIF(INDEX(Lists!$H$6:$AA$45,0,MATCH(C2218,Lists!$H$4:$AA$4,0)),D2218)=0,"Check sub-category","OK"))))</f>
        <v/>
      </c>
      <c r="P2218">
        <f>IF(ISNUMBER(I2218),I2218+ROW()/10000000,"")</f>
        <v/>
      </c>
      <c r="Q2218">
        <f>IF(AND(ISNUMBER(P2218),ISNUMBER(A2218)),IF(AND(A2218&gt;=Dashboard!$Q$3,A2218&lt;=Dashboard!$Q$4,OR(J2218&lt;&gt;"Yes",Dashboard!$Q$15="Yes")),P2218,""),"")</f>
        <v/>
      </c>
    </row>
    <row r="2219">
      <c r="A2219" s="47" t="n"/>
      <c r="B2219" s="48" t="n"/>
      <c r="C2219" s="48" t="n"/>
      <c r="D2219" s="48" t="n"/>
      <c r="E2219" s="48" t="n"/>
      <c r="F2219" s="48" t="n"/>
      <c r="G2219" s="48" t="n"/>
      <c r="H2219" s="48" t="n"/>
      <c r="I2219" s="49" t="n"/>
      <c r="J2219" s="50" t="n"/>
      <c r="K2219" s="48" t="n"/>
      <c r="L2219" s="51">
        <f>IF(A2219="","",DATE(YEAR(A2219),MONTH(A2219),1))</f>
        <v/>
      </c>
      <c r="M2219" s="52">
        <f>IF(OR(A2219="",NOT(ISNUMBER(I2219))),"",IF(G2219=Lists!$B$5,I2219/2,IF(G2219=Lists!$B$6,I2219,0)))</f>
        <v/>
      </c>
      <c r="N2219" s="52">
        <f>IF(OR(A2219="",NOT(ISNUMBER(I2219))),"",IF(G2219=Lists!$B$5,I2219/2,IF(G2219=Lists!$B$7,I2219,0)))</f>
        <v/>
      </c>
      <c r="O2219" s="53">
        <f>IF(COUNTA(A2219:K2219)=0,"",IF(OR(A2219="",B2219="",C2219="",D2219="",E2219="",F2219="",G2219="",NOT(ISNUMBER(I2219))),"Incomplete",IF(COUNTIF(Lists!$H$4:$AA$4,C2219)=0,"Check category",IF(COUNTIF(INDEX(Lists!$H$6:$AA$45,0,MATCH(C2219,Lists!$H$4:$AA$4,0)),D2219)=0,"Check sub-category","OK"))))</f>
        <v/>
      </c>
      <c r="P2219">
        <f>IF(ISNUMBER(I2219),I2219+ROW()/10000000,"")</f>
        <v/>
      </c>
      <c r="Q2219">
        <f>IF(AND(ISNUMBER(P2219),ISNUMBER(A2219)),IF(AND(A2219&gt;=Dashboard!$Q$3,A2219&lt;=Dashboard!$Q$4,OR(J2219&lt;&gt;"Yes",Dashboard!$Q$15="Yes")),P2219,""),"")</f>
        <v/>
      </c>
    </row>
    <row r="2220">
      <c r="A2220" s="47" t="n"/>
      <c r="B2220" s="48" t="n"/>
      <c r="C2220" s="48" t="n"/>
      <c r="D2220" s="48" t="n"/>
      <c r="E2220" s="48" t="n"/>
      <c r="F2220" s="48" t="n"/>
      <c r="G2220" s="48" t="n"/>
      <c r="H2220" s="48" t="n"/>
      <c r="I2220" s="49" t="n"/>
      <c r="J2220" s="50" t="n"/>
      <c r="K2220" s="48" t="n"/>
      <c r="L2220" s="51">
        <f>IF(A2220="","",DATE(YEAR(A2220),MONTH(A2220),1))</f>
        <v/>
      </c>
      <c r="M2220" s="52">
        <f>IF(OR(A2220="",NOT(ISNUMBER(I2220))),"",IF(G2220=Lists!$B$5,I2220/2,IF(G2220=Lists!$B$6,I2220,0)))</f>
        <v/>
      </c>
      <c r="N2220" s="52">
        <f>IF(OR(A2220="",NOT(ISNUMBER(I2220))),"",IF(G2220=Lists!$B$5,I2220/2,IF(G2220=Lists!$B$7,I2220,0)))</f>
        <v/>
      </c>
      <c r="O2220" s="53">
        <f>IF(COUNTA(A2220:K2220)=0,"",IF(OR(A2220="",B2220="",C2220="",D2220="",E2220="",F2220="",G2220="",NOT(ISNUMBER(I2220))),"Incomplete",IF(COUNTIF(Lists!$H$4:$AA$4,C2220)=0,"Check category",IF(COUNTIF(INDEX(Lists!$H$6:$AA$45,0,MATCH(C2220,Lists!$H$4:$AA$4,0)),D2220)=0,"Check sub-category","OK"))))</f>
        <v/>
      </c>
      <c r="P2220">
        <f>IF(ISNUMBER(I2220),I2220+ROW()/10000000,"")</f>
        <v/>
      </c>
      <c r="Q2220">
        <f>IF(AND(ISNUMBER(P2220),ISNUMBER(A2220)),IF(AND(A2220&gt;=Dashboard!$Q$3,A2220&lt;=Dashboard!$Q$4,OR(J2220&lt;&gt;"Yes",Dashboard!$Q$15="Yes")),P2220,""),"")</f>
        <v/>
      </c>
    </row>
    <row r="2221">
      <c r="A2221" s="47" t="n"/>
      <c r="B2221" s="48" t="n"/>
      <c r="C2221" s="48" t="n"/>
      <c r="D2221" s="48" t="n"/>
      <c r="E2221" s="48" t="n"/>
      <c r="F2221" s="48" t="n"/>
      <c r="G2221" s="48" t="n"/>
      <c r="H2221" s="48" t="n"/>
      <c r="I2221" s="49" t="n"/>
      <c r="J2221" s="50" t="n"/>
      <c r="K2221" s="48" t="n"/>
      <c r="L2221" s="51">
        <f>IF(A2221="","",DATE(YEAR(A2221),MONTH(A2221),1))</f>
        <v/>
      </c>
      <c r="M2221" s="52">
        <f>IF(OR(A2221="",NOT(ISNUMBER(I2221))),"",IF(G2221=Lists!$B$5,I2221/2,IF(G2221=Lists!$B$6,I2221,0)))</f>
        <v/>
      </c>
      <c r="N2221" s="52">
        <f>IF(OR(A2221="",NOT(ISNUMBER(I2221))),"",IF(G2221=Lists!$B$5,I2221/2,IF(G2221=Lists!$B$7,I2221,0)))</f>
        <v/>
      </c>
      <c r="O2221" s="53">
        <f>IF(COUNTA(A2221:K2221)=0,"",IF(OR(A2221="",B2221="",C2221="",D2221="",E2221="",F2221="",G2221="",NOT(ISNUMBER(I2221))),"Incomplete",IF(COUNTIF(Lists!$H$4:$AA$4,C2221)=0,"Check category",IF(COUNTIF(INDEX(Lists!$H$6:$AA$45,0,MATCH(C2221,Lists!$H$4:$AA$4,0)),D2221)=0,"Check sub-category","OK"))))</f>
        <v/>
      </c>
      <c r="P2221">
        <f>IF(ISNUMBER(I2221),I2221+ROW()/10000000,"")</f>
        <v/>
      </c>
      <c r="Q2221">
        <f>IF(AND(ISNUMBER(P2221),ISNUMBER(A2221)),IF(AND(A2221&gt;=Dashboard!$Q$3,A2221&lt;=Dashboard!$Q$4,OR(J2221&lt;&gt;"Yes",Dashboard!$Q$15="Yes")),P2221,""),"")</f>
        <v/>
      </c>
    </row>
    <row r="2222">
      <c r="A2222" s="47" t="n"/>
      <c r="B2222" s="48" t="n"/>
      <c r="C2222" s="48" t="n"/>
      <c r="D2222" s="48" t="n"/>
      <c r="E2222" s="48" t="n"/>
      <c r="F2222" s="48" t="n"/>
      <c r="G2222" s="48" t="n"/>
      <c r="H2222" s="48" t="n"/>
      <c r="I2222" s="49" t="n"/>
      <c r="J2222" s="50" t="n"/>
      <c r="K2222" s="48" t="n"/>
      <c r="L2222" s="51">
        <f>IF(A2222="","",DATE(YEAR(A2222),MONTH(A2222),1))</f>
        <v/>
      </c>
      <c r="M2222" s="52">
        <f>IF(OR(A2222="",NOT(ISNUMBER(I2222))),"",IF(G2222=Lists!$B$5,I2222/2,IF(G2222=Lists!$B$6,I2222,0)))</f>
        <v/>
      </c>
      <c r="N2222" s="52">
        <f>IF(OR(A2222="",NOT(ISNUMBER(I2222))),"",IF(G2222=Lists!$B$5,I2222/2,IF(G2222=Lists!$B$7,I2222,0)))</f>
        <v/>
      </c>
      <c r="O2222" s="53">
        <f>IF(COUNTA(A2222:K2222)=0,"",IF(OR(A2222="",B2222="",C2222="",D2222="",E2222="",F2222="",G2222="",NOT(ISNUMBER(I2222))),"Incomplete",IF(COUNTIF(Lists!$H$4:$AA$4,C2222)=0,"Check category",IF(COUNTIF(INDEX(Lists!$H$6:$AA$45,0,MATCH(C2222,Lists!$H$4:$AA$4,0)),D2222)=0,"Check sub-category","OK"))))</f>
        <v/>
      </c>
      <c r="P2222">
        <f>IF(ISNUMBER(I2222),I2222+ROW()/10000000,"")</f>
        <v/>
      </c>
      <c r="Q2222">
        <f>IF(AND(ISNUMBER(P2222),ISNUMBER(A2222)),IF(AND(A2222&gt;=Dashboard!$Q$3,A2222&lt;=Dashboard!$Q$4,OR(J2222&lt;&gt;"Yes",Dashboard!$Q$15="Yes")),P2222,""),"")</f>
        <v/>
      </c>
    </row>
    <row r="2223">
      <c r="A2223" s="47" t="n"/>
      <c r="B2223" s="48" t="n"/>
      <c r="C2223" s="48" t="n"/>
      <c r="D2223" s="48" t="n"/>
      <c r="E2223" s="48" t="n"/>
      <c r="F2223" s="48" t="n"/>
      <c r="G2223" s="48" t="n"/>
      <c r="H2223" s="48" t="n"/>
      <c r="I2223" s="49" t="n"/>
      <c r="J2223" s="50" t="n"/>
      <c r="K2223" s="48" t="n"/>
      <c r="L2223" s="51">
        <f>IF(A2223="","",DATE(YEAR(A2223),MONTH(A2223),1))</f>
        <v/>
      </c>
      <c r="M2223" s="52">
        <f>IF(OR(A2223="",NOT(ISNUMBER(I2223))),"",IF(G2223=Lists!$B$5,I2223/2,IF(G2223=Lists!$B$6,I2223,0)))</f>
        <v/>
      </c>
      <c r="N2223" s="52">
        <f>IF(OR(A2223="",NOT(ISNUMBER(I2223))),"",IF(G2223=Lists!$B$5,I2223/2,IF(G2223=Lists!$B$7,I2223,0)))</f>
        <v/>
      </c>
      <c r="O2223" s="53">
        <f>IF(COUNTA(A2223:K2223)=0,"",IF(OR(A2223="",B2223="",C2223="",D2223="",E2223="",F2223="",G2223="",NOT(ISNUMBER(I2223))),"Incomplete",IF(COUNTIF(Lists!$H$4:$AA$4,C2223)=0,"Check category",IF(COUNTIF(INDEX(Lists!$H$6:$AA$45,0,MATCH(C2223,Lists!$H$4:$AA$4,0)),D2223)=0,"Check sub-category","OK"))))</f>
        <v/>
      </c>
      <c r="P2223">
        <f>IF(ISNUMBER(I2223),I2223+ROW()/10000000,"")</f>
        <v/>
      </c>
      <c r="Q2223">
        <f>IF(AND(ISNUMBER(P2223),ISNUMBER(A2223)),IF(AND(A2223&gt;=Dashboard!$Q$3,A2223&lt;=Dashboard!$Q$4,OR(J2223&lt;&gt;"Yes",Dashboard!$Q$15="Yes")),P2223,""),"")</f>
        <v/>
      </c>
    </row>
    <row r="2224">
      <c r="A2224" s="47" t="n"/>
      <c r="B2224" s="48" t="n"/>
      <c r="C2224" s="48" t="n"/>
      <c r="D2224" s="48" t="n"/>
      <c r="E2224" s="48" t="n"/>
      <c r="F2224" s="48" t="n"/>
      <c r="G2224" s="48" t="n"/>
      <c r="H2224" s="48" t="n"/>
      <c r="I2224" s="49" t="n"/>
      <c r="J2224" s="50" t="n"/>
      <c r="K2224" s="48" t="n"/>
      <c r="L2224" s="51">
        <f>IF(A2224="","",DATE(YEAR(A2224),MONTH(A2224),1))</f>
        <v/>
      </c>
      <c r="M2224" s="52">
        <f>IF(OR(A2224="",NOT(ISNUMBER(I2224))),"",IF(G2224=Lists!$B$5,I2224/2,IF(G2224=Lists!$B$6,I2224,0)))</f>
        <v/>
      </c>
      <c r="N2224" s="52">
        <f>IF(OR(A2224="",NOT(ISNUMBER(I2224))),"",IF(G2224=Lists!$B$5,I2224/2,IF(G2224=Lists!$B$7,I2224,0)))</f>
        <v/>
      </c>
      <c r="O2224" s="53">
        <f>IF(COUNTA(A2224:K2224)=0,"",IF(OR(A2224="",B2224="",C2224="",D2224="",E2224="",F2224="",G2224="",NOT(ISNUMBER(I2224))),"Incomplete",IF(COUNTIF(Lists!$H$4:$AA$4,C2224)=0,"Check category",IF(COUNTIF(INDEX(Lists!$H$6:$AA$45,0,MATCH(C2224,Lists!$H$4:$AA$4,0)),D2224)=0,"Check sub-category","OK"))))</f>
        <v/>
      </c>
      <c r="P2224">
        <f>IF(ISNUMBER(I2224),I2224+ROW()/10000000,"")</f>
        <v/>
      </c>
      <c r="Q2224">
        <f>IF(AND(ISNUMBER(P2224),ISNUMBER(A2224)),IF(AND(A2224&gt;=Dashboard!$Q$3,A2224&lt;=Dashboard!$Q$4,OR(J2224&lt;&gt;"Yes",Dashboard!$Q$15="Yes")),P2224,""),"")</f>
        <v/>
      </c>
    </row>
    <row r="2225">
      <c r="A2225" s="47" t="n"/>
      <c r="B2225" s="48" t="n"/>
      <c r="C2225" s="48" t="n"/>
      <c r="D2225" s="48" t="n"/>
      <c r="E2225" s="48" t="n"/>
      <c r="F2225" s="48" t="n"/>
      <c r="G2225" s="48" t="n"/>
      <c r="H2225" s="48" t="n"/>
      <c r="I2225" s="49" t="n"/>
      <c r="J2225" s="50" t="n"/>
      <c r="K2225" s="48" t="n"/>
      <c r="L2225" s="51">
        <f>IF(A2225="","",DATE(YEAR(A2225),MONTH(A2225),1))</f>
        <v/>
      </c>
      <c r="M2225" s="52">
        <f>IF(OR(A2225="",NOT(ISNUMBER(I2225))),"",IF(G2225=Lists!$B$5,I2225/2,IF(G2225=Lists!$B$6,I2225,0)))</f>
        <v/>
      </c>
      <c r="N2225" s="52">
        <f>IF(OR(A2225="",NOT(ISNUMBER(I2225))),"",IF(G2225=Lists!$B$5,I2225/2,IF(G2225=Lists!$B$7,I2225,0)))</f>
        <v/>
      </c>
      <c r="O2225" s="53">
        <f>IF(COUNTA(A2225:K2225)=0,"",IF(OR(A2225="",B2225="",C2225="",D2225="",E2225="",F2225="",G2225="",NOT(ISNUMBER(I2225))),"Incomplete",IF(COUNTIF(Lists!$H$4:$AA$4,C2225)=0,"Check category",IF(COUNTIF(INDEX(Lists!$H$6:$AA$45,0,MATCH(C2225,Lists!$H$4:$AA$4,0)),D2225)=0,"Check sub-category","OK"))))</f>
        <v/>
      </c>
      <c r="P2225">
        <f>IF(ISNUMBER(I2225),I2225+ROW()/10000000,"")</f>
        <v/>
      </c>
      <c r="Q2225">
        <f>IF(AND(ISNUMBER(P2225),ISNUMBER(A2225)),IF(AND(A2225&gt;=Dashboard!$Q$3,A2225&lt;=Dashboard!$Q$4,OR(J2225&lt;&gt;"Yes",Dashboard!$Q$15="Yes")),P2225,""),"")</f>
        <v/>
      </c>
    </row>
    <row r="2226">
      <c r="A2226" s="47" t="n"/>
      <c r="B2226" s="48" t="n"/>
      <c r="C2226" s="48" t="n"/>
      <c r="D2226" s="48" t="n"/>
      <c r="E2226" s="48" t="n"/>
      <c r="F2226" s="48" t="n"/>
      <c r="G2226" s="48" t="n"/>
      <c r="H2226" s="48" t="n"/>
      <c r="I2226" s="49" t="n"/>
      <c r="J2226" s="50" t="n"/>
      <c r="K2226" s="48" t="n"/>
      <c r="L2226" s="51">
        <f>IF(A2226="","",DATE(YEAR(A2226),MONTH(A2226),1))</f>
        <v/>
      </c>
      <c r="M2226" s="52">
        <f>IF(OR(A2226="",NOT(ISNUMBER(I2226))),"",IF(G2226=Lists!$B$5,I2226/2,IF(G2226=Lists!$B$6,I2226,0)))</f>
        <v/>
      </c>
      <c r="N2226" s="52">
        <f>IF(OR(A2226="",NOT(ISNUMBER(I2226))),"",IF(G2226=Lists!$B$5,I2226/2,IF(G2226=Lists!$B$7,I2226,0)))</f>
        <v/>
      </c>
      <c r="O2226" s="53">
        <f>IF(COUNTA(A2226:K2226)=0,"",IF(OR(A2226="",B2226="",C2226="",D2226="",E2226="",F2226="",G2226="",NOT(ISNUMBER(I2226))),"Incomplete",IF(COUNTIF(Lists!$H$4:$AA$4,C2226)=0,"Check category",IF(COUNTIF(INDEX(Lists!$H$6:$AA$45,0,MATCH(C2226,Lists!$H$4:$AA$4,0)),D2226)=0,"Check sub-category","OK"))))</f>
        <v/>
      </c>
      <c r="P2226">
        <f>IF(ISNUMBER(I2226),I2226+ROW()/10000000,"")</f>
        <v/>
      </c>
      <c r="Q2226">
        <f>IF(AND(ISNUMBER(P2226),ISNUMBER(A2226)),IF(AND(A2226&gt;=Dashboard!$Q$3,A2226&lt;=Dashboard!$Q$4,OR(J2226&lt;&gt;"Yes",Dashboard!$Q$15="Yes")),P2226,""),"")</f>
        <v/>
      </c>
    </row>
    <row r="2227">
      <c r="A2227" s="47" t="n"/>
      <c r="B2227" s="48" t="n"/>
      <c r="C2227" s="48" t="n"/>
      <c r="D2227" s="48" t="n"/>
      <c r="E2227" s="48" t="n"/>
      <c r="F2227" s="48" t="n"/>
      <c r="G2227" s="48" t="n"/>
      <c r="H2227" s="48" t="n"/>
      <c r="I2227" s="49" t="n"/>
      <c r="J2227" s="50" t="n"/>
      <c r="K2227" s="48" t="n"/>
      <c r="L2227" s="51">
        <f>IF(A2227="","",DATE(YEAR(A2227),MONTH(A2227),1))</f>
        <v/>
      </c>
      <c r="M2227" s="52">
        <f>IF(OR(A2227="",NOT(ISNUMBER(I2227))),"",IF(G2227=Lists!$B$5,I2227/2,IF(G2227=Lists!$B$6,I2227,0)))</f>
        <v/>
      </c>
      <c r="N2227" s="52">
        <f>IF(OR(A2227="",NOT(ISNUMBER(I2227))),"",IF(G2227=Lists!$B$5,I2227/2,IF(G2227=Lists!$B$7,I2227,0)))</f>
        <v/>
      </c>
      <c r="O2227" s="53">
        <f>IF(COUNTA(A2227:K2227)=0,"",IF(OR(A2227="",B2227="",C2227="",D2227="",E2227="",F2227="",G2227="",NOT(ISNUMBER(I2227))),"Incomplete",IF(COUNTIF(Lists!$H$4:$AA$4,C2227)=0,"Check category",IF(COUNTIF(INDEX(Lists!$H$6:$AA$45,0,MATCH(C2227,Lists!$H$4:$AA$4,0)),D2227)=0,"Check sub-category","OK"))))</f>
        <v/>
      </c>
      <c r="P2227">
        <f>IF(ISNUMBER(I2227),I2227+ROW()/10000000,"")</f>
        <v/>
      </c>
      <c r="Q2227">
        <f>IF(AND(ISNUMBER(P2227),ISNUMBER(A2227)),IF(AND(A2227&gt;=Dashboard!$Q$3,A2227&lt;=Dashboard!$Q$4,OR(J2227&lt;&gt;"Yes",Dashboard!$Q$15="Yes")),P2227,""),"")</f>
        <v/>
      </c>
    </row>
    <row r="2228">
      <c r="A2228" s="47" t="n"/>
      <c r="B2228" s="48" t="n"/>
      <c r="C2228" s="48" t="n"/>
      <c r="D2228" s="48" t="n"/>
      <c r="E2228" s="48" t="n"/>
      <c r="F2228" s="48" t="n"/>
      <c r="G2228" s="48" t="n"/>
      <c r="H2228" s="48" t="n"/>
      <c r="I2228" s="49" t="n"/>
      <c r="J2228" s="50" t="n"/>
      <c r="K2228" s="48" t="n"/>
      <c r="L2228" s="51">
        <f>IF(A2228="","",DATE(YEAR(A2228),MONTH(A2228),1))</f>
        <v/>
      </c>
      <c r="M2228" s="52">
        <f>IF(OR(A2228="",NOT(ISNUMBER(I2228))),"",IF(G2228=Lists!$B$5,I2228/2,IF(G2228=Lists!$B$6,I2228,0)))</f>
        <v/>
      </c>
      <c r="N2228" s="52">
        <f>IF(OR(A2228="",NOT(ISNUMBER(I2228))),"",IF(G2228=Lists!$B$5,I2228/2,IF(G2228=Lists!$B$7,I2228,0)))</f>
        <v/>
      </c>
      <c r="O2228" s="53">
        <f>IF(COUNTA(A2228:K2228)=0,"",IF(OR(A2228="",B2228="",C2228="",D2228="",E2228="",F2228="",G2228="",NOT(ISNUMBER(I2228))),"Incomplete",IF(COUNTIF(Lists!$H$4:$AA$4,C2228)=0,"Check category",IF(COUNTIF(INDEX(Lists!$H$6:$AA$45,0,MATCH(C2228,Lists!$H$4:$AA$4,0)),D2228)=0,"Check sub-category","OK"))))</f>
        <v/>
      </c>
      <c r="P2228">
        <f>IF(ISNUMBER(I2228),I2228+ROW()/10000000,"")</f>
        <v/>
      </c>
      <c r="Q2228">
        <f>IF(AND(ISNUMBER(P2228),ISNUMBER(A2228)),IF(AND(A2228&gt;=Dashboard!$Q$3,A2228&lt;=Dashboard!$Q$4,OR(J2228&lt;&gt;"Yes",Dashboard!$Q$15="Yes")),P2228,""),"")</f>
        <v/>
      </c>
    </row>
    <row r="2229">
      <c r="A2229" s="47" t="n"/>
      <c r="B2229" s="48" t="n"/>
      <c r="C2229" s="48" t="n"/>
      <c r="D2229" s="48" t="n"/>
      <c r="E2229" s="48" t="n"/>
      <c r="F2229" s="48" t="n"/>
      <c r="G2229" s="48" t="n"/>
      <c r="H2229" s="48" t="n"/>
      <c r="I2229" s="49" t="n"/>
      <c r="J2229" s="50" t="n"/>
      <c r="K2229" s="48" t="n"/>
      <c r="L2229" s="51">
        <f>IF(A2229="","",DATE(YEAR(A2229),MONTH(A2229),1))</f>
        <v/>
      </c>
      <c r="M2229" s="52">
        <f>IF(OR(A2229="",NOT(ISNUMBER(I2229))),"",IF(G2229=Lists!$B$5,I2229/2,IF(G2229=Lists!$B$6,I2229,0)))</f>
        <v/>
      </c>
      <c r="N2229" s="52">
        <f>IF(OR(A2229="",NOT(ISNUMBER(I2229))),"",IF(G2229=Lists!$B$5,I2229/2,IF(G2229=Lists!$B$7,I2229,0)))</f>
        <v/>
      </c>
      <c r="O2229" s="53">
        <f>IF(COUNTA(A2229:K2229)=0,"",IF(OR(A2229="",B2229="",C2229="",D2229="",E2229="",F2229="",G2229="",NOT(ISNUMBER(I2229))),"Incomplete",IF(COUNTIF(Lists!$H$4:$AA$4,C2229)=0,"Check category",IF(COUNTIF(INDEX(Lists!$H$6:$AA$45,0,MATCH(C2229,Lists!$H$4:$AA$4,0)),D2229)=0,"Check sub-category","OK"))))</f>
        <v/>
      </c>
      <c r="P2229">
        <f>IF(ISNUMBER(I2229),I2229+ROW()/10000000,"")</f>
        <v/>
      </c>
      <c r="Q2229">
        <f>IF(AND(ISNUMBER(P2229),ISNUMBER(A2229)),IF(AND(A2229&gt;=Dashboard!$Q$3,A2229&lt;=Dashboard!$Q$4,OR(J2229&lt;&gt;"Yes",Dashboard!$Q$15="Yes")),P2229,""),"")</f>
        <v/>
      </c>
    </row>
    <row r="2230">
      <c r="A2230" s="47" t="n"/>
      <c r="B2230" s="48" t="n"/>
      <c r="C2230" s="48" t="n"/>
      <c r="D2230" s="48" t="n"/>
      <c r="E2230" s="48" t="n"/>
      <c r="F2230" s="48" t="n"/>
      <c r="G2230" s="48" t="n"/>
      <c r="H2230" s="48" t="n"/>
      <c r="I2230" s="49" t="n"/>
      <c r="J2230" s="50" t="n"/>
      <c r="K2230" s="48" t="n"/>
      <c r="L2230" s="51">
        <f>IF(A2230="","",DATE(YEAR(A2230),MONTH(A2230),1))</f>
        <v/>
      </c>
      <c r="M2230" s="52">
        <f>IF(OR(A2230="",NOT(ISNUMBER(I2230))),"",IF(G2230=Lists!$B$5,I2230/2,IF(G2230=Lists!$B$6,I2230,0)))</f>
        <v/>
      </c>
      <c r="N2230" s="52">
        <f>IF(OR(A2230="",NOT(ISNUMBER(I2230))),"",IF(G2230=Lists!$B$5,I2230/2,IF(G2230=Lists!$B$7,I2230,0)))</f>
        <v/>
      </c>
      <c r="O2230" s="53">
        <f>IF(COUNTA(A2230:K2230)=0,"",IF(OR(A2230="",B2230="",C2230="",D2230="",E2230="",F2230="",G2230="",NOT(ISNUMBER(I2230))),"Incomplete",IF(COUNTIF(Lists!$H$4:$AA$4,C2230)=0,"Check category",IF(COUNTIF(INDEX(Lists!$H$6:$AA$45,0,MATCH(C2230,Lists!$H$4:$AA$4,0)),D2230)=0,"Check sub-category","OK"))))</f>
        <v/>
      </c>
      <c r="P2230">
        <f>IF(ISNUMBER(I2230),I2230+ROW()/10000000,"")</f>
        <v/>
      </c>
      <c r="Q2230">
        <f>IF(AND(ISNUMBER(P2230),ISNUMBER(A2230)),IF(AND(A2230&gt;=Dashboard!$Q$3,A2230&lt;=Dashboard!$Q$4,OR(J2230&lt;&gt;"Yes",Dashboard!$Q$15="Yes")),P2230,""),"")</f>
        <v/>
      </c>
    </row>
    <row r="2231">
      <c r="A2231" s="47" t="n"/>
      <c r="B2231" s="48" t="n"/>
      <c r="C2231" s="48" t="n"/>
      <c r="D2231" s="48" t="n"/>
      <c r="E2231" s="48" t="n"/>
      <c r="F2231" s="48" t="n"/>
      <c r="G2231" s="48" t="n"/>
      <c r="H2231" s="48" t="n"/>
      <c r="I2231" s="49" t="n"/>
      <c r="J2231" s="50" t="n"/>
      <c r="K2231" s="48" t="n"/>
      <c r="L2231" s="51">
        <f>IF(A2231="","",DATE(YEAR(A2231),MONTH(A2231),1))</f>
        <v/>
      </c>
      <c r="M2231" s="52">
        <f>IF(OR(A2231="",NOT(ISNUMBER(I2231))),"",IF(G2231=Lists!$B$5,I2231/2,IF(G2231=Lists!$B$6,I2231,0)))</f>
        <v/>
      </c>
      <c r="N2231" s="52">
        <f>IF(OR(A2231="",NOT(ISNUMBER(I2231))),"",IF(G2231=Lists!$B$5,I2231/2,IF(G2231=Lists!$B$7,I2231,0)))</f>
        <v/>
      </c>
      <c r="O2231" s="53">
        <f>IF(COUNTA(A2231:K2231)=0,"",IF(OR(A2231="",B2231="",C2231="",D2231="",E2231="",F2231="",G2231="",NOT(ISNUMBER(I2231))),"Incomplete",IF(COUNTIF(Lists!$H$4:$AA$4,C2231)=0,"Check category",IF(COUNTIF(INDEX(Lists!$H$6:$AA$45,0,MATCH(C2231,Lists!$H$4:$AA$4,0)),D2231)=0,"Check sub-category","OK"))))</f>
        <v/>
      </c>
      <c r="P2231">
        <f>IF(ISNUMBER(I2231),I2231+ROW()/10000000,"")</f>
        <v/>
      </c>
      <c r="Q2231">
        <f>IF(AND(ISNUMBER(P2231),ISNUMBER(A2231)),IF(AND(A2231&gt;=Dashboard!$Q$3,A2231&lt;=Dashboard!$Q$4,OR(J2231&lt;&gt;"Yes",Dashboard!$Q$15="Yes")),P2231,""),"")</f>
        <v/>
      </c>
    </row>
    <row r="2232">
      <c r="A2232" s="47" t="n"/>
      <c r="B2232" s="48" t="n"/>
      <c r="C2232" s="48" t="n"/>
      <c r="D2232" s="48" t="n"/>
      <c r="E2232" s="48" t="n"/>
      <c r="F2232" s="48" t="n"/>
      <c r="G2232" s="48" t="n"/>
      <c r="H2232" s="48" t="n"/>
      <c r="I2232" s="49" t="n"/>
      <c r="J2232" s="50" t="n"/>
      <c r="K2232" s="48" t="n"/>
      <c r="L2232" s="51">
        <f>IF(A2232="","",DATE(YEAR(A2232),MONTH(A2232),1))</f>
        <v/>
      </c>
      <c r="M2232" s="52">
        <f>IF(OR(A2232="",NOT(ISNUMBER(I2232))),"",IF(G2232=Lists!$B$5,I2232/2,IF(G2232=Lists!$B$6,I2232,0)))</f>
        <v/>
      </c>
      <c r="N2232" s="52">
        <f>IF(OR(A2232="",NOT(ISNUMBER(I2232))),"",IF(G2232=Lists!$B$5,I2232/2,IF(G2232=Lists!$B$7,I2232,0)))</f>
        <v/>
      </c>
      <c r="O2232" s="53">
        <f>IF(COUNTA(A2232:K2232)=0,"",IF(OR(A2232="",B2232="",C2232="",D2232="",E2232="",F2232="",G2232="",NOT(ISNUMBER(I2232))),"Incomplete",IF(COUNTIF(Lists!$H$4:$AA$4,C2232)=0,"Check category",IF(COUNTIF(INDEX(Lists!$H$6:$AA$45,0,MATCH(C2232,Lists!$H$4:$AA$4,0)),D2232)=0,"Check sub-category","OK"))))</f>
        <v/>
      </c>
      <c r="P2232">
        <f>IF(ISNUMBER(I2232),I2232+ROW()/10000000,"")</f>
        <v/>
      </c>
      <c r="Q2232">
        <f>IF(AND(ISNUMBER(P2232),ISNUMBER(A2232)),IF(AND(A2232&gt;=Dashboard!$Q$3,A2232&lt;=Dashboard!$Q$4,OR(J2232&lt;&gt;"Yes",Dashboard!$Q$15="Yes")),P2232,""),"")</f>
        <v/>
      </c>
    </row>
    <row r="2233">
      <c r="A2233" s="47" t="n"/>
      <c r="B2233" s="48" t="n"/>
      <c r="C2233" s="48" t="n"/>
      <c r="D2233" s="48" t="n"/>
      <c r="E2233" s="48" t="n"/>
      <c r="F2233" s="48" t="n"/>
      <c r="G2233" s="48" t="n"/>
      <c r="H2233" s="48" t="n"/>
      <c r="I2233" s="49" t="n"/>
      <c r="J2233" s="50" t="n"/>
      <c r="K2233" s="48" t="n"/>
      <c r="L2233" s="51">
        <f>IF(A2233="","",DATE(YEAR(A2233),MONTH(A2233),1))</f>
        <v/>
      </c>
      <c r="M2233" s="52">
        <f>IF(OR(A2233="",NOT(ISNUMBER(I2233))),"",IF(G2233=Lists!$B$5,I2233/2,IF(G2233=Lists!$B$6,I2233,0)))</f>
        <v/>
      </c>
      <c r="N2233" s="52">
        <f>IF(OR(A2233="",NOT(ISNUMBER(I2233))),"",IF(G2233=Lists!$B$5,I2233/2,IF(G2233=Lists!$B$7,I2233,0)))</f>
        <v/>
      </c>
      <c r="O2233" s="53">
        <f>IF(COUNTA(A2233:K2233)=0,"",IF(OR(A2233="",B2233="",C2233="",D2233="",E2233="",F2233="",G2233="",NOT(ISNUMBER(I2233))),"Incomplete",IF(COUNTIF(Lists!$H$4:$AA$4,C2233)=0,"Check category",IF(COUNTIF(INDEX(Lists!$H$6:$AA$45,0,MATCH(C2233,Lists!$H$4:$AA$4,0)),D2233)=0,"Check sub-category","OK"))))</f>
        <v/>
      </c>
      <c r="P2233">
        <f>IF(ISNUMBER(I2233),I2233+ROW()/10000000,"")</f>
        <v/>
      </c>
      <c r="Q2233">
        <f>IF(AND(ISNUMBER(P2233),ISNUMBER(A2233)),IF(AND(A2233&gt;=Dashboard!$Q$3,A2233&lt;=Dashboard!$Q$4,OR(J2233&lt;&gt;"Yes",Dashboard!$Q$15="Yes")),P2233,""),"")</f>
        <v/>
      </c>
    </row>
    <row r="2234">
      <c r="A2234" s="47" t="n"/>
      <c r="B2234" s="48" t="n"/>
      <c r="C2234" s="48" t="n"/>
      <c r="D2234" s="48" t="n"/>
      <c r="E2234" s="48" t="n"/>
      <c r="F2234" s="48" t="n"/>
      <c r="G2234" s="48" t="n"/>
      <c r="H2234" s="48" t="n"/>
      <c r="I2234" s="49" t="n"/>
      <c r="J2234" s="50" t="n"/>
      <c r="K2234" s="48" t="n"/>
      <c r="L2234" s="51">
        <f>IF(A2234="","",DATE(YEAR(A2234),MONTH(A2234),1))</f>
        <v/>
      </c>
      <c r="M2234" s="52">
        <f>IF(OR(A2234="",NOT(ISNUMBER(I2234))),"",IF(G2234=Lists!$B$5,I2234/2,IF(G2234=Lists!$B$6,I2234,0)))</f>
        <v/>
      </c>
      <c r="N2234" s="52">
        <f>IF(OR(A2234="",NOT(ISNUMBER(I2234))),"",IF(G2234=Lists!$B$5,I2234/2,IF(G2234=Lists!$B$7,I2234,0)))</f>
        <v/>
      </c>
      <c r="O2234" s="53">
        <f>IF(COUNTA(A2234:K2234)=0,"",IF(OR(A2234="",B2234="",C2234="",D2234="",E2234="",F2234="",G2234="",NOT(ISNUMBER(I2234))),"Incomplete",IF(COUNTIF(Lists!$H$4:$AA$4,C2234)=0,"Check category",IF(COUNTIF(INDEX(Lists!$H$6:$AA$45,0,MATCH(C2234,Lists!$H$4:$AA$4,0)),D2234)=0,"Check sub-category","OK"))))</f>
        <v/>
      </c>
      <c r="P2234">
        <f>IF(ISNUMBER(I2234),I2234+ROW()/10000000,"")</f>
        <v/>
      </c>
      <c r="Q2234">
        <f>IF(AND(ISNUMBER(P2234),ISNUMBER(A2234)),IF(AND(A2234&gt;=Dashboard!$Q$3,A2234&lt;=Dashboard!$Q$4,OR(J2234&lt;&gt;"Yes",Dashboard!$Q$15="Yes")),P2234,""),"")</f>
        <v/>
      </c>
    </row>
    <row r="2235">
      <c r="A2235" s="47" t="n"/>
      <c r="B2235" s="48" t="n"/>
      <c r="C2235" s="48" t="n"/>
      <c r="D2235" s="48" t="n"/>
      <c r="E2235" s="48" t="n"/>
      <c r="F2235" s="48" t="n"/>
      <c r="G2235" s="48" t="n"/>
      <c r="H2235" s="48" t="n"/>
      <c r="I2235" s="49" t="n"/>
      <c r="J2235" s="50" t="n"/>
      <c r="K2235" s="48" t="n"/>
      <c r="L2235" s="51">
        <f>IF(A2235="","",DATE(YEAR(A2235),MONTH(A2235),1))</f>
        <v/>
      </c>
      <c r="M2235" s="52">
        <f>IF(OR(A2235="",NOT(ISNUMBER(I2235))),"",IF(G2235=Lists!$B$5,I2235/2,IF(G2235=Lists!$B$6,I2235,0)))</f>
        <v/>
      </c>
      <c r="N2235" s="52">
        <f>IF(OR(A2235="",NOT(ISNUMBER(I2235))),"",IF(G2235=Lists!$B$5,I2235/2,IF(G2235=Lists!$B$7,I2235,0)))</f>
        <v/>
      </c>
      <c r="O2235" s="53">
        <f>IF(COUNTA(A2235:K2235)=0,"",IF(OR(A2235="",B2235="",C2235="",D2235="",E2235="",F2235="",G2235="",NOT(ISNUMBER(I2235))),"Incomplete",IF(COUNTIF(Lists!$H$4:$AA$4,C2235)=0,"Check category",IF(COUNTIF(INDEX(Lists!$H$6:$AA$45,0,MATCH(C2235,Lists!$H$4:$AA$4,0)),D2235)=0,"Check sub-category","OK"))))</f>
        <v/>
      </c>
      <c r="P2235">
        <f>IF(ISNUMBER(I2235),I2235+ROW()/10000000,"")</f>
        <v/>
      </c>
      <c r="Q2235">
        <f>IF(AND(ISNUMBER(P2235),ISNUMBER(A2235)),IF(AND(A2235&gt;=Dashboard!$Q$3,A2235&lt;=Dashboard!$Q$4,OR(J2235&lt;&gt;"Yes",Dashboard!$Q$15="Yes")),P2235,""),"")</f>
        <v/>
      </c>
    </row>
    <row r="2236">
      <c r="A2236" s="47" t="n"/>
      <c r="B2236" s="48" t="n"/>
      <c r="C2236" s="48" t="n"/>
      <c r="D2236" s="48" t="n"/>
      <c r="E2236" s="48" t="n"/>
      <c r="F2236" s="48" t="n"/>
      <c r="G2236" s="48" t="n"/>
      <c r="H2236" s="48" t="n"/>
      <c r="I2236" s="49" t="n"/>
      <c r="J2236" s="50" t="n"/>
      <c r="K2236" s="48" t="n"/>
      <c r="L2236" s="51">
        <f>IF(A2236="","",DATE(YEAR(A2236),MONTH(A2236),1))</f>
        <v/>
      </c>
      <c r="M2236" s="52">
        <f>IF(OR(A2236="",NOT(ISNUMBER(I2236))),"",IF(G2236=Lists!$B$5,I2236/2,IF(G2236=Lists!$B$6,I2236,0)))</f>
        <v/>
      </c>
      <c r="N2236" s="52">
        <f>IF(OR(A2236="",NOT(ISNUMBER(I2236))),"",IF(G2236=Lists!$B$5,I2236/2,IF(G2236=Lists!$B$7,I2236,0)))</f>
        <v/>
      </c>
      <c r="O2236" s="53">
        <f>IF(COUNTA(A2236:K2236)=0,"",IF(OR(A2236="",B2236="",C2236="",D2236="",E2236="",F2236="",G2236="",NOT(ISNUMBER(I2236))),"Incomplete",IF(COUNTIF(Lists!$H$4:$AA$4,C2236)=0,"Check category",IF(COUNTIF(INDEX(Lists!$H$6:$AA$45,0,MATCH(C2236,Lists!$H$4:$AA$4,0)),D2236)=0,"Check sub-category","OK"))))</f>
        <v/>
      </c>
      <c r="P2236">
        <f>IF(ISNUMBER(I2236),I2236+ROW()/10000000,"")</f>
        <v/>
      </c>
      <c r="Q2236">
        <f>IF(AND(ISNUMBER(P2236),ISNUMBER(A2236)),IF(AND(A2236&gt;=Dashboard!$Q$3,A2236&lt;=Dashboard!$Q$4,OR(J2236&lt;&gt;"Yes",Dashboard!$Q$15="Yes")),P2236,""),"")</f>
        <v/>
      </c>
    </row>
    <row r="2237">
      <c r="A2237" s="47" t="n"/>
      <c r="B2237" s="48" t="n"/>
      <c r="C2237" s="48" t="n"/>
      <c r="D2237" s="48" t="n"/>
      <c r="E2237" s="48" t="n"/>
      <c r="F2237" s="48" t="n"/>
      <c r="G2237" s="48" t="n"/>
      <c r="H2237" s="48" t="n"/>
      <c r="I2237" s="49" t="n"/>
      <c r="J2237" s="50" t="n"/>
      <c r="K2237" s="48" t="n"/>
      <c r="L2237" s="51">
        <f>IF(A2237="","",DATE(YEAR(A2237),MONTH(A2237),1))</f>
        <v/>
      </c>
      <c r="M2237" s="52">
        <f>IF(OR(A2237="",NOT(ISNUMBER(I2237))),"",IF(G2237=Lists!$B$5,I2237/2,IF(G2237=Lists!$B$6,I2237,0)))</f>
        <v/>
      </c>
      <c r="N2237" s="52">
        <f>IF(OR(A2237="",NOT(ISNUMBER(I2237))),"",IF(G2237=Lists!$B$5,I2237/2,IF(G2237=Lists!$B$7,I2237,0)))</f>
        <v/>
      </c>
      <c r="O2237" s="53">
        <f>IF(COUNTA(A2237:K2237)=0,"",IF(OR(A2237="",B2237="",C2237="",D2237="",E2237="",F2237="",G2237="",NOT(ISNUMBER(I2237))),"Incomplete",IF(COUNTIF(Lists!$H$4:$AA$4,C2237)=0,"Check category",IF(COUNTIF(INDEX(Lists!$H$6:$AA$45,0,MATCH(C2237,Lists!$H$4:$AA$4,0)),D2237)=0,"Check sub-category","OK"))))</f>
        <v/>
      </c>
      <c r="P2237">
        <f>IF(ISNUMBER(I2237),I2237+ROW()/10000000,"")</f>
        <v/>
      </c>
      <c r="Q2237">
        <f>IF(AND(ISNUMBER(P2237),ISNUMBER(A2237)),IF(AND(A2237&gt;=Dashboard!$Q$3,A2237&lt;=Dashboard!$Q$4,OR(J2237&lt;&gt;"Yes",Dashboard!$Q$15="Yes")),P2237,""),"")</f>
        <v/>
      </c>
    </row>
    <row r="2238">
      <c r="A2238" s="47" t="n"/>
      <c r="B2238" s="48" t="n"/>
      <c r="C2238" s="48" t="n"/>
      <c r="D2238" s="48" t="n"/>
      <c r="E2238" s="48" t="n"/>
      <c r="F2238" s="48" t="n"/>
      <c r="G2238" s="48" t="n"/>
      <c r="H2238" s="48" t="n"/>
      <c r="I2238" s="49" t="n"/>
      <c r="J2238" s="50" t="n"/>
      <c r="K2238" s="48" t="n"/>
      <c r="L2238" s="51">
        <f>IF(A2238="","",DATE(YEAR(A2238),MONTH(A2238),1))</f>
        <v/>
      </c>
      <c r="M2238" s="52">
        <f>IF(OR(A2238="",NOT(ISNUMBER(I2238))),"",IF(G2238=Lists!$B$5,I2238/2,IF(G2238=Lists!$B$6,I2238,0)))</f>
        <v/>
      </c>
      <c r="N2238" s="52">
        <f>IF(OR(A2238="",NOT(ISNUMBER(I2238))),"",IF(G2238=Lists!$B$5,I2238/2,IF(G2238=Lists!$B$7,I2238,0)))</f>
        <v/>
      </c>
      <c r="O2238" s="53">
        <f>IF(COUNTA(A2238:K2238)=0,"",IF(OR(A2238="",B2238="",C2238="",D2238="",E2238="",F2238="",G2238="",NOT(ISNUMBER(I2238))),"Incomplete",IF(COUNTIF(Lists!$H$4:$AA$4,C2238)=0,"Check category",IF(COUNTIF(INDEX(Lists!$H$6:$AA$45,0,MATCH(C2238,Lists!$H$4:$AA$4,0)),D2238)=0,"Check sub-category","OK"))))</f>
        <v/>
      </c>
      <c r="P2238">
        <f>IF(ISNUMBER(I2238),I2238+ROW()/10000000,"")</f>
        <v/>
      </c>
      <c r="Q2238">
        <f>IF(AND(ISNUMBER(P2238),ISNUMBER(A2238)),IF(AND(A2238&gt;=Dashboard!$Q$3,A2238&lt;=Dashboard!$Q$4,OR(J2238&lt;&gt;"Yes",Dashboard!$Q$15="Yes")),P2238,""),"")</f>
        <v/>
      </c>
    </row>
    <row r="2239">
      <c r="A2239" s="47" t="n"/>
      <c r="B2239" s="48" t="n"/>
      <c r="C2239" s="48" t="n"/>
      <c r="D2239" s="48" t="n"/>
      <c r="E2239" s="48" t="n"/>
      <c r="F2239" s="48" t="n"/>
      <c r="G2239" s="48" t="n"/>
      <c r="H2239" s="48" t="n"/>
      <c r="I2239" s="49" t="n"/>
      <c r="J2239" s="50" t="n"/>
      <c r="K2239" s="48" t="n"/>
      <c r="L2239" s="51">
        <f>IF(A2239="","",DATE(YEAR(A2239),MONTH(A2239),1))</f>
        <v/>
      </c>
      <c r="M2239" s="52">
        <f>IF(OR(A2239="",NOT(ISNUMBER(I2239))),"",IF(G2239=Lists!$B$5,I2239/2,IF(G2239=Lists!$B$6,I2239,0)))</f>
        <v/>
      </c>
      <c r="N2239" s="52">
        <f>IF(OR(A2239="",NOT(ISNUMBER(I2239))),"",IF(G2239=Lists!$B$5,I2239/2,IF(G2239=Lists!$B$7,I2239,0)))</f>
        <v/>
      </c>
      <c r="O2239" s="53">
        <f>IF(COUNTA(A2239:K2239)=0,"",IF(OR(A2239="",B2239="",C2239="",D2239="",E2239="",F2239="",G2239="",NOT(ISNUMBER(I2239))),"Incomplete",IF(COUNTIF(Lists!$H$4:$AA$4,C2239)=0,"Check category",IF(COUNTIF(INDEX(Lists!$H$6:$AA$45,0,MATCH(C2239,Lists!$H$4:$AA$4,0)),D2239)=0,"Check sub-category","OK"))))</f>
        <v/>
      </c>
      <c r="P2239">
        <f>IF(ISNUMBER(I2239),I2239+ROW()/10000000,"")</f>
        <v/>
      </c>
      <c r="Q2239">
        <f>IF(AND(ISNUMBER(P2239),ISNUMBER(A2239)),IF(AND(A2239&gt;=Dashboard!$Q$3,A2239&lt;=Dashboard!$Q$4,OR(J2239&lt;&gt;"Yes",Dashboard!$Q$15="Yes")),P2239,""),"")</f>
        <v/>
      </c>
    </row>
    <row r="2240">
      <c r="A2240" s="47" t="n"/>
      <c r="B2240" s="48" t="n"/>
      <c r="C2240" s="48" t="n"/>
      <c r="D2240" s="48" t="n"/>
      <c r="E2240" s="48" t="n"/>
      <c r="F2240" s="48" t="n"/>
      <c r="G2240" s="48" t="n"/>
      <c r="H2240" s="48" t="n"/>
      <c r="I2240" s="49" t="n"/>
      <c r="J2240" s="50" t="n"/>
      <c r="K2240" s="48" t="n"/>
      <c r="L2240" s="51">
        <f>IF(A2240="","",DATE(YEAR(A2240),MONTH(A2240),1))</f>
        <v/>
      </c>
      <c r="M2240" s="52">
        <f>IF(OR(A2240="",NOT(ISNUMBER(I2240))),"",IF(G2240=Lists!$B$5,I2240/2,IF(G2240=Lists!$B$6,I2240,0)))</f>
        <v/>
      </c>
      <c r="N2240" s="52">
        <f>IF(OR(A2240="",NOT(ISNUMBER(I2240))),"",IF(G2240=Lists!$B$5,I2240/2,IF(G2240=Lists!$B$7,I2240,0)))</f>
        <v/>
      </c>
      <c r="O2240" s="53">
        <f>IF(COUNTA(A2240:K2240)=0,"",IF(OR(A2240="",B2240="",C2240="",D2240="",E2240="",F2240="",G2240="",NOT(ISNUMBER(I2240))),"Incomplete",IF(COUNTIF(Lists!$H$4:$AA$4,C2240)=0,"Check category",IF(COUNTIF(INDEX(Lists!$H$6:$AA$45,0,MATCH(C2240,Lists!$H$4:$AA$4,0)),D2240)=0,"Check sub-category","OK"))))</f>
        <v/>
      </c>
      <c r="P2240">
        <f>IF(ISNUMBER(I2240),I2240+ROW()/10000000,"")</f>
        <v/>
      </c>
      <c r="Q2240">
        <f>IF(AND(ISNUMBER(P2240),ISNUMBER(A2240)),IF(AND(A2240&gt;=Dashboard!$Q$3,A2240&lt;=Dashboard!$Q$4,OR(J2240&lt;&gt;"Yes",Dashboard!$Q$15="Yes")),P2240,""),"")</f>
        <v/>
      </c>
    </row>
    <row r="2241">
      <c r="A2241" s="47" t="n"/>
      <c r="B2241" s="48" t="n"/>
      <c r="C2241" s="48" t="n"/>
      <c r="D2241" s="48" t="n"/>
      <c r="E2241" s="48" t="n"/>
      <c r="F2241" s="48" t="n"/>
      <c r="G2241" s="48" t="n"/>
      <c r="H2241" s="48" t="n"/>
      <c r="I2241" s="49" t="n"/>
      <c r="J2241" s="50" t="n"/>
      <c r="K2241" s="48" t="n"/>
      <c r="L2241" s="51">
        <f>IF(A2241="","",DATE(YEAR(A2241),MONTH(A2241),1))</f>
        <v/>
      </c>
      <c r="M2241" s="52">
        <f>IF(OR(A2241="",NOT(ISNUMBER(I2241))),"",IF(G2241=Lists!$B$5,I2241/2,IF(G2241=Lists!$B$6,I2241,0)))</f>
        <v/>
      </c>
      <c r="N2241" s="52">
        <f>IF(OR(A2241="",NOT(ISNUMBER(I2241))),"",IF(G2241=Lists!$B$5,I2241/2,IF(G2241=Lists!$B$7,I2241,0)))</f>
        <v/>
      </c>
      <c r="O2241" s="53">
        <f>IF(COUNTA(A2241:K2241)=0,"",IF(OR(A2241="",B2241="",C2241="",D2241="",E2241="",F2241="",G2241="",NOT(ISNUMBER(I2241))),"Incomplete",IF(COUNTIF(Lists!$H$4:$AA$4,C2241)=0,"Check category",IF(COUNTIF(INDEX(Lists!$H$6:$AA$45,0,MATCH(C2241,Lists!$H$4:$AA$4,0)),D2241)=0,"Check sub-category","OK"))))</f>
        <v/>
      </c>
      <c r="P2241">
        <f>IF(ISNUMBER(I2241),I2241+ROW()/10000000,"")</f>
        <v/>
      </c>
      <c r="Q2241">
        <f>IF(AND(ISNUMBER(P2241),ISNUMBER(A2241)),IF(AND(A2241&gt;=Dashboard!$Q$3,A2241&lt;=Dashboard!$Q$4,OR(J2241&lt;&gt;"Yes",Dashboard!$Q$15="Yes")),P2241,""),"")</f>
        <v/>
      </c>
    </row>
    <row r="2242">
      <c r="A2242" s="47" t="n"/>
      <c r="B2242" s="48" t="n"/>
      <c r="C2242" s="48" t="n"/>
      <c r="D2242" s="48" t="n"/>
      <c r="E2242" s="48" t="n"/>
      <c r="F2242" s="48" t="n"/>
      <c r="G2242" s="48" t="n"/>
      <c r="H2242" s="48" t="n"/>
      <c r="I2242" s="49" t="n"/>
      <c r="J2242" s="50" t="n"/>
      <c r="K2242" s="48" t="n"/>
      <c r="L2242" s="51">
        <f>IF(A2242="","",DATE(YEAR(A2242),MONTH(A2242),1))</f>
        <v/>
      </c>
      <c r="M2242" s="52">
        <f>IF(OR(A2242="",NOT(ISNUMBER(I2242))),"",IF(G2242=Lists!$B$5,I2242/2,IF(G2242=Lists!$B$6,I2242,0)))</f>
        <v/>
      </c>
      <c r="N2242" s="52">
        <f>IF(OR(A2242="",NOT(ISNUMBER(I2242))),"",IF(G2242=Lists!$B$5,I2242/2,IF(G2242=Lists!$B$7,I2242,0)))</f>
        <v/>
      </c>
      <c r="O2242" s="53">
        <f>IF(COUNTA(A2242:K2242)=0,"",IF(OR(A2242="",B2242="",C2242="",D2242="",E2242="",F2242="",G2242="",NOT(ISNUMBER(I2242))),"Incomplete",IF(COUNTIF(Lists!$H$4:$AA$4,C2242)=0,"Check category",IF(COUNTIF(INDEX(Lists!$H$6:$AA$45,0,MATCH(C2242,Lists!$H$4:$AA$4,0)),D2242)=0,"Check sub-category","OK"))))</f>
        <v/>
      </c>
      <c r="P2242">
        <f>IF(ISNUMBER(I2242),I2242+ROW()/10000000,"")</f>
        <v/>
      </c>
      <c r="Q2242">
        <f>IF(AND(ISNUMBER(P2242),ISNUMBER(A2242)),IF(AND(A2242&gt;=Dashboard!$Q$3,A2242&lt;=Dashboard!$Q$4,OR(J2242&lt;&gt;"Yes",Dashboard!$Q$15="Yes")),P2242,""),"")</f>
        <v/>
      </c>
    </row>
    <row r="2243">
      <c r="A2243" s="47" t="n"/>
      <c r="B2243" s="48" t="n"/>
      <c r="C2243" s="48" t="n"/>
      <c r="D2243" s="48" t="n"/>
      <c r="E2243" s="48" t="n"/>
      <c r="F2243" s="48" t="n"/>
      <c r="G2243" s="48" t="n"/>
      <c r="H2243" s="48" t="n"/>
      <c r="I2243" s="49" t="n"/>
      <c r="J2243" s="50" t="n"/>
      <c r="K2243" s="48" t="n"/>
      <c r="L2243" s="51">
        <f>IF(A2243="","",DATE(YEAR(A2243),MONTH(A2243),1))</f>
        <v/>
      </c>
      <c r="M2243" s="52">
        <f>IF(OR(A2243="",NOT(ISNUMBER(I2243))),"",IF(G2243=Lists!$B$5,I2243/2,IF(G2243=Lists!$B$6,I2243,0)))</f>
        <v/>
      </c>
      <c r="N2243" s="52">
        <f>IF(OR(A2243="",NOT(ISNUMBER(I2243))),"",IF(G2243=Lists!$B$5,I2243/2,IF(G2243=Lists!$B$7,I2243,0)))</f>
        <v/>
      </c>
      <c r="O2243" s="53">
        <f>IF(COUNTA(A2243:K2243)=0,"",IF(OR(A2243="",B2243="",C2243="",D2243="",E2243="",F2243="",G2243="",NOT(ISNUMBER(I2243))),"Incomplete",IF(COUNTIF(Lists!$H$4:$AA$4,C2243)=0,"Check category",IF(COUNTIF(INDEX(Lists!$H$6:$AA$45,0,MATCH(C2243,Lists!$H$4:$AA$4,0)),D2243)=0,"Check sub-category","OK"))))</f>
        <v/>
      </c>
      <c r="P2243">
        <f>IF(ISNUMBER(I2243),I2243+ROW()/10000000,"")</f>
        <v/>
      </c>
      <c r="Q2243">
        <f>IF(AND(ISNUMBER(P2243),ISNUMBER(A2243)),IF(AND(A2243&gt;=Dashboard!$Q$3,A2243&lt;=Dashboard!$Q$4,OR(J2243&lt;&gt;"Yes",Dashboard!$Q$15="Yes")),P2243,""),"")</f>
        <v/>
      </c>
    </row>
    <row r="2244">
      <c r="A2244" s="47" t="n"/>
      <c r="B2244" s="48" t="n"/>
      <c r="C2244" s="48" t="n"/>
      <c r="D2244" s="48" t="n"/>
      <c r="E2244" s="48" t="n"/>
      <c r="F2244" s="48" t="n"/>
      <c r="G2244" s="48" t="n"/>
      <c r="H2244" s="48" t="n"/>
      <c r="I2244" s="49" t="n"/>
      <c r="J2244" s="50" t="n"/>
      <c r="K2244" s="48" t="n"/>
      <c r="L2244" s="51">
        <f>IF(A2244="","",DATE(YEAR(A2244),MONTH(A2244),1))</f>
        <v/>
      </c>
      <c r="M2244" s="52">
        <f>IF(OR(A2244="",NOT(ISNUMBER(I2244))),"",IF(G2244=Lists!$B$5,I2244/2,IF(G2244=Lists!$B$6,I2244,0)))</f>
        <v/>
      </c>
      <c r="N2244" s="52">
        <f>IF(OR(A2244="",NOT(ISNUMBER(I2244))),"",IF(G2244=Lists!$B$5,I2244/2,IF(G2244=Lists!$B$7,I2244,0)))</f>
        <v/>
      </c>
      <c r="O2244" s="53">
        <f>IF(COUNTA(A2244:K2244)=0,"",IF(OR(A2244="",B2244="",C2244="",D2244="",E2244="",F2244="",G2244="",NOT(ISNUMBER(I2244))),"Incomplete",IF(COUNTIF(Lists!$H$4:$AA$4,C2244)=0,"Check category",IF(COUNTIF(INDEX(Lists!$H$6:$AA$45,0,MATCH(C2244,Lists!$H$4:$AA$4,0)),D2244)=0,"Check sub-category","OK"))))</f>
        <v/>
      </c>
      <c r="P2244">
        <f>IF(ISNUMBER(I2244),I2244+ROW()/10000000,"")</f>
        <v/>
      </c>
      <c r="Q2244">
        <f>IF(AND(ISNUMBER(P2244),ISNUMBER(A2244)),IF(AND(A2244&gt;=Dashboard!$Q$3,A2244&lt;=Dashboard!$Q$4,OR(J2244&lt;&gt;"Yes",Dashboard!$Q$15="Yes")),P2244,""),"")</f>
        <v/>
      </c>
    </row>
    <row r="2245">
      <c r="A2245" s="47" t="n"/>
      <c r="B2245" s="48" t="n"/>
      <c r="C2245" s="48" t="n"/>
      <c r="D2245" s="48" t="n"/>
      <c r="E2245" s="48" t="n"/>
      <c r="F2245" s="48" t="n"/>
      <c r="G2245" s="48" t="n"/>
      <c r="H2245" s="48" t="n"/>
      <c r="I2245" s="49" t="n"/>
      <c r="J2245" s="50" t="n"/>
      <c r="K2245" s="48" t="n"/>
      <c r="L2245" s="51">
        <f>IF(A2245="","",DATE(YEAR(A2245),MONTH(A2245),1))</f>
        <v/>
      </c>
      <c r="M2245" s="52">
        <f>IF(OR(A2245="",NOT(ISNUMBER(I2245))),"",IF(G2245=Lists!$B$5,I2245/2,IF(G2245=Lists!$B$6,I2245,0)))</f>
        <v/>
      </c>
      <c r="N2245" s="52">
        <f>IF(OR(A2245="",NOT(ISNUMBER(I2245))),"",IF(G2245=Lists!$B$5,I2245/2,IF(G2245=Lists!$B$7,I2245,0)))</f>
        <v/>
      </c>
      <c r="O2245" s="53">
        <f>IF(COUNTA(A2245:K2245)=0,"",IF(OR(A2245="",B2245="",C2245="",D2245="",E2245="",F2245="",G2245="",NOT(ISNUMBER(I2245))),"Incomplete",IF(COUNTIF(Lists!$H$4:$AA$4,C2245)=0,"Check category",IF(COUNTIF(INDEX(Lists!$H$6:$AA$45,0,MATCH(C2245,Lists!$H$4:$AA$4,0)),D2245)=0,"Check sub-category","OK"))))</f>
        <v/>
      </c>
      <c r="P2245">
        <f>IF(ISNUMBER(I2245),I2245+ROW()/10000000,"")</f>
        <v/>
      </c>
      <c r="Q2245">
        <f>IF(AND(ISNUMBER(P2245),ISNUMBER(A2245)),IF(AND(A2245&gt;=Dashboard!$Q$3,A2245&lt;=Dashboard!$Q$4,OR(J2245&lt;&gt;"Yes",Dashboard!$Q$15="Yes")),P2245,""),"")</f>
        <v/>
      </c>
    </row>
    <row r="2246">
      <c r="A2246" s="47" t="n"/>
      <c r="B2246" s="48" t="n"/>
      <c r="C2246" s="48" t="n"/>
      <c r="D2246" s="48" t="n"/>
      <c r="E2246" s="48" t="n"/>
      <c r="F2246" s="48" t="n"/>
      <c r="G2246" s="48" t="n"/>
      <c r="H2246" s="48" t="n"/>
      <c r="I2246" s="49" t="n"/>
      <c r="J2246" s="50" t="n"/>
      <c r="K2246" s="48" t="n"/>
      <c r="L2246" s="51">
        <f>IF(A2246="","",DATE(YEAR(A2246),MONTH(A2246),1))</f>
        <v/>
      </c>
      <c r="M2246" s="52">
        <f>IF(OR(A2246="",NOT(ISNUMBER(I2246))),"",IF(G2246=Lists!$B$5,I2246/2,IF(G2246=Lists!$B$6,I2246,0)))</f>
        <v/>
      </c>
      <c r="N2246" s="52">
        <f>IF(OR(A2246="",NOT(ISNUMBER(I2246))),"",IF(G2246=Lists!$B$5,I2246/2,IF(G2246=Lists!$B$7,I2246,0)))</f>
        <v/>
      </c>
      <c r="O2246" s="53">
        <f>IF(COUNTA(A2246:K2246)=0,"",IF(OR(A2246="",B2246="",C2246="",D2246="",E2246="",F2246="",G2246="",NOT(ISNUMBER(I2246))),"Incomplete",IF(COUNTIF(Lists!$H$4:$AA$4,C2246)=0,"Check category",IF(COUNTIF(INDEX(Lists!$H$6:$AA$45,0,MATCH(C2246,Lists!$H$4:$AA$4,0)),D2246)=0,"Check sub-category","OK"))))</f>
        <v/>
      </c>
      <c r="P2246">
        <f>IF(ISNUMBER(I2246),I2246+ROW()/10000000,"")</f>
        <v/>
      </c>
      <c r="Q2246">
        <f>IF(AND(ISNUMBER(P2246),ISNUMBER(A2246)),IF(AND(A2246&gt;=Dashboard!$Q$3,A2246&lt;=Dashboard!$Q$4,OR(J2246&lt;&gt;"Yes",Dashboard!$Q$15="Yes")),P2246,""),"")</f>
        <v/>
      </c>
    </row>
    <row r="2247">
      <c r="A2247" s="47" t="n"/>
      <c r="B2247" s="48" t="n"/>
      <c r="C2247" s="48" t="n"/>
      <c r="D2247" s="48" t="n"/>
      <c r="E2247" s="48" t="n"/>
      <c r="F2247" s="48" t="n"/>
      <c r="G2247" s="48" t="n"/>
      <c r="H2247" s="48" t="n"/>
      <c r="I2247" s="49" t="n"/>
      <c r="J2247" s="50" t="n"/>
      <c r="K2247" s="48" t="n"/>
      <c r="L2247" s="51">
        <f>IF(A2247="","",DATE(YEAR(A2247),MONTH(A2247),1))</f>
        <v/>
      </c>
      <c r="M2247" s="52">
        <f>IF(OR(A2247="",NOT(ISNUMBER(I2247))),"",IF(G2247=Lists!$B$5,I2247/2,IF(G2247=Lists!$B$6,I2247,0)))</f>
        <v/>
      </c>
      <c r="N2247" s="52">
        <f>IF(OR(A2247="",NOT(ISNUMBER(I2247))),"",IF(G2247=Lists!$B$5,I2247/2,IF(G2247=Lists!$B$7,I2247,0)))</f>
        <v/>
      </c>
      <c r="O2247" s="53">
        <f>IF(COUNTA(A2247:K2247)=0,"",IF(OR(A2247="",B2247="",C2247="",D2247="",E2247="",F2247="",G2247="",NOT(ISNUMBER(I2247))),"Incomplete",IF(COUNTIF(Lists!$H$4:$AA$4,C2247)=0,"Check category",IF(COUNTIF(INDEX(Lists!$H$6:$AA$45,0,MATCH(C2247,Lists!$H$4:$AA$4,0)),D2247)=0,"Check sub-category","OK"))))</f>
        <v/>
      </c>
      <c r="P2247">
        <f>IF(ISNUMBER(I2247),I2247+ROW()/10000000,"")</f>
        <v/>
      </c>
      <c r="Q2247">
        <f>IF(AND(ISNUMBER(P2247),ISNUMBER(A2247)),IF(AND(A2247&gt;=Dashboard!$Q$3,A2247&lt;=Dashboard!$Q$4,OR(J2247&lt;&gt;"Yes",Dashboard!$Q$15="Yes")),P2247,""),"")</f>
        <v/>
      </c>
    </row>
    <row r="2248">
      <c r="A2248" s="47" t="n"/>
      <c r="B2248" s="48" t="n"/>
      <c r="C2248" s="48" t="n"/>
      <c r="D2248" s="48" t="n"/>
      <c r="E2248" s="48" t="n"/>
      <c r="F2248" s="48" t="n"/>
      <c r="G2248" s="48" t="n"/>
      <c r="H2248" s="48" t="n"/>
      <c r="I2248" s="49" t="n"/>
      <c r="J2248" s="50" t="n"/>
      <c r="K2248" s="48" t="n"/>
      <c r="L2248" s="51">
        <f>IF(A2248="","",DATE(YEAR(A2248),MONTH(A2248),1))</f>
        <v/>
      </c>
      <c r="M2248" s="52">
        <f>IF(OR(A2248="",NOT(ISNUMBER(I2248))),"",IF(G2248=Lists!$B$5,I2248/2,IF(G2248=Lists!$B$6,I2248,0)))</f>
        <v/>
      </c>
      <c r="N2248" s="52">
        <f>IF(OR(A2248="",NOT(ISNUMBER(I2248))),"",IF(G2248=Lists!$B$5,I2248/2,IF(G2248=Lists!$B$7,I2248,0)))</f>
        <v/>
      </c>
      <c r="O2248" s="53">
        <f>IF(COUNTA(A2248:K2248)=0,"",IF(OR(A2248="",B2248="",C2248="",D2248="",E2248="",F2248="",G2248="",NOT(ISNUMBER(I2248))),"Incomplete",IF(COUNTIF(Lists!$H$4:$AA$4,C2248)=0,"Check category",IF(COUNTIF(INDEX(Lists!$H$6:$AA$45,0,MATCH(C2248,Lists!$H$4:$AA$4,0)),D2248)=0,"Check sub-category","OK"))))</f>
        <v/>
      </c>
      <c r="P2248">
        <f>IF(ISNUMBER(I2248),I2248+ROW()/10000000,"")</f>
        <v/>
      </c>
      <c r="Q2248">
        <f>IF(AND(ISNUMBER(P2248),ISNUMBER(A2248)),IF(AND(A2248&gt;=Dashboard!$Q$3,A2248&lt;=Dashboard!$Q$4,OR(J2248&lt;&gt;"Yes",Dashboard!$Q$15="Yes")),P2248,""),"")</f>
        <v/>
      </c>
    </row>
    <row r="2249">
      <c r="A2249" s="47" t="n"/>
      <c r="B2249" s="48" t="n"/>
      <c r="C2249" s="48" t="n"/>
      <c r="D2249" s="48" t="n"/>
      <c r="E2249" s="48" t="n"/>
      <c r="F2249" s="48" t="n"/>
      <c r="G2249" s="48" t="n"/>
      <c r="H2249" s="48" t="n"/>
      <c r="I2249" s="49" t="n"/>
      <c r="J2249" s="50" t="n"/>
      <c r="K2249" s="48" t="n"/>
      <c r="L2249" s="51">
        <f>IF(A2249="","",DATE(YEAR(A2249),MONTH(A2249),1))</f>
        <v/>
      </c>
      <c r="M2249" s="52">
        <f>IF(OR(A2249="",NOT(ISNUMBER(I2249))),"",IF(G2249=Lists!$B$5,I2249/2,IF(G2249=Lists!$B$6,I2249,0)))</f>
        <v/>
      </c>
      <c r="N2249" s="52">
        <f>IF(OR(A2249="",NOT(ISNUMBER(I2249))),"",IF(G2249=Lists!$B$5,I2249/2,IF(G2249=Lists!$B$7,I2249,0)))</f>
        <v/>
      </c>
      <c r="O2249" s="53">
        <f>IF(COUNTA(A2249:K2249)=0,"",IF(OR(A2249="",B2249="",C2249="",D2249="",E2249="",F2249="",G2249="",NOT(ISNUMBER(I2249))),"Incomplete",IF(COUNTIF(Lists!$H$4:$AA$4,C2249)=0,"Check category",IF(COUNTIF(INDEX(Lists!$H$6:$AA$45,0,MATCH(C2249,Lists!$H$4:$AA$4,0)),D2249)=0,"Check sub-category","OK"))))</f>
        <v/>
      </c>
      <c r="P2249">
        <f>IF(ISNUMBER(I2249),I2249+ROW()/10000000,"")</f>
        <v/>
      </c>
      <c r="Q2249">
        <f>IF(AND(ISNUMBER(P2249),ISNUMBER(A2249)),IF(AND(A2249&gt;=Dashboard!$Q$3,A2249&lt;=Dashboard!$Q$4,OR(J2249&lt;&gt;"Yes",Dashboard!$Q$15="Yes")),P2249,""),"")</f>
        <v/>
      </c>
    </row>
    <row r="2250">
      <c r="A2250" s="47" t="n"/>
      <c r="B2250" s="48" t="n"/>
      <c r="C2250" s="48" t="n"/>
      <c r="D2250" s="48" t="n"/>
      <c r="E2250" s="48" t="n"/>
      <c r="F2250" s="48" t="n"/>
      <c r="G2250" s="48" t="n"/>
      <c r="H2250" s="48" t="n"/>
      <c r="I2250" s="49" t="n"/>
      <c r="J2250" s="50" t="n"/>
      <c r="K2250" s="48" t="n"/>
      <c r="L2250" s="51">
        <f>IF(A2250="","",DATE(YEAR(A2250),MONTH(A2250),1))</f>
        <v/>
      </c>
      <c r="M2250" s="52">
        <f>IF(OR(A2250="",NOT(ISNUMBER(I2250))),"",IF(G2250=Lists!$B$5,I2250/2,IF(G2250=Lists!$B$6,I2250,0)))</f>
        <v/>
      </c>
      <c r="N2250" s="52">
        <f>IF(OR(A2250="",NOT(ISNUMBER(I2250))),"",IF(G2250=Lists!$B$5,I2250/2,IF(G2250=Lists!$B$7,I2250,0)))</f>
        <v/>
      </c>
      <c r="O2250" s="53">
        <f>IF(COUNTA(A2250:K2250)=0,"",IF(OR(A2250="",B2250="",C2250="",D2250="",E2250="",F2250="",G2250="",NOT(ISNUMBER(I2250))),"Incomplete",IF(COUNTIF(Lists!$H$4:$AA$4,C2250)=0,"Check category",IF(COUNTIF(INDEX(Lists!$H$6:$AA$45,0,MATCH(C2250,Lists!$H$4:$AA$4,0)),D2250)=0,"Check sub-category","OK"))))</f>
        <v/>
      </c>
      <c r="P2250">
        <f>IF(ISNUMBER(I2250),I2250+ROW()/10000000,"")</f>
        <v/>
      </c>
      <c r="Q2250">
        <f>IF(AND(ISNUMBER(P2250),ISNUMBER(A2250)),IF(AND(A2250&gt;=Dashboard!$Q$3,A2250&lt;=Dashboard!$Q$4,OR(J2250&lt;&gt;"Yes",Dashboard!$Q$15="Yes")),P2250,""),"")</f>
        <v/>
      </c>
    </row>
    <row r="2251">
      <c r="A2251" s="47" t="n"/>
      <c r="B2251" s="48" t="n"/>
      <c r="C2251" s="48" t="n"/>
      <c r="D2251" s="48" t="n"/>
      <c r="E2251" s="48" t="n"/>
      <c r="F2251" s="48" t="n"/>
      <c r="G2251" s="48" t="n"/>
      <c r="H2251" s="48" t="n"/>
      <c r="I2251" s="49" t="n"/>
      <c r="J2251" s="50" t="n"/>
      <c r="K2251" s="48" t="n"/>
      <c r="L2251" s="51">
        <f>IF(A2251="","",DATE(YEAR(A2251),MONTH(A2251),1))</f>
        <v/>
      </c>
      <c r="M2251" s="52">
        <f>IF(OR(A2251="",NOT(ISNUMBER(I2251))),"",IF(G2251=Lists!$B$5,I2251/2,IF(G2251=Lists!$B$6,I2251,0)))</f>
        <v/>
      </c>
      <c r="N2251" s="52">
        <f>IF(OR(A2251="",NOT(ISNUMBER(I2251))),"",IF(G2251=Lists!$B$5,I2251/2,IF(G2251=Lists!$B$7,I2251,0)))</f>
        <v/>
      </c>
      <c r="O2251" s="53">
        <f>IF(COUNTA(A2251:K2251)=0,"",IF(OR(A2251="",B2251="",C2251="",D2251="",E2251="",F2251="",G2251="",NOT(ISNUMBER(I2251))),"Incomplete",IF(COUNTIF(Lists!$H$4:$AA$4,C2251)=0,"Check category",IF(COUNTIF(INDEX(Lists!$H$6:$AA$45,0,MATCH(C2251,Lists!$H$4:$AA$4,0)),D2251)=0,"Check sub-category","OK"))))</f>
        <v/>
      </c>
      <c r="P2251">
        <f>IF(ISNUMBER(I2251),I2251+ROW()/10000000,"")</f>
        <v/>
      </c>
      <c r="Q2251">
        <f>IF(AND(ISNUMBER(P2251),ISNUMBER(A2251)),IF(AND(A2251&gt;=Dashboard!$Q$3,A2251&lt;=Dashboard!$Q$4,OR(J2251&lt;&gt;"Yes",Dashboard!$Q$15="Yes")),P2251,""),"")</f>
        <v/>
      </c>
    </row>
    <row r="2252">
      <c r="A2252" s="47" t="n"/>
      <c r="B2252" s="48" t="n"/>
      <c r="C2252" s="48" t="n"/>
      <c r="D2252" s="48" t="n"/>
      <c r="E2252" s="48" t="n"/>
      <c r="F2252" s="48" t="n"/>
      <c r="G2252" s="48" t="n"/>
      <c r="H2252" s="48" t="n"/>
      <c r="I2252" s="49" t="n"/>
      <c r="J2252" s="50" t="n"/>
      <c r="K2252" s="48" t="n"/>
      <c r="L2252" s="51">
        <f>IF(A2252="","",DATE(YEAR(A2252),MONTH(A2252),1))</f>
        <v/>
      </c>
      <c r="M2252" s="52">
        <f>IF(OR(A2252="",NOT(ISNUMBER(I2252))),"",IF(G2252=Lists!$B$5,I2252/2,IF(G2252=Lists!$B$6,I2252,0)))</f>
        <v/>
      </c>
      <c r="N2252" s="52">
        <f>IF(OR(A2252="",NOT(ISNUMBER(I2252))),"",IF(G2252=Lists!$B$5,I2252/2,IF(G2252=Lists!$B$7,I2252,0)))</f>
        <v/>
      </c>
      <c r="O2252" s="53">
        <f>IF(COUNTA(A2252:K2252)=0,"",IF(OR(A2252="",B2252="",C2252="",D2252="",E2252="",F2252="",G2252="",NOT(ISNUMBER(I2252))),"Incomplete",IF(COUNTIF(Lists!$H$4:$AA$4,C2252)=0,"Check category",IF(COUNTIF(INDEX(Lists!$H$6:$AA$45,0,MATCH(C2252,Lists!$H$4:$AA$4,0)),D2252)=0,"Check sub-category","OK"))))</f>
        <v/>
      </c>
      <c r="P2252">
        <f>IF(ISNUMBER(I2252),I2252+ROW()/10000000,"")</f>
        <v/>
      </c>
      <c r="Q2252">
        <f>IF(AND(ISNUMBER(P2252),ISNUMBER(A2252)),IF(AND(A2252&gt;=Dashboard!$Q$3,A2252&lt;=Dashboard!$Q$4,OR(J2252&lt;&gt;"Yes",Dashboard!$Q$15="Yes")),P2252,""),"")</f>
        <v/>
      </c>
    </row>
    <row r="2253">
      <c r="A2253" s="47" t="n"/>
      <c r="B2253" s="48" t="n"/>
      <c r="C2253" s="48" t="n"/>
      <c r="D2253" s="48" t="n"/>
      <c r="E2253" s="48" t="n"/>
      <c r="F2253" s="48" t="n"/>
      <c r="G2253" s="48" t="n"/>
      <c r="H2253" s="48" t="n"/>
      <c r="I2253" s="49" t="n"/>
      <c r="J2253" s="50" t="n"/>
      <c r="K2253" s="48" t="n"/>
      <c r="L2253" s="51">
        <f>IF(A2253="","",DATE(YEAR(A2253),MONTH(A2253),1))</f>
        <v/>
      </c>
      <c r="M2253" s="52">
        <f>IF(OR(A2253="",NOT(ISNUMBER(I2253))),"",IF(G2253=Lists!$B$5,I2253/2,IF(G2253=Lists!$B$6,I2253,0)))</f>
        <v/>
      </c>
      <c r="N2253" s="52">
        <f>IF(OR(A2253="",NOT(ISNUMBER(I2253))),"",IF(G2253=Lists!$B$5,I2253/2,IF(G2253=Lists!$B$7,I2253,0)))</f>
        <v/>
      </c>
      <c r="O2253" s="53">
        <f>IF(COUNTA(A2253:K2253)=0,"",IF(OR(A2253="",B2253="",C2253="",D2253="",E2253="",F2253="",G2253="",NOT(ISNUMBER(I2253))),"Incomplete",IF(COUNTIF(Lists!$H$4:$AA$4,C2253)=0,"Check category",IF(COUNTIF(INDEX(Lists!$H$6:$AA$45,0,MATCH(C2253,Lists!$H$4:$AA$4,0)),D2253)=0,"Check sub-category","OK"))))</f>
        <v/>
      </c>
      <c r="P2253">
        <f>IF(ISNUMBER(I2253),I2253+ROW()/10000000,"")</f>
        <v/>
      </c>
      <c r="Q2253">
        <f>IF(AND(ISNUMBER(P2253),ISNUMBER(A2253)),IF(AND(A2253&gt;=Dashboard!$Q$3,A2253&lt;=Dashboard!$Q$4,OR(J2253&lt;&gt;"Yes",Dashboard!$Q$15="Yes")),P2253,""),"")</f>
        <v/>
      </c>
    </row>
    <row r="2254">
      <c r="A2254" s="47" t="n"/>
      <c r="B2254" s="48" t="n"/>
      <c r="C2254" s="48" t="n"/>
      <c r="D2254" s="48" t="n"/>
      <c r="E2254" s="48" t="n"/>
      <c r="F2254" s="48" t="n"/>
      <c r="G2254" s="48" t="n"/>
      <c r="H2254" s="48" t="n"/>
      <c r="I2254" s="49" t="n"/>
      <c r="J2254" s="50" t="n"/>
      <c r="K2254" s="48" t="n"/>
      <c r="L2254" s="51">
        <f>IF(A2254="","",DATE(YEAR(A2254),MONTH(A2254),1))</f>
        <v/>
      </c>
      <c r="M2254" s="52">
        <f>IF(OR(A2254="",NOT(ISNUMBER(I2254))),"",IF(G2254=Lists!$B$5,I2254/2,IF(G2254=Lists!$B$6,I2254,0)))</f>
        <v/>
      </c>
      <c r="N2254" s="52">
        <f>IF(OR(A2254="",NOT(ISNUMBER(I2254))),"",IF(G2254=Lists!$B$5,I2254/2,IF(G2254=Lists!$B$7,I2254,0)))</f>
        <v/>
      </c>
      <c r="O2254" s="53">
        <f>IF(COUNTA(A2254:K2254)=0,"",IF(OR(A2254="",B2254="",C2254="",D2254="",E2254="",F2254="",G2254="",NOT(ISNUMBER(I2254))),"Incomplete",IF(COUNTIF(Lists!$H$4:$AA$4,C2254)=0,"Check category",IF(COUNTIF(INDEX(Lists!$H$6:$AA$45,0,MATCH(C2254,Lists!$H$4:$AA$4,0)),D2254)=0,"Check sub-category","OK"))))</f>
        <v/>
      </c>
      <c r="P2254">
        <f>IF(ISNUMBER(I2254),I2254+ROW()/10000000,"")</f>
        <v/>
      </c>
      <c r="Q2254">
        <f>IF(AND(ISNUMBER(P2254),ISNUMBER(A2254)),IF(AND(A2254&gt;=Dashboard!$Q$3,A2254&lt;=Dashboard!$Q$4,OR(J2254&lt;&gt;"Yes",Dashboard!$Q$15="Yes")),P2254,""),"")</f>
        <v/>
      </c>
    </row>
    <row r="2255">
      <c r="A2255" s="47" t="n"/>
      <c r="B2255" s="48" t="n"/>
      <c r="C2255" s="48" t="n"/>
      <c r="D2255" s="48" t="n"/>
      <c r="E2255" s="48" t="n"/>
      <c r="F2255" s="48" t="n"/>
      <c r="G2255" s="48" t="n"/>
      <c r="H2255" s="48" t="n"/>
      <c r="I2255" s="49" t="n"/>
      <c r="J2255" s="50" t="n"/>
      <c r="K2255" s="48" t="n"/>
      <c r="L2255" s="51">
        <f>IF(A2255="","",DATE(YEAR(A2255),MONTH(A2255),1))</f>
        <v/>
      </c>
      <c r="M2255" s="52">
        <f>IF(OR(A2255="",NOT(ISNUMBER(I2255))),"",IF(G2255=Lists!$B$5,I2255/2,IF(G2255=Lists!$B$6,I2255,0)))</f>
        <v/>
      </c>
      <c r="N2255" s="52">
        <f>IF(OR(A2255="",NOT(ISNUMBER(I2255))),"",IF(G2255=Lists!$B$5,I2255/2,IF(G2255=Lists!$B$7,I2255,0)))</f>
        <v/>
      </c>
      <c r="O2255" s="53">
        <f>IF(COUNTA(A2255:K2255)=0,"",IF(OR(A2255="",B2255="",C2255="",D2255="",E2255="",F2255="",G2255="",NOT(ISNUMBER(I2255))),"Incomplete",IF(COUNTIF(Lists!$H$4:$AA$4,C2255)=0,"Check category",IF(COUNTIF(INDEX(Lists!$H$6:$AA$45,0,MATCH(C2255,Lists!$H$4:$AA$4,0)),D2255)=0,"Check sub-category","OK"))))</f>
        <v/>
      </c>
      <c r="P2255">
        <f>IF(ISNUMBER(I2255),I2255+ROW()/10000000,"")</f>
        <v/>
      </c>
      <c r="Q2255">
        <f>IF(AND(ISNUMBER(P2255),ISNUMBER(A2255)),IF(AND(A2255&gt;=Dashboard!$Q$3,A2255&lt;=Dashboard!$Q$4,OR(J2255&lt;&gt;"Yes",Dashboard!$Q$15="Yes")),P2255,""),"")</f>
        <v/>
      </c>
    </row>
    <row r="2256">
      <c r="A2256" s="47" t="n"/>
      <c r="B2256" s="48" t="n"/>
      <c r="C2256" s="48" t="n"/>
      <c r="D2256" s="48" t="n"/>
      <c r="E2256" s="48" t="n"/>
      <c r="F2256" s="48" t="n"/>
      <c r="G2256" s="48" t="n"/>
      <c r="H2256" s="48" t="n"/>
      <c r="I2256" s="49" t="n"/>
      <c r="J2256" s="50" t="n"/>
      <c r="K2256" s="48" t="n"/>
      <c r="L2256" s="51">
        <f>IF(A2256="","",DATE(YEAR(A2256),MONTH(A2256),1))</f>
        <v/>
      </c>
      <c r="M2256" s="52">
        <f>IF(OR(A2256="",NOT(ISNUMBER(I2256))),"",IF(G2256=Lists!$B$5,I2256/2,IF(G2256=Lists!$B$6,I2256,0)))</f>
        <v/>
      </c>
      <c r="N2256" s="52">
        <f>IF(OR(A2256="",NOT(ISNUMBER(I2256))),"",IF(G2256=Lists!$B$5,I2256/2,IF(G2256=Lists!$B$7,I2256,0)))</f>
        <v/>
      </c>
      <c r="O2256" s="53">
        <f>IF(COUNTA(A2256:K2256)=0,"",IF(OR(A2256="",B2256="",C2256="",D2256="",E2256="",F2256="",G2256="",NOT(ISNUMBER(I2256))),"Incomplete",IF(COUNTIF(Lists!$H$4:$AA$4,C2256)=0,"Check category",IF(COUNTIF(INDEX(Lists!$H$6:$AA$45,0,MATCH(C2256,Lists!$H$4:$AA$4,0)),D2256)=0,"Check sub-category","OK"))))</f>
        <v/>
      </c>
      <c r="P2256">
        <f>IF(ISNUMBER(I2256),I2256+ROW()/10000000,"")</f>
        <v/>
      </c>
      <c r="Q2256">
        <f>IF(AND(ISNUMBER(P2256),ISNUMBER(A2256)),IF(AND(A2256&gt;=Dashboard!$Q$3,A2256&lt;=Dashboard!$Q$4,OR(J2256&lt;&gt;"Yes",Dashboard!$Q$15="Yes")),P2256,""),"")</f>
        <v/>
      </c>
    </row>
    <row r="2257">
      <c r="A2257" s="47" t="n"/>
      <c r="B2257" s="48" t="n"/>
      <c r="C2257" s="48" t="n"/>
      <c r="D2257" s="48" t="n"/>
      <c r="E2257" s="48" t="n"/>
      <c r="F2257" s="48" t="n"/>
      <c r="G2257" s="48" t="n"/>
      <c r="H2257" s="48" t="n"/>
      <c r="I2257" s="49" t="n"/>
      <c r="J2257" s="50" t="n"/>
      <c r="K2257" s="48" t="n"/>
      <c r="L2257" s="51">
        <f>IF(A2257="","",DATE(YEAR(A2257),MONTH(A2257),1))</f>
        <v/>
      </c>
      <c r="M2257" s="52">
        <f>IF(OR(A2257="",NOT(ISNUMBER(I2257))),"",IF(G2257=Lists!$B$5,I2257/2,IF(G2257=Lists!$B$6,I2257,0)))</f>
        <v/>
      </c>
      <c r="N2257" s="52">
        <f>IF(OR(A2257="",NOT(ISNUMBER(I2257))),"",IF(G2257=Lists!$B$5,I2257/2,IF(G2257=Lists!$B$7,I2257,0)))</f>
        <v/>
      </c>
      <c r="O2257" s="53">
        <f>IF(COUNTA(A2257:K2257)=0,"",IF(OR(A2257="",B2257="",C2257="",D2257="",E2257="",F2257="",G2257="",NOT(ISNUMBER(I2257))),"Incomplete",IF(COUNTIF(Lists!$H$4:$AA$4,C2257)=0,"Check category",IF(COUNTIF(INDEX(Lists!$H$6:$AA$45,0,MATCH(C2257,Lists!$H$4:$AA$4,0)),D2257)=0,"Check sub-category","OK"))))</f>
        <v/>
      </c>
      <c r="P2257">
        <f>IF(ISNUMBER(I2257),I2257+ROW()/10000000,"")</f>
        <v/>
      </c>
      <c r="Q2257">
        <f>IF(AND(ISNUMBER(P2257),ISNUMBER(A2257)),IF(AND(A2257&gt;=Dashboard!$Q$3,A2257&lt;=Dashboard!$Q$4,OR(J2257&lt;&gt;"Yes",Dashboard!$Q$15="Yes")),P2257,""),"")</f>
        <v/>
      </c>
    </row>
    <row r="2258">
      <c r="A2258" s="47" t="n"/>
      <c r="B2258" s="48" t="n"/>
      <c r="C2258" s="48" t="n"/>
      <c r="D2258" s="48" t="n"/>
      <c r="E2258" s="48" t="n"/>
      <c r="F2258" s="48" t="n"/>
      <c r="G2258" s="48" t="n"/>
      <c r="H2258" s="48" t="n"/>
      <c r="I2258" s="49" t="n"/>
      <c r="J2258" s="50" t="n"/>
      <c r="K2258" s="48" t="n"/>
      <c r="L2258" s="51">
        <f>IF(A2258="","",DATE(YEAR(A2258),MONTH(A2258),1))</f>
        <v/>
      </c>
      <c r="M2258" s="52">
        <f>IF(OR(A2258="",NOT(ISNUMBER(I2258))),"",IF(G2258=Lists!$B$5,I2258/2,IF(G2258=Lists!$B$6,I2258,0)))</f>
        <v/>
      </c>
      <c r="N2258" s="52">
        <f>IF(OR(A2258="",NOT(ISNUMBER(I2258))),"",IF(G2258=Lists!$B$5,I2258/2,IF(G2258=Lists!$B$7,I2258,0)))</f>
        <v/>
      </c>
      <c r="O2258" s="53">
        <f>IF(COUNTA(A2258:K2258)=0,"",IF(OR(A2258="",B2258="",C2258="",D2258="",E2258="",F2258="",G2258="",NOT(ISNUMBER(I2258))),"Incomplete",IF(COUNTIF(Lists!$H$4:$AA$4,C2258)=0,"Check category",IF(COUNTIF(INDEX(Lists!$H$6:$AA$45,0,MATCH(C2258,Lists!$H$4:$AA$4,0)),D2258)=0,"Check sub-category","OK"))))</f>
        <v/>
      </c>
      <c r="P2258">
        <f>IF(ISNUMBER(I2258),I2258+ROW()/10000000,"")</f>
        <v/>
      </c>
      <c r="Q2258">
        <f>IF(AND(ISNUMBER(P2258),ISNUMBER(A2258)),IF(AND(A2258&gt;=Dashboard!$Q$3,A2258&lt;=Dashboard!$Q$4,OR(J2258&lt;&gt;"Yes",Dashboard!$Q$15="Yes")),P2258,""),"")</f>
        <v/>
      </c>
    </row>
    <row r="2259">
      <c r="A2259" s="47" t="n"/>
      <c r="B2259" s="48" t="n"/>
      <c r="C2259" s="48" t="n"/>
      <c r="D2259" s="48" t="n"/>
      <c r="E2259" s="48" t="n"/>
      <c r="F2259" s="48" t="n"/>
      <c r="G2259" s="48" t="n"/>
      <c r="H2259" s="48" t="n"/>
      <c r="I2259" s="49" t="n"/>
      <c r="J2259" s="50" t="n"/>
      <c r="K2259" s="48" t="n"/>
      <c r="L2259" s="51">
        <f>IF(A2259="","",DATE(YEAR(A2259),MONTH(A2259),1))</f>
        <v/>
      </c>
      <c r="M2259" s="52">
        <f>IF(OR(A2259="",NOT(ISNUMBER(I2259))),"",IF(G2259=Lists!$B$5,I2259/2,IF(G2259=Lists!$B$6,I2259,0)))</f>
        <v/>
      </c>
      <c r="N2259" s="52">
        <f>IF(OR(A2259="",NOT(ISNUMBER(I2259))),"",IF(G2259=Lists!$B$5,I2259/2,IF(G2259=Lists!$B$7,I2259,0)))</f>
        <v/>
      </c>
      <c r="O2259" s="53">
        <f>IF(COUNTA(A2259:K2259)=0,"",IF(OR(A2259="",B2259="",C2259="",D2259="",E2259="",F2259="",G2259="",NOT(ISNUMBER(I2259))),"Incomplete",IF(COUNTIF(Lists!$H$4:$AA$4,C2259)=0,"Check category",IF(COUNTIF(INDEX(Lists!$H$6:$AA$45,0,MATCH(C2259,Lists!$H$4:$AA$4,0)),D2259)=0,"Check sub-category","OK"))))</f>
        <v/>
      </c>
      <c r="P2259">
        <f>IF(ISNUMBER(I2259),I2259+ROW()/10000000,"")</f>
        <v/>
      </c>
      <c r="Q2259">
        <f>IF(AND(ISNUMBER(P2259),ISNUMBER(A2259)),IF(AND(A2259&gt;=Dashboard!$Q$3,A2259&lt;=Dashboard!$Q$4,OR(J2259&lt;&gt;"Yes",Dashboard!$Q$15="Yes")),P2259,""),"")</f>
        <v/>
      </c>
    </row>
    <row r="2260">
      <c r="A2260" s="47" t="n"/>
      <c r="B2260" s="48" t="n"/>
      <c r="C2260" s="48" t="n"/>
      <c r="D2260" s="48" t="n"/>
      <c r="E2260" s="48" t="n"/>
      <c r="F2260" s="48" t="n"/>
      <c r="G2260" s="48" t="n"/>
      <c r="H2260" s="48" t="n"/>
      <c r="I2260" s="49" t="n"/>
      <c r="J2260" s="50" t="n"/>
      <c r="K2260" s="48" t="n"/>
      <c r="L2260" s="51">
        <f>IF(A2260="","",DATE(YEAR(A2260),MONTH(A2260),1))</f>
        <v/>
      </c>
      <c r="M2260" s="52">
        <f>IF(OR(A2260="",NOT(ISNUMBER(I2260))),"",IF(G2260=Lists!$B$5,I2260/2,IF(G2260=Lists!$B$6,I2260,0)))</f>
        <v/>
      </c>
      <c r="N2260" s="52">
        <f>IF(OR(A2260="",NOT(ISNUMBER(I2260))),"",IF(G2260=Lists!$B$5,I2260/2,IF(G2260=Lists!$B$7,I2260,0)))</f>
        <v/>
      </c>
      <c r="O2260" s="53">
        <f>IF(COUNTA(A2260:K2260)=0,"",IF(OR(A2260="",B2260="",C2260="",D2260="",E2260="",F2260="",G2260="",NOT(ISNUMBER(I2260))),"Incomplete",IF(COUNTIF(Lists!$H$4:$AA$4,C2260)=0,"Check category",IF(COUNTIF(INDEX(Lists!$H$6:$AA$45,0,MATCH(C2260,Lists!$H$4:$AA$4,0)),D2260)=0,"Check sub-category","OK"))))</f>
        <v/>
      </c>
      <c r="P2260">
        <f>IF(ISNUMBER(I2260),I2260+ROW()/10000000,"")</f>
        <v/>
      </c>
      <c r="Q2260">
        <f>IF(AND(ISNUMBER(P2260),ISNUMBER(A2260)),IF(AND(A2260&gt;=Dashboard!$Q$3,A2260&lt;=Dashboard!$Q$4,OR(J2260&lt;&gt;"Yes",Dashboard!$Q$15="Yes")),P2260,""),"")</f>
        <v/>
      </c>
    </row>
    <row r="2261">
      <c r="A2261" s="47" t="n"/>
      <c r="B2261" s="48" t="n"/>
      <c r="C2261" s="48" t="n"/>
      <c r="D2261" s="48" t="n"/>
      <c r="E2261" s="48" t="n"/>
      <c r="F2261" s="48" t="n"/>
      <c r="G2261" s="48" t="n"/>
      <c r="H2261" s="48" t="n"/>
      <c r="I2261" s="49" t="n"/>
      <c r="J2261" s="50" t="n"/>
      <c r="K2261" s="48" t="n"/>
      <c r="L2261" s="51">
        <f>IF(A2261="","",DATE(YEAR(A2261),MONTH(A2261),1))</f>
        <v/>
      </c>
      <c r="M2261" s="52">
        <f>IF(OR(A2261="",NOT(ISNUMBER(I2261))),"",IF(G2261=Lists!$B$5,I2261/2,IF(G2261=Lists!$B$6,I2261,0)))</f>
        <v/>
      </c>
      <c r="N2261" s="52">
        <f>IF(OR(A2261="",NOT(ISNUMBER(I2261))),"",IF(G2261=Lists!$B$5,I2261/2,IF(G2261=Lists!$B$7,I2261,0)))</f>
        <v/>
      </c>
      <c r="O2261" s="53">
        <f>IF(COUNTA(A2261:K2261)=0,"",IF(OR(A2261="",B2261="",C2261="",D2261="",E2261="",F2261="",G2261="",NOT(ISNUMBER(I2261))),"Incomplete",IF(COUNTIF(Lists!$H$4:$AA$4,C2261)=0,"Check category",IF(COUNTIF(INDEX(Lists!$H$6:$AA$45,0,MATCH(C2261,Lists!$H$4:$AA$4,0)),D2261)=0,"Check sub-category","OK"))))</f>
        <v/>
      </c>
      <c r="P2261">
        <f>IF(ISNUMBER(I2261),I2261+ROW()/10000000,"")</f>
        <v/>
      </c>
      <c r="Q2261">
        <f>IF(AND(ISNUMBER(P2261),ISNUMBER(A2261)),IF(AND(A2261&gt;=Dashboard!$Q$3,A2261&lt;=Dashboard!$Q$4,OR(J2261&lt;&gt;"Yes",Dashboard!$Q$15="Yes")),P2261,""),"")</f>
        <v/>
      </c>
    </row>
    <row r="2262">
      <c r="A2262" s="47" t="n"/>
      <c r="B2262" s="48" t="n"/>
      <c r="C2262" s="48" t="n"/>
      <c r="D2262" s="48" t="n"/>
      <c r="E2262" s="48" t="n"/>
      <c r="F2262" s="48" t="n"/>
      <c r="G2262" s="48" t="n"/>
      <c r="H2262" s="48" t="n"/>
      <c r="I2262" s="49" t="n"/>
      <c r="J2262" s="50" t="n"/>
      <c r="K2262" s="48" t="n"/>
      <c r="L2262" s="51">
        <f>IF(A2262="","",DATE(YEAR(A2262),MONTH(A2262),1))</f>
        <v/>
      </c>
      <c r="M2262" s="52">
        <f>IF(OR(A2262="",NOT(ISNUMBER(I2262))),"",IF(G2262=Lists!$B$5,I2262/2,IF(G2262=Lists!$B$6,I2262,0)))</f>
        <v/>
      </c>
      <c r="N2262" s="52">
        <f>IF(OR(A2262="",NOT(ISNUMBER(I2262))),"",IF(G2262=Lists!$B$5,I2262/2,IF(G2262=Lists!$B$7,I2262,0)))</f>
        <v/>
      </c>
      <c r="O2262" s="53">
        <f>IF(COUNTA(A2262:K2262)=0,"",IF(OR(A2262="",B2262="",C2262="",D2262="",E2262="",F2262="",G2262="",NOT(ISNUMBER(I2262))),"Incomplete",IF(COUNTIF(Lists!$H$4:$AA$4,C2262)=0,"Check category",IF(COUNTIF(INDEX(Lists!$H$6:$AA$45,0,MATCH(C2262,Lists!$H$4:$AA$4,0)),D2262)=0,"Check sub-category","OK"))))</f>
        <v/>
      </c>
      <c r="P2262">
        <f>IF(ISNUMBER(I2262),I2262+ROW()/10000000,"")</f>
        <v/>
      </c>
      <c r="Q2262">
        <f>IF(AND(ISNUMBER(P2262),ISNUMBER(A2262)),IF(AND(A2262&gt;=Dashboard!$Q$3,A2262&lt;=Dashboard!$Q$4,OR(J2262&lt;&gt;"Yes",Dashboard!$Q$15="Yes")),P2262,""),"")</f>
        <v/>
      </c>
    </row>
    <row r="2263">
      <c r="A2263" s="47" t="n"/>
      <c r="B2263" s="48" t="n"/>
      <c r="C2263" s="48" t="n"/>
      <c r="D2263" s="48" t="n"/>
      <c r="E2263" s="48" t="n"/>
      <c r="F2263" s="48" t="n"/>
      <c r="G2263" s="48" t="n"/>
      <c r="H2263" s="48" t="n"/>
      <c r="I2263" s="49" t="n"/>
      <c r="J2263" s="50" t="n"/>
      <c r="K2263" s="48" t="n"/>
      <c r="L2263" s="51">
        <f>IF(A2263="","",DATE(YEAR(A2263),MONTH(A2263),1))</f>
        <v/>
      </c>
      <c r="M2263" s="52">
        <f>IF(OR(A2263="",NOT(ISNUMBER(I2263))),"",IF(G2263=Lists!$B$5,I2263/2,IF(G2263=Lists!$B$6,I2263,0)))</f>
        <v/>
      </c>
      <c r="N2263" s="52">
        <f>IF(OR(A2263="",NOT(ISNUMBER(I2263))),"",IF(G2263=Lists!$B$5,I2263/2,IF(G2263=Lists!$B$7,I2263,0)))</f>
        <v/>
      </c>
      <c r="O2263" s="53">
        <f>IF(COUNTA(A2263:K2263)=0,"",IF(OR(A2263="",B2263="",C2263="",D2263="",E2263="",F2263="",G2263="",NOT(ISNUMBER(I2263))),"Incomplete",IF(COUNTIF(Lists!$H$4:$AA$4,C2263)=0,"Check category",IF(COUNTIF(INDEX(Lists!$H$6:$AA$45,0,MATCH(C2263,Lists!$H$4:$AA$4,0)),D2263)=0,"Check sub-category","OK"))))</f>
        <v/>
      </c>
      <c r="P2263">
        <f>IF(ISNUMBER(I2263),I2263+ROW()/10000000,"")</f>
        <v/>
      </c>
      <c r="Q2263">
        <f>IF(AND(ISNUMBER(P2263),ISNUMBER(A2263)),IF(AND(A2263&gt;=Dashboard!$Q$3,A2263&lt;=Dashboard!$Q$4,OR(J2263&lt;&gt;"Yes",Dashboard!$Q$15="Yes")),P2263,""),"")</f>
        <v/>
      </c>
    </row>
    <row r="2264">
      <c r="A2264" s="47" t="n"/>
      <c r="B2264" s="48" t="n"/>
      <c r="C2264" s="48" t="n"/>
      <c r="D2264" s="48" t="n"/>
      <c r="E2264" s="48" t="n"/>
      <c r="F2264" s="48" t="n"/>
      <c r="G2264" s="48" t="n"/>
      <c r="H2264" s="48" t="n"/>
      <c r="I2264" s="49" t="n"/>
      <c r="J2264" s="50" t="n"/>
      <c r="K2264" s="48" t="n"/>
      <c r="L2264" s="51">
        <f>IF(A2264="","",DATE(YEAR(A2264),MONTH(A2264),1))</f>
        <v/>
      </c>
      <c r="M2264" s="52">
        <f>IF(OR(A2264="",NOT(ISNUMBER(I2264))),"",IF(G2264=Lists!$B$5,I2264/2,IF(G2264=Lists!$B$6,I2264,0)))</f>
        <v/>
      </c>
      <c r="N2264" s="52">
        <f>IF(OR(A2264="",NOT(ISNUMBER(I2264))),"",IF(G2264=Lists!$B$5,I2264/2,IF(G2264=Lists!$B$7,I2264,0)))</f>
        <v/>
      </c>
      <c r="O2264" s="53">
        <f>IF(COUNTA(A2264:K2264)=0,"",IF(OR(A2264="",B2264="",C2264="",D2264="",E2264="",F2264="",G2264="",NOT(ISNUMBER(I2264))),"Incomplete",IF(COUNTIF(Lists!$H$4:$AA$4,C2264)=0,"Check category",IF(COUNTIF(INDEX(Lists!$H$6:$AA$45,0,MATCH(C2264,Lists!$H$4:$AA$4,0)),D2264)=0,"Check sub-category","OK"))))</f>
        <v/>
      </c>
      <c r="P2264">
        <f>IF(ISNUMBER(I2264),I2264+ROW()/10000000,"")</f>
        <v/>
      </c>
      <c r="Q2264">
        <f>IF(AND(ISNUMBER(P2264),ISNUMBER(A2264)),IF(AND(A2264&gt;=Dashboard!$Q$3,A2264&lt;=Dashboard!$Q$4,OR(J2264&lt;&gt;"Yes",Dashboard!$Q$15="Yes")),P2264,""),"")</f>
        <v/>
      </c>
    </row>
    <row r="2265">
      <c r="A2265" s="47" t="n"/>
      <c r="B2265" s="48" t="n"/>
      <c r="C2265" s="48" t="n"/>
      <c r="D2265" s="48" t="n"/>
      <c r="E2265" s="48" t="n"/>
      <c r="F2265" s="48" t="n"/>
      <c r="G2265" s="48" t="n"/>
      <c r="H2265" s="48" t="n"/>
      <c r="I2265" s="49" t="n"/>
      <c r="J2265" s="50" t="n"/>
      <c r="K2265" s="48" t="n"/>
      <c r="L2265" s="51">
        <f>IF(A2265="","",DATE(YEAR(A2265),MONTH(A2265),1))</f>
        <v/>
      </c>
      <c r="M2265" s="52">
        <f>IF(OR(A2265="",NOT(ISNUMBER(I2265))),"",IF(G2265=Lists!$B$5,I2265/2,IF(G2265=Lists!$B$6,I2265,0)))</f>
        <v/>
      </c>
      <c r="N2265" s="52">
        <f>IF(OR(A2265="",NOT(ISNUMBER(I2265))),"",IF(G2265=Lists!$B$5,I2265/2,IF(G2265=Lists!$B$7,I2265,0)))</f>
        <v/>
      </c>
      <c r="O2265" s="53">
        <f>IF(COUNTA(A2265:K2265)=0,"",IF(OR(A2265="",B2265="",C2265="",D2265="",E2265="",F2265="",G2265="",NOT(ISNUMBER(I2265))),"Incomplete",IF(COUNTIF(Lists!$H$4:$AA$4,C2265)=0,"Check category",IF(COUNTIF(INDEX(Lists!$H$6:$AA$45,0,MATCH(C2265,Lists!$H$4:$AA$4,0)),D2265)=0,"Check sub-category","OK"))))</f>
        <v/>
      </c>
      <c r="P2265">
        <f>IF(ISNUMBER(I2265),I2265+ROW()/10000000,"")</f>
        <v/>
      </c>
      <c r="Q2265">
        <f>IF(AND(ISNUMBER(P2265),ISNUMBER(A2265)),IF(AND(A2265&gt;=Dashboard!$Q$3,A2265&lt;=Dashboard!$Q$4,OR(J2265&lt;&gt;"Yes",Dashboard!$Q$15="Yes")),P2265,""),"")</f>
        <v/>
      </c>
    </row>
    <row r="2266">
      <c r="A2266" s="47" t="n"/>
      <c r="B2266" s="48" t="n"/>
      <c r="C2266" s="48" t="n"/>
      <c r="D2266" s="48" t="n"/>
      <c r="E2266" s="48" t="n"/>
      <c r="F2266" s="48" t="n"/>
      <c r="G2266" s="48" t="n"/>
      <c r="H2266" s="48" t="n"/>
      <c r="I2266" s="49" t="n"/>
      <c r="J2266" s="50" t="n"/>
      <c r="K2266" s="48" t="n"/>
      <c r="L2266" s="51">
        <f>IF(A2266="","",DATE(YEAR(A2266),MONTH(A2266),1))</f>
        <v/>
      </c>
      <c r="M2266" s="52">
        <f>IF(OR(A2266="",NOT(ISNUMBER(I2266))),"",IF(G2266=Lists!$B$5,I2266/2,IF(G2266=Lists!$B$6,I2266,0)))</f>
        <v/>
      </c>
      <c r="N2266" s="52">
        <f>IF(OR(A2266="",NOT(ISNUMBER(I2266))),"",IF(G2266=Lists!$B$5,I2266/2,IF(G2266=Lists!$B$7,I2266,0)))</f>
        <v/>
      </c>
      <c r="O2266" s="53">
        <f>IF(COUNTA(A2266:K2266)=0,"",IF(OR(A2266="",B2266="",C2266="",D2266="",E2266="",F2266="",G2266="",NOT(ISNUMBER(I2266))),"Incomplete",IF(COUNTIF(Lists!$H$4:$AA$4,C2266)=0,"Check category",IF(COUNTIF(INDEX(Lists!$H$6:$AA$45,0,MATCH(C2266,Lists!$H$4:$AA$4,0)),D2266)=0,"Check sub-category","OK"))))</f>
        <v/>
      </c>
      <c r="P2266">
        <f>IF(ISNUMBER(I2266),I2266+ROW()/10000000,"")</f>
        <v/>
      </c>
      <c r="Q2266">
        <f>IF(AND(ISNUMBER(P2266),ISNUMBER(A2266)),IF(AND(A2266&gt;=Dashboard!$Q$3,A2266&lt;=Dashboard!$Q$4,OR(J2266&lt;&gt;"Yes",Dashboard!$Q$15="Yes")),P2266,""),"")</f>
        <v/>
      </c>
    </row>
    <row r="2267">
      <c r="A2267" s="47" t="n"/>
      <c r="B2267" s="48" t="n"/>
      <c r="C2267" s="48" t="n"/>
      <c r="D2267" s="48" t="n"/>
      <c r="E2267" s="48" t="n"/>
      <c r="F2267" s="48" t="n"/>
      <c r="G2267" s="48" t="n"/>
      <c r="H2267" s="48" t="n"/>
      <c r="I2267" s="49" t="n"/>
      <c r="J2267" s="50" t="n"/>
      <c r="K2267" s="48" t="n"/>
      <c r="L2267" s="51">
        <f>IF(A2267="","",DATE(YEAR(A2267),MONTH(A2267),1))</f>
        <v/>
      </c>
      <c r="M2267" s="52">
        <f>IF(OR(A2267="",NOT(ISNUMBER(I2267))),"",IF(G2267=Lists!$B$5,I2267/2,IF(G2267=Lists!$B$6,I2267,0)))</f>
        <v/>
      </c>
      <c r="N2267" s="52">
        <f>IF(OR(A2267="",NOT(ISNUMBER(I2267))),"",IF(G2267=Lists!$B$5,I2267/2,IF(G2267=Lists!$B$7,I2267,0)))</f>
        <v/>
      </c>
      <c r="O2267" s="53">
        <f>IF(COUNTA(A2267:K2267)=0,"",IF(OR(A2267="",B2267="",C2267="",D2267="",E2267="",F2267="",G2267="",NOT(ISNUMBER(I2267))),"Incomplete",IF(COUNTIF(Lists!$H$4:$AA$4,C2267)=0,"Check category",IF(COUNTIF(INDEX(Lists!$H$6:$AA$45,0,MATCH(C2267,Lists!$H$4:$AA$4,0)),D2267)=0,"Check sub-category","OK"))))</f>
        <v/>
      </c>
      <c r="P2267">
        <f>IF(ISNUMBER(I2267),I2267+ROW()/10000000,"")</f>
        <v/>
      </c>
      <c r="Q2267">
        <f>IF(AND(ISNUMBER(P2267),ISNUMBER(A2267)),IF(AND(A2267&gt;=Dashboard!$Q$3,A2267&lt;=Dashboard!$Q$4,OR(J2267&lt;&gt;"Yes",Dashboard!$Q$15="Yes")),P2267,""),"")</f>
        <v/>
      </c>
    </row>
    <row r="2268">
      <c r="A2268" s="47" t="n"/>
      <c r="B2268" s="48" t="n"/>
      <c r="C2268" s="48" t="n"/>
      <c r="D2268" s="48" t="n"/>
      <c r="E2268" s="48" t="n"/>
      <c r="F2268" s="48" t="n"/>
      <c r="G2268" s="48" t="n"/>
      <c r="H2268" s="48" t="n"/>
      <c r="I2268" s="49" t="n"/>
      <c r="J2268" s="50" t="n"/>
      <c r="K2268" s="48" t="n"/>
      <c r="L2268" s="51">
        <f>IF(A2268="","",DATE(YEAR(A2268),MONTH(A2268),1))</f>
        <v/>
      </c>
      <c r="M2268" s="52">
        <f>IF(OR(A2268="",NOT(ISNUMBER(I2268))),"",IF(G2268=Lists!$B$5,I2268/2,IF(G2268=Lists!$B$6,I2268,0)))</f>
        <v/>
      </c>
      <c r="N2268" s="52">
        <f>IF(OR(A2268="",NOT(ISNUMBER(I2268))),"",IF(G2268=Lists!$B$5,I2268/2,IF(G2268=Lists!$B$7,I2268,0)))</f>
        <v/>
      </c>
      <c r="O2268" s="53">
        <f>IF(COUNTA(A2268:K2268)=0,"",IF(OR(A2268="",B2268="",C2268="",D2268="",E2268="",F2268="",G2268="",NOT(ISNUMBER(I2268))),"Incomplete",IF(COUNTIF(Lists!$H$4:$AA$4,C2268)=0,"Check category",IF(COUNTIF(INDEX(Lists!$H$6:$AA$45,0,MATCH(C2268,Lists!$H$4:$AA$4,0)),D2268)=0,"Check sub-category","OK"))))</f>
        <v/>
      </c>
      <c r="P2268">
        <f>IF(ISNUMBER(I2268),I2268+ROW()/10000000,"")</f>
        <v/>
      </c>
      <c r="Q2268">
        <f>IF(AND(ISNUMBER(P2268),ISNUMBER(A2268)),IF(AND(A2268&gt;=Dashboard!$Q$3,A2268&lt;=Dashboard!$Q$4,OR(J2268&lt;&gt;"Yes",Dashboard!$Q$15="Yes")),P2268,""),"")</f>
        <v/>
      </c>
    </row>
    <row r="2269">
      <c r="A2269" s="47" t="n"/>
      <c r="B2269" s="48" t="n"/>
      <c r="C2269" s="48" t="n"/>
      <c r="D2269" s="48" t="n"/>
      <c r="E2269" s="48" t="n"/>
      <c r="F2269" s="48" t="n"/>
      <c r="G2269" s="48" t="n"/>
      <c r="H2269" s="48" t="n"/>
      <c r="I2269" s="49" t="n"/>
      <c r="J2269" s="50" t="n"/>
      <c r="K2269" s="48" t="n"/>
      <c r="L2269" s="51">
        <f>IF(A2269="","",DATE(YEAR(A2269),MONTH(A2269),1))</f>
        <v/>
      </c>
      <c r="M2269" s="52">
        <f>IF(OR(A2269="",NOT(ISNUMBER(I2269))),"",IF(G2269=Lists!$B$5,I2269/2,IF(G2269=Lists!$B$6,I2269,0)))</f>
        <v/>
      </c>
      <c r="N2269" s="52">
        <f>IF(OR(A2269="",NOT(ISNUMBER(I2269))),"",IF(G2269=Lists!$B$5,I2269/2,IF(G2269=Lists!$B$7,I2269,0)))</f>
        <v/>
      </c>
      <c r="O2269" s="53">
        <f>IF(COUNTA(A2269:K2269)=0,"",IF(OR(A2269="",B2269="",C2269="",D2269="",E2269="",F2269="",G2269="",NOT(ISNUMBER(I2269))),"Incomplete",IF(COUNTIF(Lists!$H$4:$AA$4,C2269)=0,"Check category",IF(COUNTIF(INDEX(Lists!$H$6:$AA$45,0,MATCH(C2269,Lists!$H$4:$AA$4,0)),D2269)=0,"Check sub-category","OK"))))</f>
        <v/>
      </c>
      <c r="P2269">
        <f>IF(ISNUMBER(I2269),I2269+ROW()/10000000,"")</f>
        <v/>
      </c>
      <c r="Q2269">
        <f>IF(AND(ISNUMBER(P2269),ISNUMBER(A2269)),IF(AND(A2269&gt;=Dashboard!$Q$3,A2269&lt;=Dashboard!$Q$4,OR(J2269&lt;&gt;"Yes",Dashboard!$Q$15="Yes")),P2269,""),"")</f>
        <v/>
      </c>
    </row>
    <row r="2270">
      <c r="A2270" s="47" t="n"/>
      <c r="B2270" s="48" t="n"/>
      <c r="C2270" s="48" t="n"/>
      <c r="D2270" s="48" t="n"/>
      <c r="E2270" s="48" t="n"/>
      <c r="F2270" s="48" t="n"/>
      <c r="G2270" s="48" t="n"/>
      <c r="H2270" s="48" t="n"/>
      <c r="I2270" s="49" t="n"/>
      <c r="J2270" s="50" t="n"/>
      <c r="K2270" s="48" t="n"/>
      <c r="L2270" s="51">
        <f>IF(A2270="","",DATE(YEAR(A2270),MONTH(A2270),1))</f>
        <v/>
      </c>
      <c r="M2270" s="52">
        <f>IF(OR(A2270="",NOT(ISNUMBER(I2270))),"",IF(G2270=Lists!$B$5,I2270/2,IF(G2270=Lists!$B$6,I2270,0)))</f>
        <v/>
      </c>
      <c r="N2270" s="52">
        <f>IF(OR(A2270="",NOT(ISNUMBER(I2270))),"",IF(G2270=Lists!$B$5,I2270/2,IF(G2270=Lists!$B$7,I2270,0)))</f>
        <v/>
      </c>
      <c r="O2270" s="53">
        <f>IF(COUNTA(A2270:K2270)=0,"",IF(OR(A2270="",B2270="",C2270="",D2270="",E2270="",F2270="",G2270="",NOT(ISNUMBER(I2270))),"Incomplete",IF(COUNTIF(Lists!$H$4:$AA$4,C2270)=0,"Check category",IF(COUNTIF(INDEX(Lists!$H$6:$AA$45,0,MATCH(C2270,Lists!$H$4:$AA$4,0)),D2270)=0,"Check sub-category","OK"))))</f>
        <v/>
      </c>
      <c r="P2270">
        <f>IF(ISNUMBER(I2270),I2270+ROW()/10000000,"")</f>
        <v/>
      </c>
      <c r="Q2270">
        <f>IF(AND(ISNUMBER(P2270),ISNUMBER(A2270)),IF(AND(A2270&gt;=Dashboard!$Q$3,A2270&lt;=Dashboard!$Q$4,OR(J2270&lt;&gt;"Yes",Dashboard!$Q$15="Yes")),P2270,""),"")</f>
        <v/>
      </c>
    </row>
    <row r="2271">
      <c r="A2271" s="47" t="n"/>
      <c r="B2271" s="48" t="n"/>
      <c r="C2271" s="48" t="n"/>
      <c r="D2271" s="48" t="n"/>
      <c r="E2271" s="48" t="n"/>
      <c r="F2271" s="48" t="n"/>
      <c r="G2271" s="48" t="n"/>
      <c r="H2271" s="48" t="n"/>
      <c r="I2271" s="49" t="n"/>
      <c r="J2271" s="50" t="n"/>
      <c r="K2271" s="48" t="n"/>
      <c r="L2271" s="51">
        <f>IF(A2271="","",DATE(YEAR(A2271),MONTH(A2271),1))</f>
        <v/>
      </c>
      <c r="M2271" s="52">
        <f>IF(OR(A2271="",NOT(ISNUMBER(I2271))),"",IF(G2271=Lists!$B$5,I2271/2,IF(G2271=Lists!$B$6,I2271,0)))</f>
        <v/>
      </c>
      <c r="N2271" s="52">
        <f>IF(OR(A2271="",NOT(ISNUMBER(I2271))),"",IF(G2271=Lists!$B$5,I2271/2,IF(G2271=Lists!$B$7,I2271,0)))</f>
        <v/>
      </c>
      <c r="O2271" s="53">
        <f>IF(COUNTA(A2271:K2271)=0,"",IF(OR(A2271="",B2271="",C2271="",D2271="",E2271="",F2271="",G2271="",NOT(ISNUMBER(I2271))),"Incomplete",IF(COUNTIF(Lists!$H$4:$AA$4,C2271)=0,"Check category",IF(COUNTIF(INDEX(Lists!$H$6:$AA$45,0,MATCH(C2271,Lists!$H$4:$AA$4,0)),D2271)=0,"Check sub-category","OK"))))</f>
        <v/>
      </c>
      <c r="P2271">
        <f>IF(ISNUMBER(I2271),I2271+ROW()/10000000,"")</f>
        <v/>
      </c>
      <c r="Q2271">
        <f>IF(AND(ISNUMBER(P2271),ISNUMBER(A2271)),IF(AND(A2271&gt;=Dashboard!$Q$3,A2271&lt;=Dashboard!$Q$4,OR(J2271&lt;&gt;"Yes",Dashboard!$Q$15="Yes")),P2271,""),"")</f>
        <v/>
      </c>
    </row>
    <row r="2272">
      <c r="A2272" s="47" t="n"/>
      <c r="B2272" s="48" t="n"/>
      <c r="C2272" s="48" t="n"/>
      <c r="D2272" s="48" t="n"/>
      <c r="E2272" s="48" t="n"/>
      <c r="F2272" s="48" t="n"/>
      <c r="G2272" s="48" t="n"/>
      <c r="H2272" s="48" t="n"/>
      <c r="I2272" s="49" t="n"/>
      <c r="J2272" s="50" t="n"/>
      <c r="K2272" s="48" t="n"/>
      <c r="L2272" s="51">
        <f>IF(A2272="","",DATE(YEAR(A2272),MONTH(A2272),1))</f>
        <v/>
      </c>
      <c r="M2272" s="52">
        <f>IF(OR(A2272="",NOT(ISNUMBER(I2272))),"",IF(G2272=Lists!$B$5,I2272/2,IF(G2272=Lists!$B$6,I2272,0)))</f>
        <v/>
      </c>
      <c r="N2272" s="52">
        <f>IF(OR(A2272="",NOT(ISNUMBER(I2272))),"",IF(G2272=Lists!$B$5,I2272/2,IF(G2272=Lists!$B$7,I2272,0)))</f>
        <v/>
      </c>
      <c r="O2272" s="53">
        <f>IF(COUNTA(A2272:K2272)=0,"",IF(OR(A2272="",B2272="",C2272="",D2272="",E2272="",F2272="",G2272="",NOT(ISNUMBER(I2272))),"Incomplete",IF(COUNTIF(Lists!$H$4:$AA$4,C2272)=0,"Check category",IF(COUNTIF(INDEX(Lists!$H$6:$AA$45,0,MATCH(C2272,Lists!$H$4:$AA$4,0)),D2272)=0,"Check sub-category","OK"))))</f>
        <v/>
      </c>
      <c r="P2272">
        <f>IF(ISNUMBER(I2272),I2272+ROW()/10000000,"")</f>
        <v/>
      </c>
      <c r="Q2272">
        <f>IF(AND(ISNUMBER(P2272),ISNUMBER(A2272)),IF(AND(A2272&gt;=Dashboard!$Q$3,A2272&lt;=Dashboard!$Q$4,OR(J2272&lt;&gt;"Yes",Dashboard!$Q$15="Yes")),P2272,""),"")</f>
        <v/>
      </c>
    </row>
    <row r="2273">
      <c r="A2273" s="47" t="n"/>
      <c r="B2273" s="48" t="n"/>
      <c r="C2273" s="48" t="n"/>
      <c r="D2273" s="48" t="n"/>
      <c r="E2273" s="48" t="n"/>
      <c r="F2273" s="48" t="n"/>
      <c r="G2273" s="48" t="n"/>
      <c r="H2273" s="48" t="n"/>
      <c r="I2273" s="49" t="n"/>
      <c r="J2273" s="50" t="n"/>
      <c r="K2273" s="48" t="n"/>
      <c r="L2273" s="51">
        <f>IF(A2273="","",DATE(YEAR(A2273),MONTH(A2273),1))</f>
        <v/>
      </c>
      <c r="M2273" s="52">
        <f>IF(OR(A2273="",NOT(ISNUMBER(I2273))),"",IF(G2273=Lists!$B$5,I2273/2,IF(G2273=Lists!$B$6,I2273,0)))</f>
        <v/>
      </c>
      <c r="N2273" s="52">
        <f>IF(OR(A2273="",NOT(ISNUMBER(I2273))),"",IF(G2273=Lists!$B$5,I2273/2,IF(G2273=Lists!$B$7,I2273,0)))</f>
        <v/>
      </c>
      <c r="O2273" s="53">
        <f>IF(COUNTA(A2273:K2273)=0,"",IF(OR(A2273="",B2273="",C2273="",D2273="",E2273="",F2273="",G2273="",NOT(ISNUMBER(I2273))),"Incomplete",IF(COUNTIF(Lists!$H$4:$AA$4,C2273)=0,"Check category",IF(COUNTIF(INDEX(Lists!$H$6:$AA$45,0,MATCH(C2273,Lists!$H$4:$AA$4,0)),D2273)=0,"Check sub-category","OK"))))</f>
        <v/>
      </c>
      <c r="P2273">
        <f>IF(ISNUMBER(I2273),I2273+ROW()/10000000,"")</f>
        <v/>
      </c>
      <c r="Q2273">
        <f>IF(AND(ISNUMBER(P2273),ISNUMBER(A2273)),IF(AND(A2273&gt;=Dashboard!$Q$3,A2273&lt;=Dashboard!$Q$4,OR(J2273&lt;&gt;"Yes",Dashboard!$Q$15="Yes")),P2273,""),"")</f>
        <v/>
      </c>
    </row>
    <row r="2274">
      <c r="A2274" s="47" t="n"/>
      <c r="B2274" s="48" t="n"/>
      <c r="C2274" s="48" t="n"/>
      <c r="D2274" s="48" t="n"/>
      <c r="E2274" s="48" t="n"/>
      <c r="F2274" s="48" t="n"/>
      <c r="G2274" s="48" t="n"/>
      <c r="H2274" s="48" t="n"/>
      <c r="I2274" s="49" t="n"/>
      <c r="J2274" s="50" t="n"/>
      <c r="K2274" s="48" t="n"/>
      <c r="L2274" s="51">
        <f>IF(A2274="","",DATE(YEAR(A2274),MONTH(A2274),1))</f>
        <v/>
      </c>
      <c r="M2274" s="52">
        <f>IF(OR(A2274="",NOT(ISNUMBER(I2274))),"",IF(G2274=Lists!$B$5,I2274/2,IF(G2274=Lists!$B$6,I2274,0)))</f>
        <v/>
      </c>
      <c r="N2274" s="52">
        <f>IF(OR(A2274="",NOT(ISNUMBER(I2274))),"",IF(G2274=Lists!$B$5,I2274/2,IF(G2274=Lists!$B$7,I2274,0)))</f>
        <v/>
      </c>
      <c r="O2274" s="53">
        <f>IF(COUNTA(A2274:K2274)=0,"",IF(OR(A2274="",B2274="",C2274="",D2274="",E2274="",F2274="",G2274="",NOT(ISNUMBER(I2274))),"Incomplete",IF(COUNTIF(Lists!$H$4:$AA$4,C2274)=0,"Check category",IF(COUNTIF(INDEX(Lists!$H$6:$AA$45,0,MATCH(C2274,Lists!$H$4:$AA$4,0)),D2274)=0,"Check sub-category","OK"))))</f>
        <v/>
      </c>
      <c r="P2274">
        <f>IF(ISNUMBER(I2274),I2274+ROW()/10000000,"")</f>
        <v/>
      </c>
      <c r="Q2274">
        <f>IF(AND(ISNUMBER(P2274),ISNUMBER(A2274)),IF(AND(A2274&gt;=Dashboard!$Q$3,A2274&lt;=Dashboard!$Q$4,OR(J2274&lt;&gt;"Yes",Dashboard!$Q$15="Yes")),P2274,""),"")</f>
        <v/>
      </c>
    </row>
    <row r="2275">
      <c r="A2275" s="47" t="n"/>
      <c r="B2275" s="48" t="n"/>
      <c r="C2275" s="48" t="n"/>
      <c r="D2275" s="48" t="n"/>
      <c r="E2275" s="48" t="n"/>
      <c r="F2275" s="48" t="n"/>
      <c r="G2275" s="48" t="n"/>
      <c r="H2275" s="48" t="n"/>
      <c r="I2275" s="49" t="n"/>
      <c r="J2275" s="50" t="n"/>
      <c r="K2275" s="48" t="n"/>
      <c r="L2275" s="51">
        <f>IF(A2275="","",DATE(YEAR(A2275),MONTH(A2275),1))</f>
        <v/>
      </c>
      <c r="M2275" s="52">
        <f>IF(OR(A2275="",NOT(ISNUMBER(I2275))),"",IF(G2275=Lists!$B$5,I2275/2,IF(G2275=Lists!$B$6,I2275,0)))</f>
        <v/>
      </c>
      <c r="N2275" s="52">
        <f>IF(OR(A2275="",NOT(ISNUMBER(I2275))),"",IF(G2275=Lists!$B$5,I2275/2,IF(G2275=Lists!$B$7,I2275,0)))</f>
        <v/>
      </c>
      <c r="O2275" s="53">
        <f>IF(COUNTA(A2275:K2275)=0,"",IF(OR(A2275="",B2275="",C2275="",D2275="",E2275="",F2275="",G2275="",NOT(ISNUMBER(I2275))),"Incomplete",IF(COUNTIF(Lists!$H$4:$AA$4,C2275)=0,"Check category",IF(COUNTIF(INDEX(Lists!$H$6:$AA$45,0,MATCH(C2275,Lists!$H$4:$AA$4,0)),D2275)=0,"Check sub-category","OK"))))</f>
        <v/>
      </c>
      <c r="P2275">
        <f>IF(ISNUMBER(I2275),I2275+ROW()/10000000,"")</f>
        <v/>
      </c>
      <c r="Q2275">
        <f>IF(AND(ISNUMBER(P2275),ISNUMBER(A2275)),IF(AND(A2275&gt;=Dashboard!$Q$3,A2275&lt;=Dashboard!$Q$4,OR(J2275&lt;&gt;"Yes",Dashboard!$Q$15="Yes")),P2275,""),"")</f>
        <v/>
      </c>
    </row>
    <row r="2276">
      <c r="A2276" s="47" t="n"/>
      <c r="B2276" s="48" t="n"/>
      <c r="C2276" s="48" t="n"/>
      <c r="D2276" s="48" t="n"/>
      <c r="E2276" s="48" t="n"/>
      <c r="F2276" s="48" t="n"/>
      <c r="G2276" s="48" t="n"/>
      <c r="H2276" s="48" t="n"/>
      <c r="I2276" s="49" t="n"/>
      <c r="J2276" s="50" t="n"/>
      <c r="K2276" s="48" t="n"/>
      <c r="L2276" s="51">
        <f>IF(A2276="","",DATE(YEAR(A2276),MONTH(A2276),1))</f>
        <v/>
      </c>
      <c r="M2276" s="52">
        <f>IF(OR(A2276="",NOT(ISNUMBER(I2276))),"",IF(G2276=Lists!$B$5,I2276/2,IF(G2276=Lists!$B$6,I2276,0)))</f>
        <v/>
      </c>
      <c r="N2276" s="52">
        <f>IF(OR(A2276="",NOT(ISNUMBER(I2276))),"",IF(G2276=Lists!$B$5,I2276/2,IF(G2276=Lists!$B$7,I2276,0)))</f>
        <v/>
      </c>
      <c r="O2276" s="53">
        <f>IF(COUNTA(A2276:K2276)=0,"",IF(OR(A2276="",B2276="",C2276="",D2276="",E2276="",F2276="",G2276="",NOT(ISNUMBER(I2276))),"Incomplete",IF(COUNTIF(Lists!$H$4:$AA$4,C2276)=0,"Check category",IF(COUNTIF(INDEX(Lists!$H$6:$AA$45,0,MATCH(C2276,Lists!$H$4:$AA$4,0)),D2276)=0,"Check sub-category","OK"))))</f>
        <v/>
      </c>
      <c r="P2276">
        <f>IF(ISNUMBER(I2276),I2276+ROW()/10000000,"")</f>
        <v/>
      </c>
      <c r="Q2276">
        <f>IF(AND(ISNUMBER(P2276),ISNUMBER(A2276)),IF(AND(A2276&gt;=Dashboard!$Q$3,A2276&lt;=Dashboard!$Q$4,OR(J2276&lt;&gt;"Yes",Dashboard!$Q$15="Yes")),P2276,""),"")</f>
        <v/>
      </c>
    </row>
    <row r="2277">
      <c r="A2277" s="47" t="n"/>
      <c r="B2277" s="48" t="n"/>
      <c r="C2277" s="48" t="n"/>
      <c r="D2277" s="48" t="n"/>
      <c r="E2277" s="48" t="n"/>
      <c r="F2277" s="48" t="n"/>
      <c r="G2277" s="48" t="n"/>
      <c r="H2277" s="48" t="n"/>
      <c r="I2277" s="49" t="n"/>
      <c r="J2277" s="50" t="n"/>
      <c r="K2277" s="48" t="n"/>
      <c r="L2277" s="51">
        <f>IF(A2277="","",DATE(YEAR(A2277),MONTH(A2277),1))</f>
        <v/>
      </c>
      <c r="M2277" s="52">
        <f>IF(OR(A2277="",NOT(ISNUMBER(I2277))),"",IF(G2277=Lists!$B$5,I2277/2,IF(G2277=Lists!$B$6,I2277,0)))</f>
        <v/>
      </c>
      <c r="N2277" s="52">
        <f>IF(OR(A2277="",NOT(ISNUMBER(I2277))),"",IF(G2277=Lists!$B$5,I2277/2,IF(G2277=Lists!$B$7,I2277,0)))</f>
        <v/>
      </c>
      <c r="O2277" s="53">
        <f>IF(COUNTA(A2277:K2277)=0,"",IF(OR(A2277="",B2277="",C2277="",D2277="",E2277="",F2277="",G2277="",NOT(ISNUMBER(I2277))),"Incomplete",IF(COUNTIF(Lists!$H$4:$AA$4,C2277)=0,"Check category",IF(COUNTIF(INDEX(Lists!$H$6:$AA$45,0,MATCH(C2277,Lists!$H$4:$AA$4,0)),D2277)=0,"Check sub-category","OK"))))</f>
        <v/>
      </c>
      <c r="P2277">
        <f>IF(ISNUMBER(I2277),I2277+ROW()/10000000,"")</f>
        <v/>
      </c>
      <c r="Q2277">
        <f>IF(AND(ISNUMBER(P2277),ISNUMBER(A2277)),IF(AND(A2277&gt;=Dashboard!$Q$3,A2277&lt;=Dashboard!$Q$4,OR(J2277&lt;&gt;"Yes",Dashboard!$Q$15="Yes")),P2277,""),"")</f>
        <v/>
      </c>
    </row>
    <row r="2278">
      <c r="A2278" s="47" t="n"/>
      <c r="B2278" s="48" t="n"/>
      <c r="C2278" s="48" t="n"/>
      <c r="D2278" s="48" t="n"/>
      <c r="E2278" s="48" t="n"/>
      <c r="F2278" s="48" t="n"/>
      <c r="G2278" s="48" t="n"/>
      <c r="H2278" s="48" t="n"/>
      <c r="I2278" s="49" t="n"/>
      <c r="J2278" s="50" t="n"/>
      <c r="K2278" s="48" t="n"/>
      <c r="L2278" s="51">
        <f>IF(A2278="","",DATE(YEAR(A2278),MONTH(A2278),1))</f>
        <v/>
      </c>
      <c r="M2278" s="52">
        <f>IF(OR(A2278="",NOT(ISNUMBER(I2278))),"",IF(G2278=Lists!$B$5,I2278/2,IF(G2278=Lists!$B$6,I2278,0)))</f>
        <v/>
      </c>
      <c r="N2278" s="52">
        <f>IF(OR(A2278="",NOT(ISNUMBER(I2278))),"",IF(G2278=Lists!$B$5,I2278/2,IF(G2278=Lists!$B$7,I2278,0)))</f>
        <v/>
      </c>
      <c r="O2278" s="53">
        <f>IF(COUNTA(A2278:K2278)=0,"",IF(OR(A2278="",B2278="",C2278="",D2278="",E2278="",F2278="",G2278="",NOT(ISNUMBER(I2278))),"Incomplete",IF(COUNTIF(Lists!$H$4:$AA$4,C2278)=0,"Check category",IF(COUNTIF(INDEX(Lists!$H$6:$AA$45,0,MATCH(C2278,Lists!$H$4:$AA$4,0)),D2278)=0,"Check sub-category","OK"))))</f>
        <v/>
      </c>
      <c r="P2278">
        <f>IF(ISNUMBER(I2278),I2278+ROW()/10000000,"")</f>
        <v/>
      </c>
      <c r="Q2278">
        <f>IF(AND(ISNUMBER(P2278),ISNUMBER(A2278)),IF(AND(A2278&gt;=Dashboard!$Q$3,A2278&lt;=Dashboard!$Q$4,OR(J2278&lt;&gt;"Yes",Dashboard!$Q$15="Yes")),P2278,""),"")</f>
        <v/>
      </c>
    </row>
    <row r="2279">
      <c r="A2279" s="47" t="n"/>
      <c r="B2279" s="48" t="n"/>
      <c r="C2279" s="48" t="n"/>
      <c r="D2279" s="48" t="n"/>
      <c r="E2279" s="48" t="n"/>
      <c r="F2279" s="48" t="n"/>
      <c r="G2279" s="48" t="n"/>
      <c r="H2279" s="48" t="n"/>
      <c r="I2279" s="49" t="n"/>
      <c r="J2279" s="50" t="n"/>
      <c r="K2279" s="48" t="n"/>
      <c r="L2279" s="51">
        <f>IF(A2279="","",DATE(YEAR(A2279),MONTH(A2279),1))</f>
        <v/>
      </c>
      <c r="M2279" s="52">
        <f>IF(OR(A2279="",NOT(ISNUMBER(I2279))),"",IF(G2279=Lists!$B$5,I2279/2,IF(G2279=Lists!$B$6,I2279,0)))</f>
        <v/>
      </c>
      <c r="N2279" s="52">
        <f>IF(OR(A2279="",NOT(ISNUMBER(I2279))),"",IF(G2279=Lists!$B$5,I2279/2,IF(G2279=Lists!$B$7,I2279,0)))</f>
        <v/>
      </c>
      <c r="O2279" s="53">
        <f>IF(COUNTA(A2279:K2279)=0,"",IF(OR(A2279="",B2279="",C2279="",D2279="",E2279="",F2279="",G2279="",NOT(ISNUMBER(I2279))),"Incomplete",IF(COUNTIF(Lists!$H$4:$AA$4,C2279)=0,"Check category",IF(COUNTIF(INDEX(Lists!$H$6:$AA$45,0,MATCH(C2279,Lists!$H$4:$AA$4,0)),D2279)=0,"Check sub-category","OK"))))</f>
        <v/>
      </c>
      <c r="P2279">
        <f>IF(ISNUMBER(I2279),I2279+ROW()/10000000,"")</f>
        <v/>
      </c>
      <c r="Q2279">
        <f>IF(AND(ISNUMBER(P2279),ISNUMBER(A2279)),IF(AND(A2279&gt;=Dashboard!$Q$3,A2279&lt;=Dashboard!$Q$4,OR(J2279&lt;&gt;"Yes",Dashboard!$Q$15="Yes")),P2279,""),"")</f>
        <v/>
      </c>
    </row>
    <row r="2280">
      <c r="A2280" s="47" t="n"/>
      <c r="B2280" s="48" t="n"/>
      <c r="C2280" s="48" t="n"/>
      <c r="D2280" s="48" t="n"/>
      <c r="E2280" s="48" t="n"/>
      <c r="F2280" s="48" t="n"/>
      <c r="G2280" s="48" t="n"/>
      <c r="H2280" s="48" t="n"/>
      <c r="I2280" s="49" t="n"/>
      <c r="J2280" s="50" t="n"/>
      <c r="K2280" s="48" t="n"/>
      <c r="L2280" s="51">
        <f>IF(A2280="","",DATE(YEAR(A2280),MONTH(A2280),1))</f>
        <v/>
      </c>
      <c r="M2280" s="52">
        <f>IF(OR(A2280="",NOT(ISNUMBER(I2280))),"",IF(G2280=Lists!$B$5,I2280/2,IF(G2280=Lists!$B$6,I2280,0)))</f>
        <v/>
      </c>
      <c r="N2280" s="52">
        <f>IF(OR(A2280="",NOT(ISNUMBER(I2280))),"",IF(G2280=Lists!$B$5,I2280/2,IF(G2280=Lists!$B$7,I2280,0)))</f>
        <v/>
      </c>
      <c r="O2280" s="53">
        <f>IF(COUNTA(A2280:K2280)=0,"",IF(OR(A2280="",B2280="",C2280="",D2280="",E2280="",F2280="",G2280="",NOT(ISNUMBER(I2280))),"Incomplete",IF(COUNTIF(Lists!$H$4:$AA$4,C2280)=0,"Check category",IF(COUNTIF(INDEX(Lists!$H$6:$AA$45,0,MATCH(C2280,Lists!$H$4:$AA$4,0)),D2280)=0,"Check sub-category","OK"))))</f>
        <v/>
      </c>
      <c r="P2280">
        <f>IF(ISNUMBER(I2280),I2280+ROW()/10000000,"")</f>
        <v/>
      </c>
      <c r="Q2280">
        <f>IF(AND(ISNUMBER(P2280),ISNUMBER(A2280)),IF(AND(A2280&gt;=Dashboard!$Q$3,A2280&lt;=Dashboard!$Q$4,OR(J2280&lt;&gt;"Yes",Dashboard!$Q$15="Yes")),P2280,""),"")</f>
        <v/>
      </c>
    </row>
    <row r="2281">
      <c r="A2281" s="47" t="n"/>
      <c r="B2281" s="48" t="n"/>
      <c r="C2281" s="48" t="n"/>
      <c r="D2281" s="48" t="n"/>
      <c r="E2281" s="48" t="n"/>
      <c r="F2281" s="48" t="n"/>
      <c r="G2281" s="48" t="n"/>
      <c r="H2281" s="48" t="n"/>
      <c r="I2281" s="49" t="n"/>
      <c r="J2281" s="50" t="n"/>
      <c r="K2281" s="48" t="n"/>
      <c r="L2281" s="51">
        <f>IF(A2281="","",DATE(YEAR(A2281),MONTH(A2281),1))</f>
        <v/>
      </c>
      <c r="M2281" s="52">
        <f>IF(OR(A2281="",NOT(ISNUMBER(I2281))),"",IF(G2281=Lists!$B$5,I2281/2,IF(G2281=Lists!$B$6,I2281,0)))</f>
        <v/>
      </c>
      <c r="N2281" s="52">
        <f>IF(OR(A2281="",NOT(ISNUMBER(I2281))),"",IF(G2281=Lists!$B$5,I2281/2,IF(G2281=Lists!$B$7,I2281,0)))</f>
        <v/>
      </c>
      <c r="O2281" s="53">
        <f>IF(COUNTA(A2281:K2281)=0,"",IF(OR(A2281="",B2281="",C2281="",D2281="",E2281="",F2281="",G2281="",NOT(ISNUMBER(I2281))),"Incomplete",IF(COUNTIF(Lists!$H$4:$AA$4,C2281)=0,"Check category",IF(COUNTIF(INDEX(Lists!$H$6:$AA$45,0,MATCH(C2281,Lists!$H$4:$AA$4,0)),D2281)=0,"Check sub-category","OK"))))</f>
        <v/>
      </c>
      <c r="P2281">
        <f>IF(ISNUMBER(I2281),I2281+ROW()/10000000,"")</f>
        <v/>
      </c>
      <c r="Q2281">
        <f>IF(AND(ISNUMBER(P2281),ISNUMBER(A2281)),IF(AND(A2281&gt;=Dashboard!$Q$3,A2281&lt;=Dashboard!$Q$4,OR(J2281&lt;&gt;"Yes",Dashboard!$Q$15="Yes")),P2281,""),"")</f>
        <v/>
      </c>
    </row>
    <row r="2282">
      <c r="A2282" s="47" t="n"/>
      <c r="B2282" s="48" t="n"/>
      <c r="C2282" s="48" t="n"/>
      <c r="D2282" s="48" t="n"/>
      <c r="E2282" s="48" t="n"/>
      <c r="F2282" s="48" t="n"/>
      <c r="G2282" s="48" t="n"/>
      <c r="H2282" s="48" t="n"/>
      <c r="I2282" s="49" t="n"/>
      <c r="J2282" s="50" t="n"/>
      <c r="K2282" s="48" t="n"/>
      <c r="L2282" s="51">
        <f>IF(A2282="","",DATE(YEAR(A2282),MONTH(A2282),1))</f>
        <v/>
      </c>
      <c r="M2282" s="52">
        <f>IF(OR(A2282="",NOT(ISNUMBER(I2282))),"",IF(G2282=Lists!$B$5,I2282/2,IF(G2282=Lists!$B$6,I2282,0)))</f>
        <v/>
      </c>
      <c r="N2282" s="52">
        <f>IF(OR(A2282="",NOT(ISNUMBER(I2282))),"",IF(G2282=Lists!$B$5,I2282/2,IF(G2282=Lists!$B$7,I2282,0)))</f>
        <v/>
      </c>
      <c r="O2282" s="53">
        <f>IF(COUNTA(A2282:K2282)=0,"",IF(OR(A2282="",B2282="",C2282="",D2282="",E2282="",F2282="",G2282="",NOT(ISNUMBER(I2282))),"Incomplete",IF(COUNTIF(Lists!$H$4:$AA$4,C2282)=0,"Check category",IF(COUNTIF(INDEX(Lists!$H$6:$AA$45,0,MATCH(C2282,Lists!$H$4:$AA$4,0)),D2282)=0,"Check sub-category","OK"))))</f>
        <v/>
      </c>
      <c r="P2282">
        <f>IF(ISNUMBER(I2282),I2282+ROW()/10000000,"")</f>
        <v/>
      </c>
      <c r="Q2282">
        <f>IF(AND(ISNUMBER(P2282),ISNUMBER(A2282)),IF(AND(A2282&gt;=Dashboard!$Q$3,A2282&lt;=Dashboard!$Q$4,OR(J2282&lt;&gt;"Yes",Dashboard!$Q$15="Yes")),P2282,""),"")</f>
        <v/>
      </c>
    </row>
    <row r="2283">
      <c r="A2283" s="47" t="n"/>
      <c r="B2283" s="48" t="n"/>
      <c r="C2283" s="48" t="n"/>
      <c r="D2283" s="48" t="n"/>
      <c r="E2283" s="48" t="n"/>
      <c r="F2283" s="48" t="n"/>
      <c r="G2283" s="48" t="n"/>
      <c r="H2283" s="48" t="n"/>
      <c r="I2283" s="49" t="n"/>
      <c r="J2283" s="50" t="n"/>
      <c r="K2283" s="48" t="n"/>
      <c r="L2283" s="51">
        <f>IF(A2283="","",DATE(YEAR(A2283),MONTH(A2283),1))</f>
        <v/>
      </c>
      <c r="M2283" s="52">
        <f>IF(OR(A2283="",NOT(ISNUMBER(I2283))),"",IF(G2283=Lists!$B$5,I2283/2,IF(G2283=Lists!$B$6,I2283,0)))</f>
        <v/>
      </c>
      <c r="N2283" s="52">
        <f>IF(OR(A2283="",NOT(ISNUMBER(I2283))),"",IF(G2283=Lists!$B$5,I2283/2,IF(G2283=Lists!$B$7,I2283,0)))</f>
        <v/>
      </c>
      <c r="O2283" s="53">
        <f>IF(COUNTA(A2283:K2283)=0,"",IF(OR(A2283="",B2283="",C2283="",D2283="",E2283="",F2283="",G2283="",NOT(ISNUMBER(I2283))),"Incomplete",IF(COUNTIF(Lists!$H$4:$AA$4,C2283)=0,"Check category",IF(COUNTIF(INDEX(Lists!$H$6:$AA$45,0,MATCH(C2283,Lists!$H$4:$AA$4,0)),D2283)=0,"Check sub-category","OK"))))</f>
        <v/>
      </c>
      <c r="P2283">
        <f>IF(ISNUMBER(I2283),I2283+ROW()/10000000,"")</f>
        <v/>
      </c>
      <c r="Q2283">
        <f>IF(AND(ISNUMBER(P2283),ISNUMBER(A2283)),IF(AND(A2283&gt;=Dashboard!$Q$3,A2283&lt;=Dashboard!$Q$4,OR(J2283&lt;&gt;"Yes",Dashboard!$Q$15="Yes")),P2283,""),"")</f>
        <v/>
      </c>
    </row>
    <row r="2284">
      <c r="A2284" s="47" t="n"/>
      <c r="B2284" s="48" t="n"/>
      <c r="C2284" s="48" t="n"/>
      <c r="D2284" s="48" t="n"/>
      <c r="E2284" s="48" t="n"/>
      <c r="F2284" s="48" t="n"/>
      <c r="G2284" s="48" t="n"/>
      <c r="H2284" s="48" t="n"/>
      <c r="I2284" s="49" t="n"/>
      <c r="J2284" s="50" t="n"/>
      <c r="K2284" s="48" t="n"/>
      <c r="L2284" s="51">
        <f>IF(A2284="","",DATE(YEAR(A2284),MONTH(A2284),1))</f>
        <v/>
      </c>
      <c r="M2284" s="52">
        <f>IF(OR(A2284="",NOT(ISNUMBER(I2284))),"",IF(G2284=Lists!$B$5,I2284/2,IF(G2284=Lists!$B$6,I2284,0)))</f>
        <v/>
      </c>
      <c r="N2284" s="52">
        <f>IF(OR(A2284="",NOT(ISNUMBER(I2284))),"",IF(G2284=Lists!$B$5,I2284/2,IF(G2284=Lists!$B$7,I2284,0)))</f>
        <v/>
      </c>
      <c r="O2284" s="53">
        <f>IF(COUNTA(A2284:K2284)=0,"",IF(OR(A2284="",B2284="",C2284="",D2284="",E2284="",F2284="",G2284="",NOT(ISNUMBER(I2284))),"Incomplete",IF(COUNTIF(Lists!$H$4:$AA$4,C2284)=0,"Check category",IF(COUNTIF(INDEX(Lists!$H$6:$AA$45,0,MATCH(C2284,Lists!$H$4:$AA$4,0)),D2284)=0,"Check sub-category","OK"))))</f>
        <v/>
      </c>
      <c r="P2284">
        <f>IF(ISNUMBER(I2284),I2284+ROW()/10000000,"")</f>
        <v/>
      </c>
      <c r="Q2284">
        <f>IF(AND(ISNUMBER(P2284),ISNUMBER(A2284)),IF(AND(A2284&gt;=Dashboard!$Q$3,A2284&lt;=Dashboard!$Q$4,OR(J2284&lt;&gt;"Yes",Dashboard!$Q$15="Yes")),P2284,""),"")</f>
        <v/>
      </c>
    </row>
    <row r="2285">
      <c r="A2285" s="47" t="n"/>
      <c r="B2285" s="48" t="n"/>
      <c r="C2285" s="48" t="n"/>
      <c r="D2285" s="48" t="n"/>
      <c r="E2285" s="48" t="n"/>
      <c r="F2285" s="48" t="n"/>
      <c r="G2285" s="48" t="n"/>
      <c r="H2285" s="48" t="n"/>
      <c r="I2285" s="49" t="n"/>
      <c r="J2285" s="50" t="n"/>
      <c r="K2285" s="48" t="n"/>
      <c r="L2285" s="51">
        <f>IF(A2285="","",DATE(YEAR(A2285),MONTH(A2285),1))</f>
        <v/>
      </c>
      <c r="M2285" s="52">
        <f>IF(OR(A2285="",NOT(ISNUMBER(I2285))),"",IF(G2285=Lists!$B$5,I2285/2,IF(G2285=Lists!$B$6,I2285,0)))</f>
        <v/>
      </c>
      <c r="N2285" s="52">
        <f>IF(OR(A2285="",NOT(ISNUMBER(I2285))),"",IF(G2285=Lists!$B$5,I2285/2,IF(G2285=Lists!$B$7,I2285,0)))</f>
        <v/>
      </c>
      <c r="O2285" s="53">
        <f>IF(COUNTA(A2285:K2285)=0,"",IF(OR(A2285="",B2285="",C2285="",D2285="",E2285="",F2285="",G2285="",NOT(ISNUMBER(I2285))),"Incomplete",IF(COUNTIF(Lists!$H$4:$AA$4,C2285)=0,"Check category",IF(COUNTIF(INDEX(Lists!$H$6:$AA$45,0,MATCH(C2285,Lists!$H$4:$AA$4,0)),D2285)=0,"Check sub-category","OK"))))</f>
        <v/>
      </c>
      <c r="P2285">
        <f>IF(ISNUMBER(I2285),I2285+ROW()/10000000,"")</f>
        <v/>
      </c>
      <c r="Q2285">
        <f>IF(AND(ISNUMBER(P2285),ISNUMBER(A2285)),IF(AND(A2285&gt;=Dashboard!$Q$3,A2285&lt;=Dashboard!$Q$4,OR(J2285&lt;&gt;"Yes",Dashboard!$Q$15="Yes")),P2285,""),"")</f>
        <v/>
      </c>
    </row>
    <row r="2286">
      <c r="A2286" s="47" t="n"/>
      <c r="B2286" s="48" t="n"/>
      <c r="C2286" s="48" t="n"/>
      <c r="D2286" s="48" t="n"/>
      <c r="E2286" s="48" t="n"/>
      <c r="F2286" s="48" t="n"/>
      <c r="G2286" s="48" t="n"/>
      <c r="H2286" s="48" t="n"/>
      <c r="I2286" s="49" t="n"/>
      <c r="J2286" s="50" t="n"/>
      <c r="K2286" s="48" t="n"/>
      <c r="L2286" s="51">
        <f>IF(A2286="","",DATE(YEAR(A2286),MONTH(A2286),1))</f>
        <v/>
      </c>
      <c r="M2286" s="52">
        <f>IF(OR(A2286="",NOT(ISNUMBER(I2286))),"",IF(G2286=Lists!$B$5,I2286/2,IF(G2286=Lists!$B$6,I2286,0)))</f>
        <v/>
      </c>
      <c r="N2286" s="52">
        <f>IF(OR(A2286="",NOT(ISNUMBER(I2286))),"",IF(G2286=Lists!$B$5,I2286/2,IF(G2286=Lists!$B$7,I2286,0)))</f>
        <v/>
      </c>
      <c r="O2286" s="53">
        <f>IF(COUNTA(A2286:K2286)=0,"",IF(OR(A2286="",B2286="",C2286="",D2286="",E2286="",F2286="",G2286="",NOT(ISNUMBER(I2286))),"Incomplete",IF(COUNTIF(Lists!$H$4:$AA$4,C2286)=0,"Check category",IF(COUNTIF(INDEX(Lists!$H$6:$AA$45,0,MATCH(C2286,Lists!$H$4:$AA$4,0)),D2286)=0,"Check sub-category","OK"))))</f>
        <v/>
      </c>
      <c r="P2286">
        <f>IF(ISNUMBER(I2286),I2286+ROW()/10000000,"")</f>
        <v/>
      </c>
      <c r="Q2286">
        <f>IF(AND(ISNUMBER(P2286),ISNUMBER(A2286)),IF(AND(A2286&gt;=Dashboard!$Q$3,A2286&lt;=Dashboard!$Q$4,OR(J2286&lt;&gt;"Yes",Dashboard!$Q$15="Yes")),P2286,""),"")</f>
        <v/>
      </c>
    </row>
    <row r="2287">
      <c r="A2287" s="47" t="n"/>
      <c r="B2287" s="48" t="n"/>
      <c r="C2287" s="48" t="n"/>
      <c r="D2287" s="48" t="n"/>
      <c r="E2287" s="48" t="n"/>
      <c r="F2287" s="48" t="n"/>
      <c r="G2287" s="48" t="n"/>
      <c r="H2287" s="48" t="n"/>
      <c r="I2287" s="49" t="n"/>
      <c r="J2287" s="50" t="n"/>
      <c r="K2287" s="48" t="n"/>
      <c r="L2287" s="51">
        <f>IF(A2287="","",DATE(YEAR(A2287),MONTH(A2287),1))</f>
        <v/>
      </c>
      <c r="M2287" s="52">
        <f>IF(OR(A2287="",NOT(ISNUMBER(I2287))),"",IF(G2287=Lists!$B$5,I2287/2,IF(G2287=Lists!$B$6,I2287,0)))</f>
        <v/>
      </c>
      <c r="N2287" s="52">
        <f>IF(OR(A2287="",NOT(ISNUMBER(I2287))),"",IF(G2287=Lists!$B$5,I2287/2,IF(G2287=Lists!$B$7,I2287,0)))</f>
        <v/>
      </c>
      <c r="O2287" s="53">
        <f>IF(COUNTA(A2287:K2287)=0,"",IF(OR(A2287="",B2287="",C2287="",D2287="",E2287="",F2287="",G2287="",NOT(ISNUMBER(I2287))),"Incomplete",IF(COUNTIF(Lists!$H$4:$AA$4,C2287)=0,"Check category",IF(COUNTIF(INDEX(Lists!$H$6:$AA$45,0,MATCH(C2287,Lists!$H$4:$AA$4,0)),D2287)=0,"Check sub-category","OK"))))</f>
        <v/>
      </c>
      <c r="P2287">
        <f>IF(ISNUMBER(I2287),I2287+ROW()/10000000,"")</f>
        <v/>
      </c>
      <c r="Q2287">
        <f>IF(AND(ISNUMBER(P2287),ISNUMBER(A2287)),IF(AND(A2287&gt;=Dashboard!$Q$3,A2287&lt;=Dashboard!$Q$4,OR(J2287&lt;&gt;"Yes",Dashboard!$Q$15="Yes")),P2287,""),"")</f>
        <v/>
      </c>
    </row>
    <row r="2288">
      <c r="A2288" s="47" t="n"/>
      <c r="B2288" s="48" t="n"/>
      <c r="C2288" s="48" t="n"/>
      <c r="D2288" s="48" t="n"/>
      <c r="E2288" s="48" t="n"/>
      <c r="F2288" s="48" t="n"/>
      <c r="G2288" s="48" t="n"/>
      <c r="H2288" s="48" t="n"/>
      <c r="I2288" s="49" t="n"/>
      <c r="J2288" s="50" t="n"/>
      <c r="K2288" s="48" t="n"/>
      <c r="L2288" s="51">
        <f>IF(A2288="","",DATE(YEAR(A2288),MONTH(A2288),1))</f>
        <v/>
      </c>
      <c r="M2288" s="52">
        <f>IF(OR(A2288="",NOT(ISNUMBER(I2288))),"",IF(G2288=Lists!$B$5,I2288/2,IF(G2288=Lists!$B$6,I2288,0)))</f>
        <v/>
      </c>
      <c r="N2288" s="52">
        <f>IF(OR(A2288="",NOT(ISNUMBER(I2288))),"",IF(G2288=Lists!$B$5,I2288/2,IF(G2288=Lists!$B$7,I2288,0)))</f>
        <v/>
      </c>
      <c r="O2288" s="53">
        <f>IF(COUNTA(A2288:K2288)=0,"",IF(OR(A2288="",B2288="",C2288="",D2288="",E2288="",F2288="",G2288="",NOT(ISNUMBER(I2288))),"Incomplete",IF(COUNTIF(Lists!$H$4:$AA$4,C2288)=0,"Check category",IF(COUNTIF(INDEX(Lists!$H$6:$AA$45,0,MATCH(C2288,Lists!$H$4:$AA$4,0)),D2288)=0,"Check sub-category","OK"))))</f>
        <v/>
      </c>
      <c r="P2288">
        <f>IF(ISNUMBER(I2288),I2288+ROW()/10000000,"")</f>
        <v/>
      </c>
      <c r="Q2288">
        <f>IF(AND(ISNUMBER(P2288),ISNUMBER(A2288)),IF(AND(A2288&gt;=Dashboard!$Q$3,A2288&lt;=Dashboard!$Q$4,OR(J2288&lt;&gt;"Yes",Dashboard!$Q$15="Yes")),P2288,""),"")</f>
        <v/>
      </c>
    </row>
    <row r="2289">
      <c r="A2289" s="47" t="n"/>
      <c r="B2289" s="48" t="n"/>
      <c r="C2289" s="48" t="n"/>
      <c r="D2289" s="48" t="n"/>
      <c r="E2289" s="48" t="n"/>
      <c r="F2289" s="48" t="n"/>
      <c r="G2289" s="48" t="n"/>
      <c r="H2289" s="48" t="n"/>
      <c r="I2289" s="49" t="n"/>
      <c r="J2289" s="50" t="n"/>
      <c r="K2289" s="48" t="n"/>
      <c r="L2289" s="51">
        <f>IF(A2289="","",DATE(YEAR(A2289),MONTH(A2289),1))</f>
        <v/>
      </c>
      <c r="M2289" s="52">
        <f>IF(OR(A2289="",NOT(ISNUMBER(I2289))),"",IF(G2289=Lists!$B$5,I2289/2,IF(G2289=Lists!$B$6,I2289,0)))</f>
        <v/>
      </c>
      <c r="N2289" s="52">
        <f>IF(OR(A2289="",NOT(ISNUMBER(I2289))),"",IF(G2289=Lists!$B$5,I2289/2,IF(G2289=Lists!$B$7,I2289,0)))</f>
        <v/>
      </c>
      <c r="O2289" s="53">
        <f>IF(COUNTA(A2289:K2289)=0,"",IF(OR(A2289="",B2289="",C2289="",D2289="",E2289="",F2289="",G2289="",NOT(ISNUMBER(I2289))),"Incomplete",IF(COUNTIF(Lists!$H$4:$AA$4,C2289)=0,"Check category",IF(COUNTIF(INDEX(Lists!$H$6:$AA$45,0,MATCH(C2289,Lists!$H$4:$AA$4,0)),D2289)=0,"Check sub-category","OK"))))</f>
        <v/>
      </c>
      <c r="P2289">
        <f>IF(ISNUMBER(I2289),I2289+ROW()/10000000,"")</f>
        <v/>
      </c>
      <c r="Q2289">
        <f>IF(AND(ISNUMBER(P2289),ISNUMBER(A2289)),IF(AND(A2289&gt;=Dashboard!$Q$3,A2289&lt;=Dashboard!$Q$4,OR(J2289&lt;&gt;"Yes",Dashboard!$Q$15="Yes")),P2289,""),"")</f>
        <v/>
      </c>
    </row>
    <row r="2290">
      <c r="A2290" s="47" t="n"/>
      <c r="B2290" s="48" t="n"/>
      <c r="C2290" s="48" t="n"/>
      <c r="D2290" s="48" t="n"/>
      <c r="E2290" s="48" t="n"/>
      <c r="F2290" s="48" t="n"/>
      <c r="G2290" s="48" t="n"/>
      <c r="H2290" s="48" t="n"/>
      <c r="I2290" s="49" t="n"/>
      <c r="J2290" s="50" t="n"/>
      <c r="K2290" s="48" t="n"/>
      <c r="L2290" s="51">
        <f>IF(A2290="","",DATE(YEAR(A2290),MONTH(A2290),1))</f>
        <v/>
      </c>
      <c r="M2290" s="52">
        <f>IF(OR(A2290="",NOT(ISNUMBER(I2290))),"",IF(G2290=Lists!$B$5,I2290/2,IF(G2290=Lists!$B$6,I2290,0)))</f>
        <v/>
      </c>
      <c r="N2290" s="52">
        <f>IF(OR(A2290="",NOT(ISNUMBER(I2290))),"",IF(G2290=Lists!$B$5,I2290/2,IF(G2290=Lists!$B$7,I2290,0)))</f>
        <v/>
      </c>
      <c r="O2290" s="53">
        <f>IF(COUNTA(A2290:K2290)=0,"",IF(OR(A2290="",B2290="",C2290="",D2290="",E2290="",F2290="",G2290="",NOT(ISNUMBER(I2290))),"Incomplete",IF(COUNTIF(Lists!$H$4:$AA$4,C2290)=0,"Check category",IF(COUNTIF(INDEX(Lists!$H$6:$AA$45,0,MATCH(C2290,Lists!$H$4:$AA$4,0)),D2290)=0,"Check sub-category","OK"))))</f>
        <v/>
      </c>
      <c r="P2290">
        <f>IF(ISNUMBER(I2290),I2290+ROW()/10000000,"")</f>
        <v/>
      </c>
      <c r="Q2290">
        <f>IF(AND(ISNUMBER(P2290),ISNUMBER(A2290)),IF(AND(A2290&gt;=Dashboard!$Q$3,A2290&lt;=Dashboard!$Q$4,OR(J2290&lt;&gt;"Yes",Dashboard!$Q$15="Yes")),P2290,""),"")</f>
        <v/>
      </c>
    </row>
    <row r="2291">
      <c r="A2291" s="47" t="n"/>
      <c r="B2291" s="48" t="n"/>
      <c r="C2291" s="48" t="n"/>
      <c r="D2291" s="48" t="n"/>
      <c r="E2291" s="48" t="n"/>
      <c r="F2291" s="48" t="n"/>
      <c r="G2291" s="48" t="n"/>
      <c r="H2291" s="48" t="n"/>
      <c r="I2291" s="49" t="n"/>
      <c r="J2291" s="50" t="n"/>
      <c r="K2291" s="48" t="n"/>
      <c r="L2291" s="51">
        <f>IF(A2291="","",DATE(YEAR(A2291),MONTH(A2291),1))</f>
        <v/>
      </c>
      <c r="M2291" s="52">
        <f>IF(OR(A2291="",NOT(ISNUMBER(I2291))),"",IF(G2291=Lists!$B$5,I2291/2,IF(G2291=Lists!$B$6,I2291,0)))</f>
        <v/>
      </c>
      <c r="N2291" s="52">
        <f>IF(OR(A2291="",NOT(ISNUMBER(I2291))),"",IF(G2291=Lists!$B$5,I2291/2,IF(G2291=Lists!$B$7,I2291,0)))</f>
        <v/>
      </c>
      <c r="O2291" s="53">
        <f>IF(COUNTA(A2291:K2291)=0,"",IF(OR(A2291="",B2291="",C2291="",D2291="",E2291="",F2291="",G2291="",NOT(ISNUMBER(I2291))),"Incomplete",IF(COUNTIF(Lists!$H$4:$AA$4,C2291)=0,"Check category",IF(COUNTIF(INDEX(Lists!$H$6:$AA$45,0,MATCH(C2291,Lists!$H$4:$AA$4,0)),D2291)=0,"Check sub-category","OK"))))</f>
        <v/>
      </c>
      <c r="P2291">
        <f>IF(ISNUMBER(I2291),I2291+ROW()/10000000,"")</f>
        <v/>
      </c>
      <c r="Q2291">
        <f>IF(AND(ISNUMBER(P2291),ISNUMBER(A2291)),IF(AND(A2291&gt;=Dashboard!$Q$3,A2291&lt;=Dashboard!$Q$4,OR(J2291&lt;&gt;"Yes",Dashboard!$Q$15="Yes")),P2291,""),"")</f>
        <v/>
      </c>
    </row>
    <row r="2292">
      <c r="A2292" s="47" t="n"/>
      <c r="B2292" s="48" t="n"/>
      <c r="C2292" s="48" t="n"/>
      <c r="D2292" s="48" t="n"/>
      <c r="E2292" s="48" t="n"/>
      <c r="F2292" s="48" t="n"/>
      <c r="G2292" s="48" t="n"/>
      <c r="H2292" s="48" t="n"/>
      <c r="I2292" s="49" t="n"/>
      <c r="J2292" s="50" t="n"/>
      <c r="K2292" s="48" t="n"/>
      <c r="L2292" s="51">
        <f>IF(A2292="","",DATE(YEAR(A2292),MONTH(A2292),1))</f>
        <v/>
      </c>
      <c r="M2292" s="52">
        <f>IF(OR(A2292="",NOT(ISNUMBER(I2292))),"",IF(G2292=Lists!$B$5,I2292/2,IF(G2292=Lists!$B$6,I2292,0)))</f>
        <v/>
      </c>
      <c r="N2292" s="52">
        <f>IF(OR(A2292="",NOT(ISNUMBER(I2292))),"",IF(G2292=Lists!$B$5,I2292/2,IF(G2292=Lists!$B$7,I2292,0)))</f>
        <v/>
      </c>
      <c r="O2292" s="53">
        <f>IF(COUNTA(A2292:K2292)=0,"",IF(OR(A2292="",B2292="",C2292="",D2292="",E2292="",F2292="",G2292="",NOT(ISNUMBER(I2292))),"Incomplete",IF(COUNTIF(Lists!$H$4:$AA$4,C2292)=0,"Check category",IF(COUNTIF(INDEX(Lists!$H$6:$AA$45,0,MATCH(C2292,Lists!$H$4:$AA$4,0)),D2292)=0,"Check sub-category","OK"))))</f>
        <v/>
      </c>
      <c r="P2292">
        <f>IF(ISNUMBER(I2292),I2292+ROW()/10000000,"")</f>
        <v/>
      </c>
      <c r="Q2292">
        <f>IF(AND(ISNUMBER(P2292),ISNUMBER(A2292)),IF(AND(A2292&gt;=Dashboard!$Q$3,A2292&lt;=Dashboard!$Q$4,OR(J2292&lt;&gt;"Yes",Dashboard!$Q$15="Yes")),P2292,""),"")</f>
        <v/>
      </c>
    </row>
    <row r="2293">
      <c r="A2293" s="47" t="n"/>
      <c r="B2293" s="48" t="n"/>
      <c r="C2293" s="48" t="n"/>
      <c r="D2293" s="48" t="n"/>
      <c r="E2293" s="48" t="n"/>
      <c r="F2293" s="48" t="n"/>
      <c r="G2293" s="48" t="n"/>
      <c r="H2293" s="48" t="n"/>
      <c r="I2293" s="49" t="n"/>
      <c r="J2293" s="50" t="n"/>
      <c r="K2293" s="48" t="n"/>
      <c r="L2293" s="51">
        <f>IF(A2293="","",DATE(YEAR(A2293),MONTH(A2293),1))</f>
        <v/>
      </c>
      <c r="M2293" s="52">
        <f>IF(OR(A2293="",NOT(ISNUMBER(I2293))),"",IF(G2293=Lists!$B$5,I2293/2,IF(G2293=Lists!$B$6,I2293,0)))</f>
        <v/>
      </c>
      <c r="N2293" s="52">
        <f>IF(OR(A2293="",NOT(ISNUMBER(I2293))),"",IF(G2293=Lists!$B$5,I2293/2,IF(G2293=Lists!$B$7,I2293,0)))</f>
        <v/>
      </c>
      <c r="O2293" s="53">
        <f>IF(COUNTA(A2293:K2293)=0,"",IF(OR(A2293="",B2293="",C2293="",D2293="",E2293="",F2293="",G2293="",NOT(ISNUMBER(I2293))),"Incomplete",IF(COUNTIF(Lists!$H$4:$AA$4,C2293)=0,"Check category",IF(COUNTIF(INDEX(Lists!$H$6:$AA$45,0,MATCH(C2293,Lists!$H$4:$AA$4,0)),D2293)=0,"Check sub-category","OK"))))</f>
        <v/>
      </c>
      <c r="P2293">
        <f>IF(ISNUMBER(I2293),I2293+ROW()/10000000,"")</f>
        <v/>
      </c>
      <c r="Q2293">
        <f>IF(AND(ISNUMBER(P2293),ISNUMBER(A2293)),IF(AND(A2293&gt;=Dashboard!$Q$3,A2293&lt;=Dashboard!$Q$4,OR(J2293&lt;&gt;"Yes",Dashboard!$Q$15="Yes")),P2293,""),"")</f>
        <v/>
      </c>
    </row>
    <row r="2294">
      <c r="A2294" s="47" t="n"/>
      <c r="B2294" s="48" t="n"/>
      <c r="C2294" s="48" t="n"/>
      <c r="D2294" s="48" t="n"/>
      <c r="E2294" s="48" t="n"/>
      <c r="F2294" s="48" t="n"/>
      <c r="G2294" s="48" t="n"/>
      <c r="H2294" s="48" t="n"/>
      <c r="I2294" s="49" t="n"/>
      <c r="J2294" s="50" t="n"/>
      <c r="K2294" s="48" t="n"/>
      <c r="L2294" s="51">
        <f>IF(A2294="","",DATE(YEAR(A2294),MONTH(A2294),1))</f>
        <v/>
      </c>
      <c r="M2294" s="52">
        <f>IF(OR(A2294="",NOT(ISNUMBER(I2294))),"",IF(G2294=Lists!$B$5,I2294/2,IF(G2294=Lists!$B$6,I2294,0)))</f>
        <v/>
      </c>
      <c r="N2294" s="52">
        <f>IF(OR(A2294="",NOT(ISNUMBER(I2294))),"",IF(G2294=Lists!$B$5,I2294/2,IF(G2294=Lists!$B$7,I2294,0)))</f>
        <v/>
      </c>
      <c r="O2294" s="53">
        <f>IF(COUNTA(A2294:K2294)=0,"",IF(OR(A2294="",B2294="",C2294="",D2294="",E2294="",F2294="",G2294="",NOT(ISNUMBER(I2294))),"Incomplete",IF(COUNTIF(Lists!$H$4:$AA$4,C2294)=0,"Check category",IF(COUNTIF(INDEX(Lists!$H$6:$AA$45,0,MATCH(C2294,Lists!$H$4:$AA$4,0)),D2294)=0,"Check sub-category","OK"))))</f>
        <v/>
      </c>
      <c r="P2294">
        <f>IF(ISNUMBER(I2294),I2294+ROW()/10000000,"")</f>
        <v/>
      </c>
      <c r="Q2294">
        <f>IF(AND(ISNUMBER(P2294),ISNUMBER(A2294)),IF(AND(A2294&gt;=Dashboard!$Q$3,A2294&lt;=Dashboard!$Q$4,OR(J2294&lt;&gt;"Yes",Dashboard!$Q$15="Yes")),P2294,""),"")</f>
        <v/>
      </c>
    </row>
    <row r="2295">
      <c r="A2295" s="47" t="n"/>
      <c r="B2295" s="48" t="n"/>
      <c r="C2295" s="48" t="n"/>
      <c r="D2295" s="48" t="n"/>
      <c r="E2295" s="48" t="n"/>
      <c r="F2295" s="48" t="n"/>
      <c r="G2295" s="48" t="n"/>
      <c r="H2295" s="48" t="n"/>
      <c r="I2295" s="49" t="n"/>
      <c r="J2295" s="50" t="n"/>
      <c r="K2295" s="48" t="n"/>
      <c r="L2295" s="51">
        <f>IF(A2295="","",DATE(YEAR(A2295),MONTH(A2295),1))</f>
        <v/>
      </c>
      <c r="M2295" s="52">
        <f>IF(OR(A2295="",NOT(ISNUMBER(I2295))),"",IF(G2295=Lists!$B$5,I2295/2,IF(G2295=Lists!$B$6,I2295,0)))</f>
        <v/>
      </c>
      <c r="N2295" s="52">
        <f>IF(OR(A2295="",NOT(ISNUMBER(I2295))),"",IF(G2295=Lists!$B$5,I2295/2,IF(G2295=Lists!$B$7,I2295,0)))</f>
        <v/>
      </c>
      <c r="O2295" s="53">
        <f>IF(COUNTA(A2295:K2295)=0,"",IF(OR(A2295="",B2295="",C2295="",D2295="",E2295="",F2295="",G2295="",NOT(ISNUMBER(I2295))),"Incomplete",IF(COUNTIF(Lists!$H$4:$AA$4,C2295)=0,"Check category",IF(COUNTIF(INDEX(Lists!$H$6:$AA$45,0,MATCH(C2295,Lists!$H$4:$AA$4,0)),D2295)=0,"Check sub-category","OK"))))</f>
        <v/>
      </c>
      <c r="P2295">
        <f>IF(ISNUMBER(I2295),I2295+ROW()/10000000,"")</f>
        <v/>
      </c>
      <c r="Q2295">
        <f>IF(AND(ISNUMBER(P2295),ISNUMBER(A2295)),IF(AND(A2295&gt;=Dashboard!$Q$3,A2295&lt;=Dashboard!$Q$4,OR(J2295&lt;&gt;"Yes",Dashboard!$Q$15="Yes")),P2295,""),"")</f>
        <v/>
      </c>
    </row>
    <row r="2296">
      <c r="A2296" s="47" t="n"/>
      <c r="B2296" s="48" t="n"/>
      <c r="C2296" s="48" t="n"/>
      <c r="D2296" s="48" t="n"/>
      <c r="E2296" s="48" t="n"/>
      <c r="F2296" s="48" t="n"/>
      <c r="G2296" s="48" t="n"/>
      <c r="H2296" s="48" t="n"/>
      <c r="I2296" s="49" t="n"/>
      <c r="J2296" s="50" t="n"/>
      <c r="K2296" s="48" t="n"/>
      <c r="L2296" s="51">
        <f>IF(A2296="","",DATE(YEAR(A2296),MONTH(A2296),1))</f>
        <v/>
      </c>
      <c r="M2296" s="52">
        <f>IF(OR(A2296="",NOT(ISNUMBER(I2296))),"",IF(G2296=Lists!$B$5,I2296/2,IF(G2296=Lists!$B$6,I2296,0)))</f>
        <v/>
      </c>
      <c r="N2296" s="52">
        <f>IF(OR(A2296="",NOT(ISNUMBER(I2296))),"",IF(G2296=Lists!$B$5,I2296/2,IF(G2296=Lists!$B$7,I2296,0)))</f>
        <v/>
      </c>
      <c r="O2296" s="53">
        <f>IF(COUNTA(A2296:K2296)=0,"",IF(OR(A2296="",B2296="",C2296="",D2296="",E2296="",F2296="",G2296="",NOT(ISNUMBER(I2296))),"Incomplete",IF(COUNTIF(Lists!$H$4:$AA$4,C2296)=0,"Check category",IF(COUNTIF(INDEX(Lists!$H$6:$AA$45,0,MATCH(C2296,Lists!$H$4:$AA$4,0)),D2296)=0,"Check sub-category","OK"))))</f>
        <v/>
      </c>
      <c r="P2296">
        <f>IF(ISNUMBER(I2296),I2296+ROW()/10000000,"")</f>
        <v/>
      </c>
      <c r="Q2296">
        <f>IF(AND(ISNUMBER(P2296),ISNUMBER(A2296)),IF(AND(A2296&gt;=Dashboard!$Q$3,A2296&lt;=Dashboard!$Q$4,OR(J2296&lt;&gt;"Yes",Dashboard!$Q$15="Yes")),P2296,""),"")</f>
        <v/>
      </c>
    </row>
    <row r="2297">
      <c r="A2297" s="47" t="n"/>
      <c r="B2297" s="48" t="n"/>
      <c r="C2297" s="48" t="n"/>
      <c r="D2297" s="48" t="n"/>
      <c r="E2297" s="48" t="n"/>
      <c r="F2297" s="48" t="n"/>
      <c r="G2297" s="48" t="n"/>
      <c r="H2297" s="48" t="n"/>
      <c r="I2297" s="49" t="n"/>
      <c r="J2297" s="50" t="n"/>
      <c r="K2297" s="48" t="n"/>
      <c r="L2297" s="51">
        <f>IF(A2297="","",DATE(YEAR(A2297),MONTH(A2297),1))</f>
        <v/>
      </c>
      <c r="M2297" s="52">
        <f>IF(OR(A2297="",NOT(ISNUMBER(I2297))),"",IF(G2297=Lists!$B$5,I2297/2,IF(G2297=Lists!$B$6,I2297,0)))</f>
        <v/>
      </c>
      <c r="N2297" s="52">
        <f>IF(OR(A2297="",NOT(ISNUMBER(I2297))),"",IF(G2297=Lists!$B$5,I2297/2,IF(G2297=Lists!$B$7,I2297,0)))</f>
        <v/>
      </c>
      <c r="O2297" s="53">
        <f>IF(COUNTA(A2297:K2297)=0,"",IF(OR(A2297="",B2297="",C2297="",D2297="",E2297="",F2297="",G2297="",NOT(ISNUMBER(I2297))),"Incomplete",IF(COUNTIF(Lists!$H$4:$AA$4,C2297)=0,"Check category",IF(COUNTIF(INDEX(Lists!$H$6:$AA$45,0,MATCH(C2297,Lists!$H$4:$AA$4,0)),D2297)=0,"Check sub-category","OK"))))</f>
        <v/>
      </c>
      <c r="P2297">
        <f>IF(ISNUMBER(I2297),I2297+ROW()/10000000,"")</f>
        <v/>
      </c>
      <c r="Q2297">
        <f>IF(AND(ISNUMBER(P2297),ISNUMBER(A2297)),IF(AND(A2297&gt;=Dashboard!$Q$3,A2297&lt;=Dashboard!$Q$4,OR(J2297&lt;&gt;"Yes",Dashboard!$Q$15="Yes")),P2297,""),"")</f>
        <v/>
      </c>
    </row>
    <row r="2298">
      <c r="A2298" s="47" t="n"/>
      <c r="B2298" s="48" t="n"/>
      <c r="C2298" s="48" t="n"/>
      <c r="D2298" s="48" t="n"/>
      <c r="E2298" s="48" t="n"/>
      <c r="F2298" s="48" t="n"/>
      <c r="G2298" s="48" t="n"/>
      <c r="H2298" s="48" t="n"/>
      <c r="I2298" s="49" t="n"/>
      <c r="J2298" s="50" t="n"/>
      <c r="K2298" s="48" t="n"/>
      <c r="L2298" s="51">
        <f>IF(A2298="","",DATE(YEAR(A2298),MONTH(A2298),1))</f>
        <v/>
      </c>
      <c r="M2298" s="52">
        <f>IF(OR(A2298="",NOT(ISNUMBER(I2298))),"",IF(G2298=Lists!$B$5,I2298/2,IF(G2298=Lists!$B$6,I2298,0)))</f>
        <v/>
      </c>
      <c r="N2298" s="52">
        <f>IF(OR(A2298="",NOT(ISNUMBER(I2298))),"",IF(G2298=Lists!$B$5,I2298/2,IF(G2298=Lists!$B$7,I2298,0)))</f>
        <v/>
      </c>
      <c r="O2298" s="53">
        <f>IF(COUNTA(A2298:K2298)=0,"",IF(OR(A2298="",B2298="",C2298="",D2298="",E2298="",F2298="",G2298="",NOT(ISNUMBER(I2298))),"Incomplete",IF(COUNTIF(Lists!$H$4:$AA$4,C2298)=0,"Check category",IF(COUNTIF(INDEX(Lists!$H$6:$AA$45,0,MATCH(C2298,Lists!$H$4:$AA$4,0)),D2298)=0,"Check sub-category","OK"))))</f>
        <v/>
      </c>
      <c r="P2298">
        <f>IF(ISNUMBER(I2298),I2298+ROW()/10000000,"")</f>
        <v/>
      </c>
      <c r="Q2298">
        <f>IF(AND(ISNUMBER(P2298),ISNUMBER(A2298)),IF(AND(A2298&gt;=Dashboard!$Q$3,A2298&lt;=Dashboard!$Q$4,OR(J2298&lt;&gt;"Yes",Dashboard!$Q$15="Yes")),P2298,""),"")</f>
        <v/>
      </c>
    </row>
    <row r="2299">
      <c r="A2299" s="47" t="n"/>
      <c r="B2299" s="48" t="n"/>
      <c r="C2299" s="48" t="n"/>
      <c r="D2299" s="48" t="n"/>
      <c r="E2299" s="48" t="n"/>
      <c r="F2299" s="48" t="n"/>
      <c r="G2299" s="48" t="n"/>
      <c r="H2299" s="48" t="n"/>
      <c r="I2299" s="49" t="n"/>
      <c r="J2299" s="50" t="n"/>
      <c r="K2299" s="48" t="n"/>
      <c r="L2299" s="51">
        <f>IF(A2299="","",DATE(YEAR(A2299),MONTH(A2299),1))</f>
        <v/>
      </c>
      <c r="M2299" s="52">
        <f>IF(OR(A2299="",NOT(ISNUMBER(I2299))),"",IF(G2299=Lists!$B$5,I2299/2,IF(G2299=Lists!$B$6,I2299,0)))</f>
        <v/>
      </c>
      <c r="N2299" s="52">
        <f>IF(OR(A2299="",NOT(ISNUMBER(I2299))),"",IF(G2299=Lists!$B$5,I2299/2,IF(G2299=Lists!$B$7,I2299,0)))</f>
        <v/>
      </c>
      <c r="O2299" s="53">
        <f>IF(COUNTA(A2299:K2299)=0,"",IF(OR(A2299="",B2299="",C2299="",D2299="",E2299="",F2299="",G2299="",NOT(ISNUMBER(I2299))),"Incomplete",IF(COUNTIF(Lists!$H$4:$AA$4,C2299)=0,"Check category",IF(COUNTIF(INDEX(Lists!$H$6:$AA$45,0,MATCH(C2299,Lists!$H$4:$AA$4,0)),D2299)=0,"Check sub-category","OK"))))</f>
        <v/>
      </c>
      <c r="P2299">
        <f>IF(ISNUMBER(I2299),I2299+ROW()/10000000,"")</f>
        <v/>
      </c>
      <c r="Q2299">
        <f>IF(AND(ISNUMBER(P2299),ISNUMBER(A2299)),IF(AND(A2299&gt;=Dashboard!$Q$3,A2299&lt;=Dashboard!$Q$4,OR(J2299&lt;&gt;"Yes",Dashboard!$Q$15="Yes")),P2299,""),"")</f>
        <v/>
      </c>
    </row>
    <row r="2300">
      <c r="A2300" s="47" t="n"/>
      <c r="B2300" s="48" t="n"/>
      <c r="C2300" s="48" t="n"/>
      <c r="D2300" s="48" t="n"/>
      <c r="E2300" s="48" t="n"/>
      <c r="F2300" s="48" t="n"/>
      <c r="G2300" s="48" t="n"/>
      <c r="H2300" s="48" t="n"/>
      <c r="I2300" s="49" t="n"/>
      <c r="J2300" s="50" t="n"/>
      <c r="K2300" s="48" t="n"/>
      <c r="L2300" s="51">
        <f>IF(A2300="","",DATE(YEAR(A2300),MONTH(A2300),1))</f>
        <v/>
      </c>
      <c r="M2300" s="52">
        <f>IF(OR(A2300="",NOT(ISNUMBER(I2300))),"",IF(G2300=Lists!$B$5,I2300/2,IF(G2300=Lists!$B$6,I2300,0)))</f>
        <v/>
      </c>
      <c r="N2300" s="52">
        <f>IF(OR(A2300="",NOT(ISNUMBER(I2300))),"",IF(G2300=Lists!$B$5,I2300/2,IF(G2300=Lists!$B$7,I2300,0)))</f>
        <v/>
      </c>
      <c r="O2300" s="53">
        <f>IF(COUNTA(A2300:K2300)=0,"",IF(OR(A2300="",B2300="",C2300="",D2300="",E2300="",F2300="",G2300="",NOT(ISNUMBER(I2300))),"Incomplete",IF(COUNTIF(Lists!$H$4:$AA$4,C2300)=0,"Check category",IF(COUNTIF(INDEX(Lists!$H$6:$AA$45,0,MATCH(C2300,Lists!$H$4:$AA$4,0)),D2300)=0,"Check sub-category","OK"))))</f>
        <v/>
      </c>
      <c r="P2300">
        <f>IF(ISNUMBER(I2300),I2300+ROW()/10000000,"")</f>
        <v/>
      </c>
      <c r="Q2300">
        <f>IF(AND(ISNUMBER(P2300),ISNUMBER(A2300)),IF(AND(A2300&gt;=Dashboard!$Q$3,A2300&lt;=Dashboard!$Q$4,OR(J2300&lt;&gt;"Yes",Dashboard!$Q$15="Yes")),P2300,""),"")</f>
        <v/>
      </c>
    </row>
    <row r="2301">
      <c r="A2301" s="47" t="n"/>
      <c r="B2301" s="48" t="n"/>
      <c r="C2301" s="48" t="n"/>
      <c r="D2301" s="48" t="n"/>
      <c r="E2301" s="48" t="n"/>
      <c r="F2301" s="48" t="n"/>
      <c r="G2301" s="48" t="n"/>
      <c r="H2301" s="48" t="n"/>
      <c r="I2301" s="49" t="n"/>
      <c r="J2301" s="50" t="n"/>
      <c r="K2301" s="48" t="n"/>
      <c r="L2301" s="51">
        <f>IF(A2301="","",DATE(YEAR(A2301),MONTH(A2301),1))</f>
        <v/>
      </c>
      <c r="M2301" s="52">
        <f>IF(OR(A2301="",NOT(ISNUMBER(I2301))),"",IF(G2301=Lists!$B$5,I2301/2,IF(G2301=Lists!$B$6,I2301,0)))</f>
        <v/>
      </c>
      <c r="N2301" s="52">
        <f>IF(OR(A2301="",NOT(ISNUMBER(I2301))),"",IF(G2301=Lists!$B$5,I2301/2,IF(G2301=Lists!$B$7,I2301,0)))</f>
        <v/>
      </c>
      <c r="O2301" s="53">
        <f>IF(COUNTA(A2301:K2301)=0,"",IF(OR(A2301="",B2301="",C2301="",D2301="",E2301="",F2301="",G2301="",NOT(ISNUMBER(I2301))),"Incomplete",IF(COUNTIF(Lists!$H$4:$AA$4,C2301)=0,"Check category",IF(COUNTIF(INDEX(Lists!$H$6:$AA$45,0,MATCH(C2301,Lists!$H$4:$AA$4,0)),D2301)=0,"Check sub-category","OK"))))</f>
        <v/>
      </c>
      <c r="P2301">
        <f>IF(ISNUMBER(I2301),I2301+ROW()/10000000,"")</f>
        <v/>
      </c>
      <c r="Q2301">
        <f>IF(AND(ISNUMBER(P2301),ISNUMBER(A2301)),IF(AND(A2301&gt;=Dashboard!$Q$3,A2301&lt;=Dashboard!$Q$4,OR(J2301&lt;&gt;"Yes",Dashboard!$Q$15="Yes")),P2301,""),"")</f>
        <v/>
      </c>
    </row>
    <row r="2302">
      <c r="A2302" s="47" t="n"/>
      <c r="B2302" s="48" t="n"/>
      <c r="C2302" s="48" t="n"/>
      <c r="D2302" s="48" t="n"/>
      <c r="E2302" s="48" t="n"/>
      <c r="F2302" s="48" t="n"/>
      <c r="G2302" s="48" t="n"/>
      <c r="H2302" s="48" t="n"/>
      <c r="I2302" s="49" t="n"/>
      <c r="J2302" s="50" t="n"/>
      <c r="K2302" s="48" t="n"/>
      <c r="L2302" s="51">
        <f>IF(A2302="","",DATE(YEAR(A2302),MONTH(A2302),1))</f>
        <v/>
      </c>
      <c r="M2302" s="52">
        <f>IF(OR(A2302="",NOT(ISNUMBER(I2302))),"",IF(G2302=Lists!$B$5,I2302/2,IF(G2302=Lists!$B$6,I2302,0)))</f>
        <v/>
      </c>
      <c r="N2302" s="52">
        <f>IF(OR(A2302="",NOT(ISNUMBER(I2302))),"",IF(G2302=Lists!$B$5,I2302/2,IF(G2302=Lists!$B$7,I2302,0)))</f>
        <v/>
      </c>
      <c r="O2302" s="53">
        <f>IF(COUNTA(A2302:K2302)=0,"",IF(OR(A2302="",B2302="",C2302="",D2302="",E2302="",F2302="",G2302="",NOT(ISNUMBER(I2302))),"Incomplete",IF(COUNTIF(Lists!$H$4:$AA$4,C2302)=0,"Check category",IF(COUNTIF(INDEX(Lists!$H$6:$AA$45,0,MATCH(C2302,Lists!$H$4:$AA$4,0)),D2302)=0,"Check sub-category","OK"))))</f>
        <v/>
      </c>
      <c r="P2302">
        <f>IF(ISNUMBER(I2302),I2302+ROW()/10000000,"")</f>
        <v/>
      </c>
      <c r="Q2302">
        <f>IF(AND(ISNUMBER(P2302),ISNUMBER(A2302)),IF(AND(A2302&gt;=Dashboard!$Q$3,A2302&lt;=Dashboard!$Q$4,OR(J2302&lt;&gt;"Yes",Dashboard!$Q$15="Yes")),P2302,""),"")</f>
        <v/>
      </c>
    </row>
    <row r="2303">
      <c r="A2303" s="47" t="n"/>
      <c r="B2303" s="48" t="n"/>
      <c r="C2303" s="48" t="n"/>
      <c r="D2303" s="48" t="n"/>
      <c r="E2303" s="48" t="n"/>
      <c r="F2303" s="48" t="n"/>
      <c r="G2303" s="48" t="n"/>
      <c r="H2303" s="48" t="n"/>
      <c r="I2303" s="49" t="n"/>
      <c r="J2303" s="50" t="n"/>
      <c r="K2303" s="48" t="n"/>
      <c r="L2303" s="51">
        <f>IF(A2303="","",DATE(YEAR(A2303),MONTH(A2303),1))</f>
        <v/>
      </c>
      <c r="M2303" s="52">
        <f>IF(OR(A2303="",NOT(ISNUMBER(I2303))),"",IF(G2303=Lists!$B$5,I2303/2,IF(G2303=Lists!$B$6,I2303,0)))</f>
        <v/>
      </c>
      <c r="N2303" s="52">
        <f>IF(OR(A2303="",NOT(ISNUMBER(I2303))),"",IF(G2303=Lists!$B$5,I2303/2,IF(G2303=Lists!$B$7,I2303,0)))</f>
        <v/>
      </c>
      <c r="O2303" s="53">
        <f>IF(COUNTA(A2303:K2303)=0,"",IF(OR(A2303="",B2303="",C2303="",D2303="",E2303="",F2303="",G2303="",NOT(ISNUMBER(I2303))),"Incomplete",IF(COUNTIF(Lists!$H$4:$AA$4,C2303)=0,"Check category",IF(COUNTIF(INDEX(Lists!$H$6:$AA$45,0,MATCH(C2303,Lists!$H$4:$AA$4,0)),D2303)=0,"Check sub-category","OK"))))</f>
        <v/>
      </c>
      <c r="P2303">
        <f>IF(ISNUMBER(I2303),I2303+ROW()/10000000,"")</f>
        <v/>
      </c>
      <c r="Q2303">
        <f>IF(AND(ISNUMBER(P2303),ISNUMBER(A2303)),IF(AND(A2303&gt;=Dashboard!$Q$3,A2303&lt;=Dashboard!$Q$4,OR(J2303&lt;&gt;"Yes",Dashboard!$Q$15="Yes")),P2303,""),"")</f>
        <v/>
      </c>
    </row>
    <row r="2304">
      <c r="A2304" s="47" t="n"/>
      <c r="B2304" s="48" t="n"/>
      <c r="C2304" s="48" t="n"/>
      <c r="D2304" s="48" t="n"/>
      <c r="E2304" s="48" t="n"/>
      <c r="F2304" s="48" t="n"/>
      <c r="G2304" s="48" t="n"/>
      <c r="H2304" s="48" t="n"/>
      <c r="I2304" s="49" t="n"/>
      <c r="J2304" s="50" t="n"/>
      <c r="K2304" s="48" t="n"/>
      <c r="L2304" s="51">
        <f>IF(A2304="","",DATE(YEAR(A2304),MONTH(A2304),1))</f>
        <v/>
      </c>
      <c r="M2304" s="52">
        <f>IF(OR(A2304="",NOT(ISNUMBER(I2304))),"",IF(G2304=Lists!$B$5,I2304/2,IF(G2304=Lists!$B$6,I2304,0)))</f>
        <v/>
      </c>
      <c r="N2304" s="52">
        <f>IF(OR(A2304="",NOT(ISNUMBER(I2304))),"",IF(G2304=Lists!$B$5,I2304/2,IF(G2304=Lists!$B$7,I2304,0)))</f>
        <v/>
      </c>
      <c r="O2304" s="53">
        <f>IF(COUNTA(A2304:K2304)=0,"",IF(OR(A2304="",B2304="",C2304="",D2304="",E2304="",F2304="",G2304="",NOT(ISNUMBER(I2304))),"Incomplete",IF(COUNTIF(Lists!$H$4:$AA$4,C2304)=0,"Check category",IF(COUNTIF(INDEX(Lists!$H$6:$AA$45,0,MATCH(C2304,Lists!$H$4:$AA$4,0)),D2304)=0,"Check sub-category","OK"))))</f>
        <v/>
      </c>
      <c r="P2304">
        <f>IF(ISNUMBER(I2304),I2304+ROW()/10000000,"")</f>
        <v/>
      </c>
      <c r="Q2304">
        <f>IF(AND(ISNUMBER(P2304),ISNUMBER(A2304)),IF(AND(A2304&gt;=Dashboard!$Q$3,A2304&lt;=Dashboard!$Q$4,OR(J2304&lt;&gt;"Yes",Dashboard!$Q$15="Yes")),P2304,""),"")</f>
        <v/>
      </c>
    </row>
    <row r="2305">
      <c r="A2305" s="47" t="n"/>
      <c r="B2305" s="48" t="n"/>
      <c r="C2305" s="48" t="n"/>
      <c r="D2305" s="48" t="n"/>
      <c r="E2305" s="48" t="n"/>
      <c r="F2305" s="48" t="n"/>
      <c r="G2305" s="48" t="n"/>
      <c r="H2305" s="48" t="n"/>
      <c r="I2305" s="49" t="n"/>
      <c r="J2305" s="50" t="n"/>
      <c r="K2305" s="48" t="n"/>
      <c r="L2305" s="51">
        <f>IF(A2305="","",DATE(YEAR(A2305),MONTH(A2305),1))</f>
        <v/>
      </c>
      <c r="M2305" s="52">
        <f>IF(OR(A2305="",NOT(ISNUMBER(I2305))),"",IF(G2305=Lists!$B$5,I2305/2,IF(G2305=Lists!$B$6,I2305,0)))</f>
        <v/>
      </c>
      <c r="N2305" s="52">
        <f>IF(OR(A2305="",NOT(ISNUMBER(I2305))),"",IF(G2305=Lists!$B$5,I2305/2,IF(G2305=Lists!$B$7,I2305,0)))</f>
        <v/>
      </c>
      <c r="O2305" s="53">
        <f>IF(COUNTA(A2305:K2305)=0,"",IF(OR(A2305="",B2305="",C2305="",D2305="",E2305="",F2305="",G2305="",NOT(ISNUMBER(I2305))),"Incomplete",IF(COUNTIF(Lists!$H$4:$AA$4,C2305)=0,"Check category",IF(COUNTIF(INDEX(Lists!$H$6:$AA$45,0,MATCH(C2305,Lists!$H$4:$AA$4,0)),D2305)=0,"Check sub-category","OK"))))</f>
        <v/>
      </c>
      <c r="P2305">
        <f>IF(ISNUMBER(I2305),I2305+ROW()/10000000,"")</f>
        <v/>
      </c>
      <c r="Q2305">
        <f>IF(AND(ISNUMBER(P2305),ISNUMBER(A2305)),IF(AND(A2305&gt;=Dashboard!$Q$3,A2305&lt;=Dashboard!$Q$4,OR(J2305&lt;&gt;"Yes",Dashboard!$Q$15="Yes")),P2305,""),"")</f>
        <v/>
      </c>
    </row>
    <row r="2306">
      <c r="A2306" s="47" t="n"/>
      <c r="B2306" s="48" t="n"/>
      <c r="C2306" s="48" t="n"/>
      <c r="D2306" s="48" t="n"/>
      <c r="E2306" s="48" t="n"/>
      <c r="F2306" s="48" t="n"/>
      <c r="G2306" s="48" t="n"/>
      <c r="H2306" s="48" t="n"/>
      <c r="I2306" s="49" t="n"/>
      <c r="J2306" s="50" t="n"/>
      <c r="K2306" s="48" t="n"/>
      <c r="L2306" s="51">
        <f>IF(A2306="","",DATE(YEAR(A2306),MONTH(A2306),1))</f>
        <v/>
      </c>
      <c r="M2306" s="52">
        <f>IF(OR(A2306="",NOT(ISNUMBER(I2306))),"",IF(G2306=Lists!$B$5,I2306/2,IF(G2306=Lists!$B$6,I2306,0)))</f>
        <v/>
      </c>
      <c r="N2306" s="52">
        <f>IF(OR(A2306="",NOT(ISNUMBER(I2306))),"",IF(G2306=Lists!$B$5,I2306/2,IF(G2306=Lists!$B$7,I2306,0)))</f>
        <v/>
      </c>
      <c r="O2306" s="53">
        <f>IF(COUNTA(A2306:K2306)=0,"",IF(OR(A2306="",B2306="",C2306="",D2306="",E2306="",F2306="",G2306="",NOT(ISNUMBER(I2306))),"Incomplete",IF(COUNTIF(Lists!$H$4:$AA$4,C2306)=0,"Check category",IF(COUNTIF(INDEX(Lists!$H$6:$AA$45,0,MATCH(C2306,Lists!$H$4:$AA$4,0)),D2306)=0,"Check sub-category","OK"))))</f>
        <v/>
      </c>
      <c r="P2306">
        <f>IF(ISNUMBER(I2306),I2306+ROW()/10000000,"")</f>
        <v/>
      </c>
      <c r="Q2306">
        <f>IF(AND(ISNUMBER(P2306),ISNUMBER(A2306)),IF(AND(A2306&gt;=Dashboard!$Q$3,A2306&lt;=Dashboard!$Q$4,OR(J2306&lt;&gt;"Yes",Dashboard!$Q$15="Yes")),P2306,""),"")</f>
        <v/>
      </c>
    </row>
    <row r="2307">
      <c r="A2307" s="47" t="n"/>
      <c r="B2307" s="48" t="n"/>
      <c r="C2307" s="48" t="n"/>
      <c r="D2307" s="48" t="n"/>
      <c r="E2307" s="48" t="n"/>
      <c r="F2307" s="48" t="n"/>
      <c r="G2307" s="48" t="n"/>
      <c r="H2307" s="48" t="n"/>
      <c r="I2307" s="49" t="n"/>
      <c r="J2307" s="50" t="n"/>
      <c r="K2307" s="48" t="n"/>
      <c r="L2307" s="51">
        <f>IF(A2307="","",DATE(YEAR(A2307),MONTH(A2307),1))</f>
        <v/>
      </c>
      <c r="M2307" s="52">
        <f>IF(OR(A2307="",NOT(ISNUMBER(I2307))),"",IF(G2307=Lists!$B$5,I2307/2,IF(G2307=Lists!$B$6,I2307,0)))</f>
        <v/>
      </c>
      <c r="N2307" s="52">
        <f>IF(OR(A2307="",NOT(ISNUMBER(I2307))),"",IF(G2307=Lists!$B$5,I2307/2,IF(G2307=Lists!$B$7,I2307,0)))</f>
        <v/>
      </c>
      <c r="O2307" s="53">
        <f>IF(COUNTA(A2307:K2307)=0,"",IF(OR(A2307="",B2307="",C2307="",D2307="",E2307="",F2307="",G2307="",NOT(ISNUMBER(I2307))),"Incomplete",IF(COUNTIF(Lists!$H$4:$AA$4,C2307)=0,"Check category",IF(COUNTIF(INDEX(Lists!$H$6:$AA$45,0,MATCH(C2307,Lists!$H$4:$AA$4,0)),D2307)=0,"Check sub-category","OK"))))</f>
        <v/>
      </c>
      <c r="P2307">
        <f>IF(ISNUMBER(I2307),I2307+ROW()/10000000,"")</f>
        <v/>
      </c>
      <c r="Q2307">
        <f>IF(AND(ISNUMBER(P2307),ISNUMBER(A2307)),IF(AND(A2307&gt;=Dashboard!$Q$3,A2307&lt;=Dashboard!$Q$4,OR(J2307&lt;&gt;"Yes",Dashboard!$Q$15="Yes")),P2307,""),"")</f>
        <v/>
      </c>
    </row>
    <row r="2308">
      <c r="A2308" s="47" t="n"/>
      <c r="B2308" s="48" t="n"/>
      <c r="C2308" s="48" t="n"/>
      <c r="D2308" s="48" t="n"/>
      <c r="E2308" s="48" t="n"/>
      <c r="F2308" s="48" t="n"/>
      <c r="G2308" s="48" t="n"/>
      <c r="H2308" s="48" t="n"/>
      <c r="I2308" s="49" t="n"/>
      <c r="J2308" s="50" t="n"/>
      <c r="K2308" s="48" t="n"/>
      <c r="L2308" s="51">
        <f>IF(A2308="","",DATE(YEAR(A2308),MONTH(A2308),1))</f>
        <v/>
      </c>
      <c r="M2308" s="52">
        <f>IF(OR(A2308="",NOT(ISNUMBER(I2308))),"",IF(G2308=Lists!$B$5,I2308/2,IF(G2308=Lists!$B$6,I2308,0)))</f>
        <v/>
      </c>
      <c r="N2308" s="52">
        <f>IF(OR(A2308="",NOT(ISNUMBER(I2308))),"",IF(G2308=Lists!$B$5,I2308/2,IF(G2308=Lists!$B$7,I2308,0)))</f>
        <v/>
      </c>
      <c r="O2308" s="53">
        <f>IF(COUNTA(A2308:K2308)=0,"",IF(OR(A2308="",B2308="",C2308="",D2308="",E2308="",F2308="",G2308="",NOT(ISNUMBER(I2308))),"Incomplete",IF(COUNTIF(Lists!$H$4:$AA$4,C2308)=0,"Check category",IF(COUNTIF(INDEX(Lists!$H$6:$AA$45,0,MATCH(C2308,Lists!$H$4:$AA$4,0)),D2308)=0,"Check sub-category","OK"))))</f>
        <v/>
      </c>
      <c r="P2308">
        <f>IF(ISNUMBER(I2308),I2308+ROW()/10000000,"")</f>
        <v/>
      </c>
      <c r="Q2308">
        <f>IF(AND(ISNUMBER(P2308),ISNUMBER(A2308)),IF(AND(A2308&gt;=Dashboard!$Q$3,A2308&lt;=Dashboard!$Q$4,OR(J2308&lt;&gt;"Yes",Dashboard!$Q$15="Yes")),P2308,""),"")</f>
        <v/>
      </c>
    </row>
    <row r="2309">
      <c r="A2309" s="47" t="n"/>
      <c r="B2309" s="48" t="n"/>
      <c r="C2309" s="48" t="n"/>
      <c r="D2309" s="48" t="n"/>
      <c r="E2309" s="48" t="n"/>
      <c r="F2309" s="48" t="n"/>
      <c r="G2309" s="48" t="n"/>
      <c r="H2309" s="48" t="n"/>
      <c r="I2309" s="49" t="n"/>
      <c r="J2309" s="50" t="n"/>
      <c r="K2309" s="48" t="n"/>
      <c r="L2309" s="51">
        <f>IF(A2309="","",DATE(YEAR(A2309),MONTH(A2309),1))</f>
        <v/>
      </c>
      <c r="M2309" s="52">
        <f>IF(OR(A2309="",NOT(ISNUMBER(I2309))),"",IF(G2309=Lists!$B$5,I2309/2,IF(G2309=Lists!$B$6,I2309,0)))</f>
        <v/>
      </c>
      <c r="N2309" s="52">
        <f>IF(OR(A2309="",NOT(ISNUMBER(I2309))),"",IF(G2309=Lists!$B$5,I2309/2,IF(G2309=Lists!$B$7,I2309,0)))</f>
        <v/>
      </c>
      <c r="O2309" s="53">
        <f>IF(COUNTA(A2309:K2309)=0,"",IF(OR(A2309="",B2309="",C2309="",D2309="",E2309="",F2309="",G2309="",NOT(ISNUMBER(I2309))),"Incomplete",IF(COUNTIF(Lists!$H$4:$AA$4,C2309)=0,"Check category",IF(COUNTIF(INDEX(Lists!$H$6:$AA$45,0,MATCH(C2309,Lists!$H$4:$AA$4,0)),D2309)=0,"Check sub-category","OK"))))</f>
        <v/>
      </c>
      <c r="P2309">
        <f>IF(ISNUMBER(I2309),I2309+ROW()/10000000,"")</f>
        <v/>
      </c>
      <c r="Q2309">
        <f>IF(AND(ISNUMBER(P2309),ISNUMBER(A2309)),IF(AND(A2309&gt;=Dashboard!$Q$3,A2309&lt;=Dashboard!$Q$4,OR(J2309&lt;&gt;"Yes",Dashboard!$Q$15="Yes")),P2309,""),"")</f>
        <v/>
      </c>
    </row>
    <row r="2310">
      <c r="A2310" s="47" t="n"/>
      <c r="B2310" s="48" t="n"/>
      <c r="C2310" s="48" t="n"/>
      <c r="D2310" s="48" t="n"/>
      <c r="E2310" s="48" t="n"/>
      <c r="F2310" s="48" t="n"/>
      <c r="G2310" s="48" t="n"/>
      <c r="H2310" s="48" t="n"/>
      <c r="I2310" s="49" t="n"/>
      <c r="J2310" s="50" t="n"/>
      <c r="K2310" s="48" t="n"/>
      <c r="L2310" s="51">
        <f>IF(A2310="","",DATE(YEAR(A2310),MONTH(A2310),1))</f>
        <v/>
      </c>
      <c r="M2310" s="52">
        <f>IF(OR(A2310="",NOT(ISNUMBER(I2310))),"",IF(G2310=Lists!$B$5,I2310/2,IF(G2310=Lists!$B$6,I2310,0)))</f>
        <v/>
      </c>
      <c r="N2310" s="52">
        <f>IF(OR(A2310="",NOT(ISNUMBER(I2310))),"",IF(G2310=Lists!$B$5,I2310/2,IF(G2310=Lists!$B$7,I2310,0)))</f>
        <v/>
      </c>
      <c r="O2310" s="53">
        <f>IF(COUNTA(A2310:K2310)=0,"",IF(OR(A2310="",B2310="",C2310="",D2310="",E2310="",F2310="",G2310="",NOT(ISNUMBER(I2310))),"Incomplete",IF(COUNTIF(Lists!$H$4:$AA$4,C2310)=0,"Check category",IF(COUNTIF(INDEX(Lists!$H$6:$AA$45,0,MATCH(C2310,Lists!$H$4:$AA$4,0)),D2310)=0,"Check sub-category","OK"))))</f>
        <v/>
      </c>
      <c r="P2310">
        <f>IF(ISNUMBER(I2310),I2310+ROW()/10000000,"")</f>
        <v/>
      </c>
      <c r="Q2310">
        <f>IF(AND(ISNUMBER(P2310),ISNUMBER(A2310)),IF(AND(A2310&gt;=Dashboard!$Q$3,A2310&lt;=Dashboard!$Q$4,OR(J2310&lt;&gt;"Yes",Dashboard!$Q$15="Yes")),P2310,""),"")</f>
        <v/>
      </c>
    </row>
    <row r="2311">
      <c r="A2311" s="47" t="n"/>
      <c r="B2311" s="48" t="n"/>
      <c r="C2311" s="48" t="n"/>
      <c r="D2311" s="48" t="n"/>
      <c r="E2311" s="48" t="n"/>
      <c r="F2311" s="48" t="n"/>
      <c r="G2311" s="48" t="n"/>
      <c r="H2311" s="48" t="n"/>
      <c r="I2311" s="49" t="n"/>
      <c r="J2311" s="50" t="n"/>
      <c r="K2311" s="48" t="n"/>
      <c r="L2311" s="51">
        <f>IF(A2311="","",DATE(YEAR(A2311),MONTH(A2311),1))</f>
        <v/>
      </c>
      <c r="M2311" s="52">
        <f>IF(OR(A2311="",NOT(ISNUMBER(I2311))),"",IF(G2311=Lists!$B$5,I2311/2,IF(G2311=Lists!$B$6,I2311,0)))</f>
        <v/>
      </c>
      <c r="N2311" s="52">
        <f>IF(OR(A2311="",NOT(ISNUMBER(I2311))),"",IF(G2311=Lists!$B$5,I2311/2,IF(G2311=Lists!$B$7,I2311,0)))</f>
        <v/>
      </c>
      <c r="O2311" s="53">
        <f>IF(COUNTA(A2311:K2311)=0,"",IF(OR(A2311="",B2311="",C2311="",D2311="",E2311="",F2311="",G2311="",NOT(ISNUMBER(I2311))),"Incomplete",IF(COUNTIF(Lists!$H$4:$AA$4,C2311)=0,"Check category",IF(COUNTIF(INDEX(Lists!$H$6:$AA$45,0,MATCH(C2311,Lists!$H$4:$AA$4,0)),D2311)=0,"Check sub-category","OK"))))</f>
        <v/>
      </c>
      <c r="P2311">
        <f>IF(ISNUMBER(I2311),I2311+ROW()/10000000,"")</f>
        <v/>
      </c>
      <c r="Q2311">
        <f>IF(AND(ISNUMBER(P2311),ISNUMBER(A2311)),IF(AND(A2311&gt;=Dashboard!$Q$3,A2311&lt;=Dashboard!$Q$4,OR(J2311&lt;&gt;"Yes",Dashboard!$Q$15="Yes")),P2311,""),"")</f>
        <v/>
      </c>
    </row>
    <row r="2312">
      <c r="A2312" s="47" t="n"/>
      <c r="B2312" s="48" t="n"/>
      <c r="C2312" s="48" t="n"/>
      <c r="D2312" s="48" t="n"/>
      <c r="E2312" s="48" t="n"/>
      <c r="F2312" s="48" t="n"/>
      <c r="G2312" s="48" t="n"/>
      <c r="H2312" s="48" t="n"/>
      <c r="I2312" s="49" t="n"/>
      <c r="J2312" s="50" t="n"/>
      <c r="K2312" s="48" t="n"/>
      <c r="L2312" s="51">
        <f>IF(A2312="","",DATE(YEAR(A2312),MONTH(A2312),1))</f>
        <v/>
      </c>
      <c r="M2312" s="52">
        <f>IF(OR(A2312="",NOT(ISNUMBER(I2312))),"",IF(G2312=Lists!$B$5,I2312/2,IF(G2312=Lists!$B$6,I2312,0)))</f>
        <v/>
      </c>
      <c r="N2312" s="52">
        <f>IF(OR(A2312="",NOT(ISNUMBER(I2312))),"",IF(G2312=Lists!$B$5,I2312/2,IF(G2312=Lists!$B$7,I2312,0)))</f>
        <v/>
      </c>
      <c r="O2312" s="53">
        <f>IF(COUNTA(A2312:K2312)=0,"",IF(OR(A2312="",B2312="",C2312="",D2312="",E2312="",F2312="",G2312="",NOT(ISNUMBER(I2312))),"Incomplete",IF(COUNTIF(Lists!$H$4:$AA$4,C2312)=0,"Check category",IF(COUNTIF(INDEX(Lists!$H$6:$AA$45,0,MATCH(C2312,Lists!$H$4:$AA$4,0)),D2312)=0,"Check sub-category","OK"))))</f>
        <v/>
      </c>
      <c r="P2312">
        <f>IF(ISNUMBER(I2312),I2312+ROW()/10000000,"")</f>
        <v/>
      </c>
      <c r="Q2312">
        <f>IF(AND(ISNUMBER(P2312),ISNUMBER(A2312)),IF(AND(A2312&gt;=Dashboard!$Q$3,A2312&lt;=Dashboard!$Q$4,OR(J2312&lt;&gt;"Yes",Dashboard!$Q$15="Yes")),P2312,""),"")</f>
        <v/>
      </c>
    </row>
    <row r="2313">
      <c r="A2313" s="47" t="n"/>
      <c r="B2313" s="48" t="n"/>
      <c r="C2313" s="48" t="n"/>
      <c r="D2313" s="48" t="n"/>
      <c r="E2313" s="48" t="n"/>
      <c r="F2313" s="48" t="n"/>
      <c r="G2313" s="48" t="n"/>
      <c r="H2313" s="48" t="n"/>
      <c r="I2313" s="49" t="n"/>
      <c r="J2313" s="50" t="n"/>
      <c r="K2313" s="48" t="n"/>
      <c r="L2313" s="51">
        <f>IF(A2313="","",DATE(YEAR(A2313),MONTH(A2313),1))</f>
        <v/>
      </c>
      <c r="M2313" s="52">
        <f>IF(OR(A2313="",NOT(ISNUMBER(I2313))),"",IF(G2313=Lists!$B$5,I2313/2,IF(G2313=Lists!$B$6,I2313,0)))</f>
        <v/>
      </c>
      <c r="N2313" s="52">
        <f>IF(OR(A2313="",NOT(ISNUMBER(I2313))),"",IF(G2313=Lists!$B$5,I2313/2,IF(G2313=Lists!$B$7,I2313,0)))</f>
        <v/>
      </c>
      <c r="O2313" s="53">
        <f>IF(COUNTA(A2313:K2313)=0,"",IF(OR(A2313="",B2313="",C2313="",D2313="",E2313="",F2313="",G2313="",NOT(ISNUMBER(I2313))),"Incomplete",IF(COUNTIF(Lists!$H$4:$AA$4,C2313)=0,"Check category",IF(COUNTIF(INDEX(Lists!$H$6:$AA$45,0,MATCH(C2313,Lists!$H$4:$AA$4,0)),D2313)=0,"Check sub-category","OK"))))</f>
        <v/>
      </c>
      <c r="P2313">
        <f>IF(ISNUMBER(I2313),I2313+ROW()/10000000,"")</f>
        <v/>
      </c>
      <c r="Q2313">
        <f>IF(AND(ISNUMBER(P2313),ISNUMBER(A2313)),IF(AND(A2313&gt;=Dashboard!$Q$3,A2313&lt;=Dashboard!$Q$4,OR(J2313&lt;&gt;"Yes",Dashboard!$Q$15="Yes")),P2313,""),"")</f>
        <v/>
      </c>
    </row>
    <row r="2314">
      <c r="A2314" s="47" t="n"/>
      <c r="B2314" s="48" t="n"/>
      <c r="C2314" s="48" t="n"/>
      <c r="D2314" s="48" t="n"/>
      <c r="E2314" s="48" t="n"/>
      <c r="F2314" s="48" t="n"/>
      <c r="G2314" s="48" t="n"/>
      <c r="H2314" s="48" t="n"/>
      <c r="I2314" s="49" t="n"/>
      <c r="J2314" s="50" t="n"/>
      <c r="K2314" s="48" t="n"/>
      <c r="L2314" s="51">
        <f>IF(A2314="","",DATE(YEAR(A2314),MONTH(A2314),1))</f>
        <v/>
      </c>
      <c r="M2314" s="52">
        <f>IF(OR(A2314="",NOT(ISNUMBER(I2314))),"",IF(G2314=Lists!$B$5,I2314/2,IF(G2314=Lists!$B$6,I2314,0)))</f>
        <v/>
      </c>
      <c r="N2314" s="52">
        <f>IF(OR(A2314="",NOT(ISNUMBER(I2314))),"",IF(G2314=Lists!$B$5,I2314/2,IF(G2314=Lists!$B$7,I2314,0)))</f>
        <v/>
      </c>
      <c r="O2314" s="53">
        <f>IF(COUNTA(A2314:K2314)=0,"",IF(OR(A2314="",B2314="",C2314="",D2314="",E2314="",F2314="",G2314="",NOT(ISNUMBER(I2314))),"Incomplete",IF(COUNTIF(Lists!$H$4:$AA$4,C2314)=0,"Check category",IF(COUNTIF(INDEX(Lists!$H$6:$AA$45,0,MATCH(C2314,Lists!$H$4:$AA$4,0)),D2314)=0,"Check sub-category","OK"))))</f>
        <v/>
      </c>
      <c r="P2314">
        <f>IF(ISNUMBER(I2314),I2314+ROW()/10000000,"")</f>
        <v/>
      </c>
      <c r="Q2314">
        <f>IF(AND(ISNUMBER(P2314),ISNUMBER(A2314)),IF(AND(A2314&gt;=Dashboard!$Q$3,A2314&lt;=Dashboard!$Q$4,OR(J2314&lt;&gt;"Yes",Dashboard!$Q$15="Yes")),P2314,""),"")</f>
        <v/>
      </c>
    </row>
    <row r="2315">
      <c r="A2315" s="47" t="n"/>
      <c r="B2315" s="48" t="n"/>
      <c r="C2315" s="48" t="n"/>
      <c r="D2315" s="48" t="n"/>
      <c r="E2315" s="48" t="n"/>
      <c r="F2315" s="48" t="n"/>
      <c r="G2315" s="48" t="n"/>
      <c r="H2315" s="48" t="n"/>
      <c r="I2315" s="49" t="n"/>
      <c r="J2315" s="50" t="n"/>
      <c r="K2315" s="48" t="n"/>
      <c r="L2315" s="51">
        <f>IF(A2315="","",DATE(YEAR(A2315),MONTH(A2315),1))</f>
        <v/>
      </c>
      <c r="M2315" s="52">
        <f>IF(OR(A2315="",NOT(ISNUMBER(I2315))),"",IF(G2315=Lists!$B$5,I2315/2,IF(G2315=Lists!$B$6,I2315,0)))</f>
        <v/>
      </c>
      <c r="N2315" s="52">
        <f>IF(OR(A2315="",NOT(ISNUMBER(I2315))),"",IF(G2315=Lists!$B$5,I2315/2,IF(G2315=Lists!$B$7,I2315,0)))</f>
        <v/>
      </c>
      <c r="O2315" s="53">
        <f>IF(COUNTA(A2315:K2315)=0,"",IF(OR(A2315="",B2315="",C2315="",D2315="",E2315="",F2315="",G2315="",NOT(ISNUMBER(I2315))),"Incomplete",IF(COUNTIF(Lists!$H$4:$AA$4,C2315)=0,"Check category",IF(COUNTIF(INDEX(Lists!$H$6:$AA$45,0,MATCH(C2315,Lists!$H$4:$AA$4,0)),D2315)=0,"Check sub-category","OK"))))</f>
        <v/>
      </c>
      <c r="P2315">
        <f>IF(ISNUMBER(I2315),I2315+ROW()/10000000,"")</f>
        <v/>
      </c>
      <c r="Q2315">
        <f>IF(AND(ISNUMBER(P2315),ISNUMBER(A2315)),IF(AND(A2315&gt;=Dashboard!$Q$3,A2315&lt;=Dashboard!$Q$4,OR(J2315&lt;&gt;"Yes",Dashboard!$Q$15="Yes")),P2315,""),"")</f>
        <v/>
      </c>
    </row>
    <row r="2316">
      <c r="A2316" s="47" t="n"/>
      <c r="B2316" s="48" t="n"/>
      <c r="C2316" s="48" t="n"/>
      <c r="D2316" s="48" t="n"/>
      <c r="E2316" s="48" t="n"/>
      <c r="F2316" s="48" t="n"/>
      <c r="G2316" s="48" t="n"/>
      <c r="H2316" s="48" t="n"/>
      <c r="I2316" s="49" t="n"/>
      <c r="J2316" s="50" t="n"/>
      <c r="K2316" s="48" t="n"/>
      <c r="L2316" s="51">
        <f>IF(A2316="","",DATE(YEAR(A2316),MONTH(A2316),1))</f>
        <v/>
      </c>
      <c r="M2316" s="52">
        <f>IF(OR(A2316="",NOT(ISNUMBER(I2316))),"",IF(G2316=Lists!$B$5,I2316/2,IF(G2316=Lists!$B$6,I2316,0)))</f>
        <v/>
      </c>
      <c r="N2316" s="52">
        <f>IF(OR(A2316="",NOT(ISNUMBER(I2316))),"",IF(G2316=Lists!$B$5,I2316/2,IF(G2316=Lists!$B$7,I2316,0)))</f>
        <v/>
      </c>
      <c r="O2316" s="53">
        <f>IF(COUNTA(A2316:K2316)=0,"",IF(OR(A2316="",B2316="",C2316="",D2316="",E2316="",F2316="",G2316="",NOT(ISNUMBER(I2316))),"Incomplete",IF(COUNTIF(Lists!$H$4:$AA$4,C2316)=0,"Check category",IF(COUNTIF(INDEX(Lists!$H$6:$AA$45,0,MATCH(C2316,Lists!$H$4:$AA$4,0)),D2316)=0,"Check sub-category","OK"))))</f>
        <v/>
      </c>
      <c r="P2316">
        <f>IF(ISNUMBER(I2316),I2316+ROW()/10000000,"")</f>
        <v/>
      </c>
      <c r="Q2316">
        <f>IF(AND(ISNUMBER(P2316),ISNUMBER(A2316)),IF(AND(A2316&gt;=Dashboard!$Q$3,A2316&lt;=Dashboard!$Q$4,OR(J2316&lt;&gt;"Yes",Dashboard!$Q$15="Yes")),P2316,""),"")</f>
        <v/>
      </c>
    </row>
    <row r="2317">
      <c r="A2317" s="47" t="n"/>
      <c r="B2317" s="48" t="n"/>
      <c r="C2317" s="48" t="n"/>
      <c r="D2317" s="48" t="n"/>
      <c r="E2317" s="48" t="n"/>
      <c r="F2317" s="48" t="n"/>
      <c r="G2317" s="48" t="n"/>
      <c r="H2317" s="48" t="n"/>
      <c r="I2317" s="49" t="n"/>
      <c r="J2317" s="50" t="n"/>
      <c r="K2317" s="48" t="n"/>
      <c r="L2317" s="51">
        <f>IF(A2317="","",DATE(YEAR(A2317),MONTH(A2317),1))</f>
        <v/>
      </c>
      <c r="M2317" s="52">
        <f>IF(OR(A2317="",NOT(ISNUMBER(I2317))),"",IF(G2317=Lists!$B$5,I2317/2,IF(G2317=Lists!$B$6,I2317,0)))</f>
        <v/>
      </c>
      <c r="N2317" s="52">
        <f>IF(OR(A2317="",NOT(ISNUMBER(I2317))),"",IF(G2317=Lists!$B$5,I2317/2,IF(G2317=Lists!$B$7,I2317,0)))</f>
        <v/>
      </c>
      <c r="O2317" s="53">
        <f>IF(COUNTA(A2317:K2317)=0,"",IF(OR(A2317="",B2317="",C2317="",D2317="",E2317="",F2317="",G2317="",NOT(ISNUMBER(I2317))),"Incomplete",IF(COUNTIF(Lists!$H$4:$AA$4,C2317)=0,"Check category",IF(COUNTIF(INDEX(Lists!$H$6:$AA$45,0,MATCH(C2317,Lists!$H$4:$AA$4,0)),D2317)=0,"Check sub-category","OK"))))</f>
        <v/>
      </c>
      <c r="P2317">
        <f>IF(ISNUMBER(I2317),I2317+ROW()/10000000,"")</f>
        <v/>
      </c>
      <c r="Q2317">
        <f>IF(AND(ISNUMBER(P2317),ISNUMBER(A2317)),IF(AND(A2317&gt;=Dashboard!$Q$3,A2317&lt;=Dashboard!$Q$4,OR(J2317&lt;&gt;"Yes",Dashboard!$Q$15="Yes")),P2317,""),"")</f>
        <v/>
      </c>
    </row>
    <row r="2318">
      <c r="A2318" s="47" t="n"/>
      <c r="B2318" s="48" t="n"/>
      <c r="C2318" s="48" t="n"/>
      <c r="D2318" s="48" t="n"/>
      <c r="E2318" s="48" t="n"/>
      <c r="F2318" s="48" t="n"/>
      <c r="G2318" s="48" t="n"/>
      <c r="H2318" s="48" t="n"/>
      <c r="I2318" s="49" t="n"/>
      <c r="J2318" s="50" t="n"/>
      <c r="K2318" s="48" t="n"/>
      <c r="L2318" s="51">
        <f>IF(A2318="","",DATE(YEAR(A2318),MONTH(A2318),1))</f>
        <v/>
      </c>
      <c r="M2318" s="52">
        <f>IF(OR(A2318="",NOT(ISNUMBER(I2318))),"",IF(G2318=Lists!$B$5,I2318/2,IF(G2318=Lists!$B$6,I2318,0)))</f>
        <v/>
      </c>
      <c r="N2318" s="52">
        <f>IF(OR(A2318="",NOT(ISNUMBER(I2318))),"",IF(G2318=Lists!$B$5,I2318/2,IF(G2318=Lists!$B$7,I2318,0)))</f>
        <v/>
      </c>
      <c r="O2318" s="53">
        <f>IF(COUNTA(A2318:K2318)=0,"",IF(OR(A2318="",B2318="",C2318="",D2318="",E2318="",F2318="",G2318="",NOT(ISNUMBER(I2318))),"Incomplete",IF(COUNTIF(Lists!$H$4:$AA$4,C2318)=0,"Check category",IF(COUNTIF(INDEX(Lists!$H$6:$AA$45,0,MATCH(C2318,Lists!$H$4:$AA$4,0)),D2318)=0,"Check sub-category","OK"))))</f>
        <v/>
      </c>
      <c r="P2318">
        <f>IF(ISNUMBER(I2318),I2318+ROW()/10000000,"")</f>
        <v/>
      </c>
      <c r="Q2318">
        <f>IF(AND(ISNUMBER(P2318),ISNUMBER(A2318)),IF(AND(A2318&gt;=Dashboard!$Q$3,A2318&lt;=Dashboard!$Q$4,OR(J2318&lt;&gt;"Yes",Dashboard!$Q$15="Yes")),P2318,""),"")</f>
        <v/>
      </c>
    </row>
    <row r="2319">
      <c r="A2319" s="47" t="n"/>
      <c r="B2319" s="48" t="n"/>
      <c r="C2319" s="48" t="n"/>
      <c r="D2319" s="48" t="n"/>
      <c r="E2319" s="48" t="n"/>
      <c r="F2319" s="48" t="n"/>
      <c r="G2319" s="48" t="n"/>
      <c r="H2319" s="48" t="n"/>
      <c r="I2319" s="49" t="n"/>
      <c r="J2319" s="50" t="n"/>
      <c r="K2319" s="48" t="n"/>
      <c r="L2319" s="51">
        <f>IF(A2319="","",DATE(YEAR(A2319),MONTH(A2319),1))</f>
        <v/>
      </c>
      <c r="M2319" s="52">
        <f>IF(OR(A2319="",NOT(ISNUMBER(I2319))),"",IF(G2319=Lists!$B$5,I2319/2,IF(G2319=Lists!$B$6,I2319,0)))</f>
        <v/>
      </c>
      <c r="N2319" s="52">
        <f>IF(OR(A2319="",NOT(ISNUMBER(I2319))),"",IF(G2319=Lists!$B$5,I2319/2,IF(G2319=Lists!$B$7,I2319,0)))</f>
        <v/>
      </c>
      <c r="O2319" s="53">
        <f>IF(COUNTA(A2319:K2319)=0,"",IF(OR(A2319="",B2319="",C2319="",D2319="",E2319="",F2319="",G2319="",NOT(ISNUMBER(I2319))),"Incomplete",IF(COUNTIF(Lists!$H$4:$AA$4,C2319)=0,"Check category",IF(COUNTIF(INDEX(Lists!$H$6:$AA$45,0,MATCH(C2319,Lists!$H$4:$AA$4,0)),D2319)=0,"Check sub-category","OK"))))</f>
        <v/>
      </c>
      <c r="P2319">
        <f>IF(ISNUMBER(I2319),I2319+ROW()/10000000,"")</f>
        <v/>
      </c>
      <c r="Q2319">
        <f>IF(AND(ISNUMBER(P2319),ISNUMBER(A2319)),IF(AND(A2319&gt;=Dashboard!$Q$3,A2319&lt;=Dashboard!$Q$4,OR(J2319&lt;&gt;"Yes",Dashboard!$Q$15="Yes")),P2319,""),"")</f>
        <v/>
      </c>
    </row>
    <row r="2320">
      <c r="A2320" s="47" t="n"/>
      <c r="B2320" s="48" t="n"/>
      <c r="C2320" s="48" t="n"/>
      <c r="D2320" s="48" t="n"/>
      <c r="E2320" s="48" t="n"/>
      <c r="F2320" s="48" t="n"/>
      <c r="G2320" s="48" t="n"/>
      <c r="H2320" s="48" t="n"/>
      <c r="I2320" s="49" t="n"/>
      <c r="J2320" s="50" t="n"/>
      <c r="K2320" s="48" t="n"/>
      <c r="L2320" s="51">
        <f>IF(A2320="","",DATE(YEAR(A2320),MONTH(A2320),1))</f>
        <v/>
      </c>
      <c r="M2320" s="52">
        <f>IF(OR(A2320="",NOT(ISNUMBER(I2320))),"",IF(G2320=Lists!$B$5,I2320/2,IF(G2320=Lists!$B$6,I2320,0)))</f>
        <v/>
      </c>
      <c r="N2320" s="52">
        <f>IF(OR(A2320="",NOT(ISNUMBER(I2320))),"",IF(G2320=Lists!$B$5,I2320/2,IF(G2320=Lists!$B$7,I2320,0)))</f>
        <v/>
      </c>
      <c r="O2320" s="53">
        <f>IF(COUNTA(A2320:K2320)=0,"",IF(OR(A2320="",B2320="",C2320="",D2320="",E2320="",F2320="",G2320="",NOT(ISNUMBER(I2320))),"Incomplete",IF(COUNTIF(Lists!$H$4:$AA$4,C2320)=0,"Check category",IF(COUNTIF(INDEX(Lists!$H$6:$AA$45,0,MATCH(C2320,Lists!$H$4:$AA$4,0)),D2320)=0,"Check sub-category","OK"))))</f>
        <v/>
      </c>
      <c r="P2320">
        <f>IF(ISNUMBER(I2320),I2320+ROW()/10000000,"")</f>
        <v/>
      </c>
      <c r="Q2320">
        <f>IF(AND(ISNUMBER(P2320),ISNUMBER(A2320)),IF(AND(A2320&gt;=Dashboard!$Q$3,A2320&lt;=Dashboard!$Q$4,OR(J2320&lt;&gt;"Yes",Dashboard!$Q$15="Yes")),P2320,""),"")</f>
        <v/>
      </c>
    </row>
    <row r="2321">
      <c r="A2321" s="47" t="n"/>
      <c r="B2321" s="48" t="n"/>
      <c r="C2321" s="48" t="n"/>
      <c r="D2321" s="48" t="n"/>
      <c r="E2321" s="48" t="n"/>
      <c r="F2321" s="48" t="n"/>
      <c r="G2321" s="48" t="n"/>
      <c r="H2321" s="48" t="n"/>
      <c r="I2321" s="49" t="n"/>
      <c r="J2321" s="50" t="n"/>
      <c r="K2321" s="48" t="n"/>
      <c r="L2321" s="51">
        <f>IF(A2321="","",DATE(YEAR(A2321),MONTH(A2321),1))</f>
        <v/>
      </c>
      <c r="M2321" s="52">
        <f>IF(OR(A2321="",NOT(ISNUMBER(I2321))),"",IF(G2321=Lists!$B$5,I2321/2,IF(G2321=Lists!$B$6,I2321,0)))</f>
        <v/>
      </c>
      <c r="N2321" s="52">
        <f>IF(OR(A2321="",NOT(ISNUMBER(I2321))),"",IF(G2321=Lists!$B$5,I2321/2,IF(G2321=Lists!$B$7,I2321,0)))</f>
        <v/>
      </c>
      <c r="O2321" s="53">
        <f>IF(COUNTA(A2321:K2321)=0,"",IF(OR(A2321="",B2321="",C2321="",D2321="",E2321="",F2321="",G2321="",NOT(ISNUMBER(I2321))),"Incomplete",IF(COUNTIF(Lists!$H$4:$AA$4,C2321)=0,"Check category",IF(COUNTIF(INDEX(Lists!$H$6:$AA$45,0,MATCH(C2321,Lists!$H$4:$AA$4,0)),D2321)=0,"Check sub-category","OK"))))</f>
        <v/>
      </c>
      <c r="P2321">
        <f>IF(ISNUMBER(I2321),I2321+ROW()/10000000,"")</f>
        <v/>
      </c>
      <c r="Q2321">
        <f>IF(AND(ISNUMBER(P2321),ISNUMBER(A2321)),IF(AND(A2321&gt;=Dashboard!$Q$3,A2321&lt;=Dashboard!$Q$4,OR(J2321&lt;&gt;"Yes",Dashboard!$Q$15="Yes")),P2321,""),"")</f>
        <v/>
      </c>
    </row>
    <row r="2322">
      <c r="A2322" s="47" t="n"/>
      <c r="B2322" s="48" t="n"/>
      <c r="C2322" s="48" t="n"/>
      <c r="D2322" s="48" t="n"/>
      <c r="E2322" s="48" t="n"/>
      <c r="F2322" s="48" t="n"/>
      <c r="G2322" s="48" t="n"/>
      <c r="H2322" s="48" t="n"/>
      <c r="I2322" s="49" t="n"/>
      <c r="J2322" s="50" t="n"/>
      <c r="K2322" s="48" t="n"/>
      <c r="L2322" s="51">
        <f>IF(A2322="","",DATE(YEAR(A2322),MONTH(A2322),1))</f>
        <v/>
      </c>
      <c r="M2322" s="52">
        <f>IF(OR(A2322="",NOT(ISNUMBER(I2322))),"",IF(G2322=Lists!$B$5,I2322/2,IF(G2322=Lists!$B$6,I2322,0)))</f>
        <v/>
      </c>
      <c r="N2322" s="52">
        <f>IF(OR(A2322="",NOT(ISNUMBER(I2322))),"",IF(G2322=Lists!$B$5,I2322/2,IF(G2322=Lists!$B$7,I2322,0)))</f>
        <v/>
      </c>
      <c r="O2322" s="53">
        <f>IF(COUNTA(A2322:K2322)=0,"",IF(OR(A2322="",B2322="",C2322="",D2322="",E2322="",F2322="",G2322="",NOT(ISNUMBER(I2322))),"Incomplete",IF(COUNTIF(Lists!$H$4:$AA$4,C2322)=0,"Check category",IF(COUNTIF(INDEX(Lists!$H$6:$AA$45,0,MATCH(C2322,Lists!$H$4:$AA$4,0)),D2322)=0,"Check sub-category","OK"))))</f>
        <v/>
      </c>
      <c r="P2322">
        <f>IF(ISNUMBER(I2322),I2322+ROW()/10000000,"")</f>
        <v/>
      </c>
      <c r="Q2322">
        <f>IF(AND(ISNUMBER(P2322),ISNUMBER(A2322)),IF(AND(A2322&gt;=Dashboard!$Q$3,A2322&lt;=Dashboard!$Q$4,OR(J2322&lt;&gt;"Yes",Dashboard!$Q$15="Yes")),P2322,""),"")</f>
        <v/>
      </c>
    </row>
    <row r="2323">
      <c r="A2323" s="47" t="n"/>
      <c r="B2323" s="48" t="n"/>
      <c r="C2323" s="48" t="n"/>
      <c r="D2323" s="48" t="n"/>
      <c r="E2323" s="48" t="n"/>
      <c r="F2323" s="48" t="n"/>
      <c r="G2323" s="48" t="n"/>
      <c r="H2323" s="48" t="n"/>
      <c r="I2323" s="49" t="n"/>
      <c r="J2323" s="50" t="n"/>
      <c r="K2323" s="48" t="n"/>
      <c r="L2323" s="51">
        <f>IF(A2323="","",DATE(YEAR(A2323),MONTH(A2323),1))</f>
        <v/>
      </c>
      <c r="M2323" s="52">
        <f>IF(OR(A2323="",NOT(ISNUMBER(I2323))),"",IF(G2323=Lists!$B$5,I2323/2,IF(G2323=Lists!$B$6,I2323,0)))</f>
        <v/>
      </c>
      <c r="N2323" s="52">
        <f>IF(OR(A2323="",NOT(ISNUMBER(I2323))),"",IF(G2323=Lists!$B$5,I2323/2,IF(G2323=Lists!$B$7,I2323,0)))</f>
        <v/>
      </c>
      <c r="O2323" s="53">
        <f>IF(COUNTA(A2323:K2323)=0,"",IF(OR(A2323="",B2323="",C2323="",D2323="",E2323="",F2323="",G2323="",NOT(ISNUMBER(I2323))),"Incomplete",IF(COUNTIF(Lists!$H$4:$AA$4,C2323)=0,"Check category",IF(COUNTIF(INDEX(Lists!$H$6:$AA$45,0,MATCH(C2323,Lists!$H$4:$AA$4,0)),D2323)=0,"Check sub-category","OK"))))</f>
        <v/>
      </c>
      <c r="P2323">
        <f>IF(ISNUMBER(I2323),I2323+ROW()/10000000,"")</f>
        <v/>
      </c>
      <c r="Q2323">
        <f>IF(AND(ISNUMBER(P2323),ISNUMBER(A2323)),IF(AND(A2323&gt;=Dashboard!$Q$3,A2323&lt;=Dashboard!$Q$4,OR(J2323&lt;&gt;"Yes",Dashboard!$Q$15="Yes")),P2323,""),"")</f>
        <v/>
      </c>
    </row>
    <row r="2324">
      <c r="A2324" s="47" t="n"/>
      <c r="B2324" s="48" t="n"/>
      <c r="C2324" s="48" t="n"/>
      <c r="D2324" s="48" t="n"/>
      <c r="E2324" s="48" t="n"/>
      <c r="F2324" s="48" t="n"/>
      <c r="G2324" s="48" t="n"/>
      <c r="H2324" s="48" t="n"/>
      <c r="I2324" s="49" t="n"/>
      <c r="J2324" s="50" t="n"/>
      <c r="K2324" s="48" t="n"/>
      <c r="L2324" s="51">
        <f>IF(A2324="","",DATE(YEAR(A2324),MONTH(A2324),1))</f>
        <v/>
      </c>
      <c r="M2324" s="52">
        <f>IF(OR(A2324="",NOT(ISNUMBER(I2324))),"",IF(G2324=Lists!$B$5,I2324/2,IF(G2324=Lists!$B$6,I2324,0)))</f>
        <v/>
      </c>
      <c r="N2324" s="52">
        <f>IF(OR(A2324="",NOT(ISNUMBER(I2324))),"",IF(G2324=Lists!$B$5,I2324/2,IF(G2324=Lists!$B$7,I2324,0)))</f>
        <v/>
      </c>
      <c r="O2324" s="53">
        <f>IF(COUNTA(A2324:K2324)=0,"",IF(OR(A2324="",B2324="",C2324="",D2324="",E2324="",F2324="",G2324="",NOT(ISNUMBER(I2324))),"Incomplete",IF(COUNTIF(Lists!$H$4:$AA$4,C2324)=0,"Check category",IF(COUNTIF(INDEX(Lists!$H$6:$AA$45,0,MATCH(C2324,Lists!$H$4:$AA$4,0)),D2324)=0,"Check sub-category","OK"))))</f>
        <v/>
      </c>
      <c r="P2324">
        <f>IF(ISNUMBER(I2324),I2324+ROW()/10000000,"")</f>
        <v/>
      </c>
      <c r="Q2324">
        <f>IF(AND(ISNUMBER(P2324),ISNUMBER(A2324)),IF(AND(A2324&gt;=Dashboard!$Q$3,A2324&lt;=Dashboard!$Q$4,OR(J2324&lt;&gt;"Yes",Dashboard!$Q$15="Yes")),P2324,""),"")</f>
        <v/>
      </c>
    </row>
    <row r="2325">
      <c r="A2325" s="47" t="n"/>
      <c r="B2325" s="48" t="n"/>
      <c r="C2325" s="48" t="n"/>
      <c r="D2325" s="48" t="n"/>
      <c r="E2325" s="48" t="n"/>
      <c r="F2325" s="48" t="n"/>
      <c r="G2325" s="48" t="n"/>
      <c r="H2325" s="48" t="n"/>
      <c r="I2325" s="49" t="n"/>
      <c r="J2325" s="50" t="n"/>
      <c r="K2325" s="48" t="n"/>
      <c r="L2325" s="51">
        <f>IF(A2325="","",DATE(YEAR(A2325),MONTH(A2325),1))</f>
        <v/>
      </c>
      <c r="M2325" s="52">
        <f>IF(OR(A2325="",NOT(ISNUMBER(I2325))),"",IF(G2325=Lists!$B$5,I2325/2,IF(G2325=Lists!$B$6,I2325,0)))</f>
        <v/>
      </c>
      <c r="N2325" s="52">
        <f>IF(OR(A2325="",NOT(ISNUMBER(I2325))),"",IF(G2325=Lists!$B$5,I2325/2,IF(G2325=Lists!$B$7,I2325,0)))</f>
        <v/>
      </c>
      <c r="O2325" s="53">
        <f>IF(COUNTA(A2325:K2325)=0,"",IF(OR(A2325="",B2325="",C2325="",D2325="",E2325="",F2325="",G2325="",NOT(ISNUMBER(I2325))),"Incomplete",IF(COUNTIF(Lists!$H$4:$AA$4,C2325)=0,"Check category",IF(COUNTIF(INDEX(Lists!$H$6:$AA$45,0,MATCH(C2325,Lists!$H$4:$AA$4,0)),D2325)=0,"Check sub-category","OK"))))</f>
        <v/>
      </c>
      <c r="P2325">
        <f>IF(ISNUMBER(I2325),I2325+ROW()/10000000,"")</f>
        <v/>
      </c>
      <c r="Q2325">
        <f>IF(AND(ISNUMBER(P2325),ISNUMBER(A2325)),IF(AND(A2325&gt;=Dashboard!$Q$3,A2325&lt;=Dashboard!$Q$4,OR(J2325&lt;&gt;"Yes",Dashboard!$Q$15="Yes")),P2325,""),"")</f>
        <v/>
      </c>
    </row>
    <row r="2326">
      <c r="A2326" s="47" t="n"/>
      <c r="B2326" s="48" t="n"/>
      <c r="C2326" s="48" t="n"/>
      <c r="D2326" s="48" t="n"/>
      <c r="E2326" s="48" t="n"/>
      <c r="F2326" s="48" t="n"/>
      <c r="G2326" s="48" t="n"/>
      <c r="H2326" s="48" t="n"/>
      <c r="I2326" s="49" t="n"/>
      <c r="J2326" s="50" t="n"/>
      <c r="K2326" s="48" t="n"/>
      <c r="L2326" s="51">
        <f>IF(A2326="","",DATE(YEAR(A2326),MONTH(A2326),1))</f>
        <v/>
      </c>
      <c r="M2326" s="52">
        <f>IF(OR(A2326="",NOT(ISNUMBER(I2326))),"",IF(G2326=Lists!$B$5,I2326/2,IF(G2326=Lists!$B$6,I2326,0)))</f>
        <v/>
      </c>
      <c r="N2326" s="52">
        <f>IF(OR(A2326="",NOT(ISNUMBER(I2326))),"",IF(G2326=Lists!$B$5,I2326/2,IF(G2326=Lists!$B$7,I2326,0)))</f>
        <v/>
      </c>
      <c r="O2326" s="53">
        <f>IF(COUNTA(A2326:K2326)=0,"",IF(OR(A2326="",B2326="",C2326="",D2326="",E2326="",F2326="",G2326="",NOT(ISNUMBER(I2326))),"Incomplete",IF(COUNTIF(Lists!$H$4:$AA$4,C2326)=0,"Check category",IF(COUNTIF(INDEX(Lists!$H$6:$AA$45,0,MATCH(C2326,Lists!$H$4:$AA$4,0)),D2326)=0,"Check sub-category","OK"))))</f>
        <v/>
      </c>
      <c r="P2326">
        <f>IF(ISNUMBER(I2326),I2326+ROW()/10000000,"")</f>
        <v/>
      </c>
      <c r="Q2326">
        <f>IF(AND(ISNUMBER(P2326),ISNUMBER(A2326)),IF(AND(A2326&gt;=Dashboard!$Q$3,A2326&lt;=Dashboard!$Q$4,OR(J2326&lt;&gt;"Yes",Dashboard!$Q$15="Yes")),P2326,""),"")</f>
        <v/>
      </c>
    </row>
    <row r="2327">
      <c r="A2327" s="47" t="n"/>
      <c r="B2327" s="48" t="n"/>
      <c r="C2327" s="48" t="n"/>
      <c r="D2327" s="48" t="n"/>
      <c r="E2327" s="48" t="n"/>
      <c r="F2327" s="48" t="n"/>
      <c r="G2327" s="48" t="n"/>
      <c r="H2327" s="48" t="n"/>
      <c r="I2327" s="49" t="n"/>
      <c r="J2327" s="50" t="n"/>
      <c r="K2327" s="48" t="n"/>
      <c r="L2327" s="51">
        <f>IF(A2327="","",DATE(YEAR(A2327),MONTH(A2327),1))</f>
        <v/>
      </c>
      <c r="M2327" s="52">
        <f>IF(OR(A2327="",NOT(ISNUMBER(I2327))),"",IF(G2327=Lists!$B$5,I2327/2,IF(G2327=Lists!$B$6,I2327,0)))</f>
        <v/>
      </c>
      <c r="N2327" s="52">
        <f>IF(OR(A2327="",NOT(ISNUMBER(I2327))),"",IF(G2327=Lists!$B$5,I2327/2,IF(G2327=Lists!$B$7,I2327,0)))</f>
        <v/>
      </c>
      <c r="O2327" s="53">
        <f>IF(COUNTA(A2327:K2327)=0,"",IF(OR(A2327="",B2327="",C2327="",D2327="",E2327="",F2327="",G2327="",NOT(ISNUMBER(I2327))),"Incomplete",IF(COUNTIF(Lists!$H$4:$AA$4,C2327)=0,"Check category",IF(COUNTIF(INDEX(Lists!$H$6:$AA$45,0,MATCH(C2327,Lists!$H$4:$AA$4,0)),D2327)=0,"Check sub-category","OK"))))</f>
        <v/>
      </c>
      <c r="P2327">
        <f>IF(ISNUMBER(I2327),I2327+ROW()/10000000,"")</f>
        <v/>
      </c>
      <c r="Q2327">
        <f>IF(AND(ISNUMBER(P2327),ISNUMBER(A2327)),IF(AND(A2327&gt;=Dashboard!$Q$3,A2327&lt;=Dashboard!$Q$4,OR(J2327&lt;&gt;"Yes",Dashboard!$Q$15="Yes")),P2327,""),"")</f>
        <v/>
      </c>
    </row>
    <row r="2328">
      <c r="A2328" s="47" t="n"/>
      <c r="B2328" s="48" t="n"/>
      <c r="C2328" s="48" t="n"/>
      <c r="D2328" s="48" t="n"/>
      <c r="E2328" s="48" t="n"/>
      <c r="F2328" s="48" t="n"/>
      <c r="G2328" s="48" t="n"/>
      <c r="H2328" s="48" t="n"/>
      <c r="I2328" s="49" t="n"/>
      <c r="J2328" s="50" t="n"/>
      <c r="K2328" s="48" t="n"/>
      <c r="L2328" s="51">
        <f>IF(A2328="","",DATE(YEAR(A2328),MONTH(A2328),1))</f>
        <v/>
      </c>
      <c r="M2328" s="52">
        <f>IF(OR(A2328="",NOT(ISNUMBER(I2328))),"",IF(G2328=Lists!$B$5,I2328/2,IF(G2328=Lists!$B$6,I2328,0)))</f>
        <v/>
      </c>
      <c r="N2328" s="52">
        <f>IF(OR(A2328="",NOT(ISNUMBER(I2328))),"",IF(G2328=Lists!$B$5,I2328/2,IF(G2328=Lists!$B$7,I2328,0)))</f>
        <v/>
      </c>
      <c r="O2328" s="53">
        <f>IF(COUNTA(A2328:K2328)=0,"",IF(OR(A2328="",B2328="",C2328="",D2328="",E2328="",F2328="",G2328="",NOT(ISNUMBER(I2328))),"Incomplete",IF(COUNTIF(Lists!$H$4:$AA$4,C2328)=0,"Check category",IF(COUNTIF(INDEX(Lists!$H$6:$AA$45,0,MATCH(C2328,Lists!$H$4:$AA$4,0)),D2328)=0,"Check sub-category","OK"))))</f>
        <v/>
      </c>
      <c r="P2328">
        <f>IF(ISNUMBER(I2328),I2328+ROW()/10000000,"")</f>
        <v/>
      </c>
      <c r="Q2328">
        <f>IF(AND(ISNUMBER(P2328),ISNUMBER(A2328)),IF(AND(A2328&gt;=Dashboard!$Q$3,A2328&lt;=Dashboard!$Q$4,OR(J2328&lt;&gt;"Yes",Dashboard!$Q$15="Yes")),P2328,""),"")</f>
        <v/>
      </c>
    </row>
    <row r="2329">
      <c r="A2329" s="47" t="n"/>
      <c r="B2329" s="48" t="n"/>
      <c r="C2329" s="48" t="n"/>
      <c r="D2329" s="48" t="n"/>
      <c r="E2329" s="48" t="n"/>
      <c r="F2329" s="48" t="n"/>
      <c r="G2329" s="48" t="n"/>
      <c r="H2329" s="48" t="n"/>
      <c r="I2329" s="49" t="n"/>
      <c r="J2329" s="50" t="n"/>
      <c r="K2329" s="48" t="n"/>
      <c r="L2329" s="51">
        <f>IF(A2329="","",DATE(YEAR(A2329),MONTH(A2329),1))</f>
        <v/>
      </c>
      <c r="M2329" s="52">
        <f>IF(OR(A2329="",NOT(ISNUMBER(I2329))),"",IF(G2329=Lists!$B$5,I2329/2,IF(G2329=Lists!$B$6,I2329,0)))</f>
        <v/>
      </c>
      <c r="N2329" s="52">
        <f>IF(OR(A2329="",NOT(ISNUMBER(I2329))),"",IF(G2329=Lists!$B$5,I2329/2,IF(G2329=Lists!$B$7,I2329,0)))</f>
        <v/>
      </c>
      <c r="O2329" s="53">
        <f>IF(COUNTA(A2329:K2329)=0,"",IF(OR(A2329="",B2329="",C2329="",D2329="",E2329="",F2329="",G2329="",NOT(ISNUMBER(I2329))),"Incomplete",IF(COUNTIF(Lists!$H$4:$AA$4,C2329)=0,"Check category",IF(COUNTIF(INDEX(Lists!$H$6:$AA$45,0,MATCH(C2329,Lists!$H$4:$AA$4,0)),D2329)=0,"Check sub-category","OK"))))</f>
        <v/>
      </c>
      <c r="P2329">
        <f>IF(ISNUMBER(I2329),I2329+ROW()/10000000,"")</f>
        <v/>
      </c>
      <c r="Q2329">
        <f>IF(AND(ISNUMBER(P2329),ISNUMBER(A2329)),IF(AND(A2329&gt;=Dashboard!$Q$3,A2329&lt;=Dashboard!$Q$4,OR(J2329&lt;&gt;"Yes",Dashboard!$Q$15="Yes")),P2329,""),"")</f>
        <v/>
      </c>
    </row>
    <row r="2330">
      <c r="A2330" s="47" t="n"/>
      <c r="B2330" s="48" t="n"/>
      <c r="C2330" s="48" t="n"/>
      <c r="D2330" s="48" t="n"/>
      <c r="E2330" s="48" t="n"/>
      <c r="F2330" s="48" t="n"/>
      <c r="G2330" s="48" t="n"/>
      <c r="H2330" s="48" t="n"/>
      <c r="I2330" s="49" t="n"/>
      <c r="J2330" s="50" t="n"/>
      <c r="K2330" s="48" t="n"/>
      <c r="L2330" s="51">
        <f>IF(A2330="","",DATE(YEAR(A2330),MONTH(A2330),1))</f>
        <v/>
      </c>
      <c r="M2330" s="52">
        <f>IF(OR(A2330="",NOT(ISNUMBER(I2330))),"",IF(G2330=Lists!$B$5,I2330/2,IF(G2330=Lists!$B$6,I2330,0)))</f>
        <v/>
      </c>
      <c r="N2330" s="52">
        <f>IF(OR(A2330="",NOT(ISNUMBER(I2330))),"",IF(G2330=Lists!$B$5,I2330/2,IF(G2330=Lists!$B$7,I2330,0)))</f>
        <v/>
      </c>
      <c r="O2330" s="53">
        <f>IF(COUNTA(A2330:K2330)=0,"",IF(OR(A2330="",B2330="",C2330="",D2330="",E2330="",F2330="",G2330="",NOT(ISNUMBER(I2330))),"Incomplete",IF(COUNTIF(Lists!$H$4:$AA$4,C2330)=0,"Check category",IF(COUNTIF(INDEX(Lists!$H$6:$AA$45,0,MATCH(C2330,Lists!$H$4:$AA$4,0)),D2330)=0,"Check sub-category","OK"))))</f>
        <v/>
      </c>
      <c r="P2330">
        <f>IF(ISNUMBER(I2330),I2330+ROW()/10000000,"")</f>
        <v/>
      </c>
      <c r="Q2330">
        <f>IF(AND(ISNUMBER(P2330),ISNUMBER(A2330)),IF(AND(A2330&gt;=Dashboard!$Q$3,A2330&lt;=Dashboard!$Q$4,OR(J2330&lt;&gt;"Yes",Dashboard!$Q$15="Yes")),P2330,""),"")</f>
        <v/>
      </c>
    </row>
    <row r="2331">
      <c r="A2331" s="47" t="n"/>
      <c r="B2331" s="48" t="n"/>
      <c r="C2331" s="48" t="n"/>
      <c r="D2331" s="48" t="n"/>
      <c r="E2331" s="48" t="n"/>
      <c r="F2331" s="48" t="n"/>
      <c r="G2331" s="48" t="n"/>
      <c r="H2331" s="48" t="n"/>
      <c r="I2331" s="49" t="n"/>
      <c r="J2331" s="50" t="n"/>
      <c r="K2331" s="48" t="n"/>
      <c r="L2331" s="51">
        <f>IF(A2331="","",DATE(YEAR(A2331),MONTH(A2331),1))</f>
        <v/>
      </c>
      <c r="M2331" s="52">
        <f>IF(OR(A2331="",NOT(ISNUMBER(I2331))),"",IF(G2331=Lists!$B$5,I2331/2,IF(G2331=Lists!$B$6,I2331,0)))</f>
        <v/>
      </c>
      <c r="N2331" s="52">
        <f>IF(OR(A2331="",NOT(ISNUMBER(I2331))),"",IF(G2331=Lists!$B$5,I2331/2,IF(G2331=Lists!$B$7,I2331,0)))</f>
        <v/>
      </c>
      <c r="O2331" s="53">
        <f>IF(COUNTA(A2331:K2331)=0,"",IF(OR(A2331="",B2331="",C2331="",D2331="",E2331="",F2331="",G2331="",NOT(ISNUMBER(I2331))),"Incomplete",IF(COUNTIF(Lists!$H$4:$AA$4,C2331)=0,"Check category",IF(COUNTIF(INDEX(Lists!$H$6:$AA$45,0,MATCH(C2331,Lists!$H$4:$AA$4,0)),D2331)=0,"Check sub-category","OK"))))</f>
        <v/>
      </c>
      <c r="P2331">
        <f>IF(ISNUMBER(I2331),I2331+ROW()/10000000,"")</f>
        <v/>
      </c>
      <c r="Q2331">
        <f>IF(AND(ISNUMBER(P2331),ISNUMBER(A2331)),IF(AND(A2331&gt;=Dashboard!$Q$3,A2331&lt;=Dashboard!$Q$4,OR(J2331&lt;&gt;"Yes",Dashboard!$Q$15="Yes")),P2331,""),"")</f>
        <v/>
      </c>
    </row>
    <row r="2332">
      <c r="A2332" s="47" t="n"/>
      <c r="B2332" s="48" t="n"/>
      <c r="C2332" s="48" t="n"/>
      <c r="D2332" s="48" t="n"/>
      <c r="E2332" s="48" t="n"/>
      <c r="F2332" s="48" t="n"/>
      <c r="G2332" s="48" t="n"/>
      <c r="H2332" s="48" t="n"/>
      <c r="I2332" s="49" t="n"/>
      <c r="J2332" s="50" t="n"/>
      <c r="K2332" s="48" t="n"/>
      <c r="L2332" s="51">
        <f>IF(A2332="","",DATE(YEAR(A2332),MONTH(A2332),1))</f>
        <v/>
      </c>
      <c r="M2332" s="52">
        <f>IF(OR(A2332="",NOT(ISNUMBER(I2332))),"",IF(G2332=Lists!$B$5,I2332/2,IF(G2332=Lists!$B$6,I2332,0)))</f>
        <v/>
      </c>
      <c r="N2332" s="52">
        <f>IF(OR(A2332="",NOT(ISNUMBER(I2332))),"",IF(G2332=Lists!$B$5,I2332/2,IF(G2332=Lists!$B$7,I2332,0)))</f>
        <v/>
      </c>
      <c r="O2332" s="53">
        <f>IF(COUNTA(A2332:K2332)=0,"",IF(OR(A2332="",B2332="",C2332="",D2332="",E2332="",F2332="",G2332="",NOT(ISNUMBER(I2332))),"Incomplete",IF(COUNTIF(Lists!$H$4:$AA$4,C2332)=0,"Check category",IF(COUNTIF(INDEX(Lists!$H$6:$AA$45,0,MATCH(C2332,Lists!$H$4:$AA$4,0)),D2332)=0,"Check sub-category","OK"))))</f>
        <v/>
      </c>
      <c r="P2332">
        <f>IF(ISNUMBER(I2332),I2332+ROW()/10000000,"")</f>
        <v/>
      </c>
      <c r="Q2332">
        <f>IF(AND(ISNUMBER(P2332),ISNUMBER(A2332)),IF(AND(A2332&gt;=Dashboard!$Q$3,A2332&lt;=Dashboard!$Q$4,OR(J2332&lt;&gt;"Yes",Dashboard!$Q$15="Yes")),P2332,""),"")</f>
        <v/>
      </c>
    </row>
    <row r="2333">
      <c r="A2333" s="47" t="n"/>
      <c r="B2333" s="48" t="n"/>
      <c r="C2333" s="48" t="n"/>
      <c r="D2333" s="48" t="n"/>
      <c r="E2333" s="48" t="n"/>
      <c r="F2333" s="48" t="n"/>
      <c r="G2333" s="48" t="n"/>
      <c r="H2333" s="48" t="n"/>
      <c r="I2333" s="49" t="n"/>
      <c r="J2333" s="50" t="n"/>
      <c r="K2333" s="48" t="n"/>
      <c r="L2333" s="51">
        <f>IF(A2333="","",DATE(YEAR(A2333),MONTH(A2333),1))</f>
        <v/>
      </c>
      <c r="M2333" s="52">
        <f>IF(OR(A2333="",NOT(ISNUMBER(I2333))),"",IF(G2333=Lists!$B$5,I2333/2,IF(G2333=Lists!$B$6,I2333,0)))</f>
        <v/>
      </c>
      <c r="N2333" s="52">
        <f>IF(OR(A2333="",NOT(ISNUMBER(I2333))),"",IF(G2333=Lists!$B$5,I2333/2,IF(G2333=Lists!$B$7,I2333,0)))</f>
        <v/>
      </c>
      <c r="O2333" s="53">
        <f>IF(COUNTA(A2333:K2333)=0,"",IF(OR(A2333="",B2333="",C2333="",D2333="",E2333="",F2333="",G2333="",NOT(ISNUMBER(I2333))),"Incomplete",IF(COUNTIF(Lists!$H$4:$AA$4,C2333)=0,"Check category",IF(COUNTIF(INDEX(Lists!$H$6:$AA$45,0,MATCH(C2333,Lists!$H$4:$AA$4,0)),D2333)=0,"Check sub-category","OK"))))</f>
        <v/>
      </c>
      <c r="P2333">
        <f>IF(ISNUMBER(I2333),I2333+ROW()/10000000,"")</f>
        <v/>
      </c>
      <c r="Q2333">
        <f>IF(AND(ISNUMBER(P2333),ISNUMBER(A2333)),IF(AND(A2333&gt;=Dashboard!$Q$3,A2333&lt;=Dashboard!$Q$4,OR(J2333&lt;&gt;"Yes",Dashboard!$Q$15="Yes")),P2333,""),"")</f>
        <v/>
      </c>
    </row>
    <row r="2334">
      <c r="A2334" s="47" t="n"/>
      <c r="B2334" s="48" t="n"/>
      <c r="C2334" s="48" t="n"/>
      <c r="D2334" s="48" t="n"/>
      <c r="E2334" s="48" t="n"/>
      <c r="F2334" s="48" t="n"/>
      <c r="G2334" s="48" t="n"/>
      <c r="H2334" s="48" t="n"/>
      <c r="I2334" s="49" t="n"/>
      <c r="J2334" s="50" t="n"/>
      <c r="K2334" s="48" t="n"/>
      <c r="L2334" s="51">
        <f>IF(A2334="","",DATE(YEAR(A2334),MONTH(A2334),1))</f>
        <v/>
      </c>
      <c r="M2334" s="52">
        <f>IF(OR(A2334="",NOT(ISNUMBER(I2334))),"",IF(G2334=Lists!$B$5,I2334/2,IF(G2334=Lists!$B$6,I2334,0)))</f>
        <v/>
      </c>
      <c r="N2334" s="52">
        <f>IF(OR(A2334="",NOT(ISNUMBER(I2334))),"",IF(G2334=Lists!$B$5,I2334/2,IF(G2334=Lists!$B$7,I2334,0)))</f>
        <v/>
      </c>
      <c r="O2334" s="53">
        <f>IF(COUNTA(A2334:K2334)=0,"",IF(OR(A2334="",B2334="",C2334="",D2334="",E2334="",F2334="",G2334="",NOT(ISNUMBER(I2334))),"Incomplete",IF(COUNTIF(Lists!$H$4:$AA$4,C2334)=0,"Check category",IF(COUNTIF(INDEX(Lists!$H$6:$AA$45,0,MATCH(C2334,Lists!$H$4:$AA$4,0)),D2334)=0,"Check sub-category","OK"))))</f>
        <v/>
      </c>
      <c r="P2334">
        <f>IF(ISNUMBER(I2334),I2334+ROW()/10000000,"")</f>
        <v/>
      </c>
      <c r="Q2334">
        <f>IF(AND(ISNUMBER(P2334),ISNUMBER(A2334)),IF(AND(A2334&gt;=Dashboard!$Q$3,A2334&lt;=Dashboard!$Q$4,OR(J2334&lt;&gt;"Yes",Dashboard!$Q$15="Yes")),P2334,""),"")</f>
        <v/>
      </c>
    </row>
    <row r="2335">
      <c r="A2335" s="47" t="n"/>
      <c r="B2335" s="48" t="n"/>
      <c r="C2335" s="48" t="n"/>
      <c r="D2335" s="48" t="n"/>
      <c r="E2335" s="48" t="n"/>
      <c r="F2335" s="48" t="n"/>
      <c r="G2335" s="48" t="n"/>
      <c r="H2335" s="48" t="n"/>
      <c r="I2335" s="49" t="n"/>
      <c r="J2335" s="50" t="n"/>
      <c r="K2335" s="48" t="n"/>
      <c r="L2335" s="51">
        <f>IF(A2335="","",DATE(YEAR(A2335),MONTH(A2335),1))</f>
        <v/>
      </c>
      <c r="M2335" s="52">
        <f>IF(OR(A2335="",NOT(ISNUMBER(I2335))),"",IF(G2335=Lists!$B$5,I2335/2,IF(G2335=Lists!$B$6,I2335,0)))</f>
        <v/>
      </c>
      <c r="N2335" s="52">
        <f>IF(OR(A2335="",NOT(ISNUMBER(I2335))),"",IF(G2335=Lists!$B$5,I2335/2,IF(G2335=Lists!$B$7,I2335,0)))</f>
        <v/>
      </c>
      <c r="O2335" s="53">
        <f>IF(COUNTA(A2335:K2335)=0,"",IF(OR(A2335="",B2335="",C2335="",D2335="",E2335="",F2335="",G2335="",NOT(ISNUMBER(I2335))),"Incomplete",IF(COUNTIF(Lists!$H$4:$AA$4,C2335)=0,"Check category",IF(COUNTIF(INDEX(Lists!$H$6:$AA$45,0,MATCH(C2335,Lists!$H$4:$AA$4,0)),D2335)=0,"Check sub-category","OK"))))</f>
        <v/>
      </c>
      <c r="P2335">
        <f>IF(ISNUMBER(I2335),I2335+ROW()/10000000,"")</f>
        <v/>
      </c>
      <c r="Q2335">
        <f>IF(AND(ISNUMBER(P2335),ISNUMBER(A2335)),IF(AND(A2335&gt;=Dashboard!$Q$3,A2335&lt;=Dashboard!$Q$4,OR(J2335&lt;&gt;"Yes",Dashboard!$Q$15="Yes")),P2335,""),"")</f>
        <v/>
      </c>
    </row>
    <row r="2336">
      <c r="A2336" s="47" t="n"/>
      <c r="B2336" s="48" t="n"/>
      <c r="C2336" s="48" t="n"/>
      <c r="D2336" s="48" t="n"/>
      <c r="E2336" s="48" t="n"/>
      <c r="F2336" s="48" t="n"/>
      <c r="G2336" s="48" t="n"/>
      <c r="H2336" s="48" t="n"/>
      <c r="I2336" s="49" t="n"/>
      <c r="J2336" s="50" t="n"/>
      <c r="K2336" s="48" t="n"/>
      <c r="L2336" s="51">
        <f>IF(A2336="","",DATE(YEAR(A2336),MONTH(A2336),1))</f>
        <v/>
      </c>
      <c r="M2336" s="52">
        <f>IF(OR(A2336="",NOT(ISNUMBER(I2336))),"",IF(G2336=Lists!$B$5,I2336/2,IF(G2336=Lists!$B$6,I2336,0)))</f>
        <v/>
      </c>
      <c r="N2336" s="52">
        <f>IF(OR(A2336="",NOT(ISNUMBER(I2336))),"",IF(G2336=Lists!$B$5,I2336/2,IF(G2336=Lists!$B$7,I2336,0)))</f>
        <v/>
      </c>
      <c r="O2336" s="53">
        <f>IF(COUNTA(A2336:K2336)=0,"",IF(OR(A2336="",B2336="",C2336="",D2336="",E2336="",F2336="",G2336="",NOT(ISNUMBER(I2336))),"Incomplete",IF(COUNTIF(Lists!$H$4:$AA$4,C2336)=0,"Check category",IF(COUNTIF(INDEX(Lists!$H$6:$AA$45,0,MATCH(C2336,Lists!$H$4:$AA$4,0)),D2336)=0,"Check sub-category","OK"))))</f>
        <v/>
      </c>
      <c r="P2336">
        <f>IF(ISNUMBER(I2336),I2336+ROW()/10000000,"")</f>
        <v/>
      </c>
      <c r="Q2336">
        <f>IF(AND(ISNUMBER(P2336),ISNUMBER(A2336)),IF(AND(A2336&gt;=Dashboard!$Q$3,A2336&lt;=Dashboard!$Q$4,OR(J2336&lt;&gt;"Yes",Dashboard!$Q$15="Yes")),P2336,""),"")</f>
        <v/>
      </c>
    </row>
    <row r="2337">
      <c r="A2337" s="47" t="n"/>
      <c r="B2337" s="48" t="n"/>
      <c r="C2337" s="48" t="n"/>
      <c r="D2337" s="48" t="n"/>
      <c r="E2337" s="48" t="n"/>
      <c r="F2337" s="48" t="n"/>
      <c r="G2337" s="48" t="n"/>
      <c r="H2337" s="48" t="n"/>
      <c r="I2337" s="49" t="n"/>
      <c r="J2337" s="50" t="n"/>
      <c r="K2337" s="48" t="n"/>
      <c r="L2337" s="51">
        <f>IF(A2337="","",DATE(YEAR(A2337),MONTH(A2337),1))</f>
        <v/>
      </c>
      <c r="M2337" s="52">
        <f>IF(OR(A2337="",NOT(ISNUMBER(I2337))),"",IF(G2337=Lists!$B$5,I2337/2,IF(G2337=Lists!$B$6,I2337,0)))</f>
        <v/>
      </c>
      <c r="N2337" s="52">
        <f>IF(OR(A2337="",NOT(ISNUMBER(I2337))),"",IF(G2337=Lists!$B$5,I2337/2,IF(G2337=Lists!$B$7,I2337,0)))</f>
        <v/>
      </c>
      <c r="O2337" s="53">
        <f>IF(COUNTA(A2337:K2337)=0,"",IF(OR(A2337="",B2337="",C2337="",D2337="",E2337="",F2337="",G2337="",NOT(ISNUMBER(I2337))),"Incomplete",IF(COUNTIF(Lists!$H$4:$AA$4,C2337)=0,"Check category",IF(COUNTIF(INDEX(Lists!$H$6:$AA$45,0,MATCH(C2337,Lists!$H$4:$AA$4,0)),D2337)=0,"Check sub-category","OK"))))</f>
        <v/>
      </c>
      <c r="P2337">
        <f>IF(ISNUMBER(I2337),I2337+ROW()/10000000,"")</f>
        <v/>
      </c>
      <c r="Q2337">
        <f>IF(AND(ISNUMBER(P2337),ISNUMBER(A2337)),IF(AND(A2337&gt;=Dashboard!$Q$3,A2337&lt;=Dashboard!$Q$4,OR(J2337&lt;&gt;"Yes",Dashboard!$Q$15="Yes")),P2337,""),"")</f>
        <v/>
      </c>
    </row>
    <row r="2338">
      <c r="A2338" s="47" t="n"/>
      <c r="B2338" s="48" t="n"/>
      <c r="C2338" s="48" t="n"/>
      <c r="D2338" s="48" t="n"/>
      <c r="E2338" s="48" t="n"/>
      <c r="F2338" s="48" t="n"/>
      <c r="G2338" s="48" t="n"/>
      <c r="H2338" s="48" t="n"/>
      <c r="I2338" s="49" t="n"/>
      <c r="J2338" s="50" t="n"/>
      <c r="K2338" s="48" t="n"/>
      <c r="L2338" s="51">
        <f>IF(A2338="","",DATE(YEAR(A2338),MONTH(A2338),1))</f>
        <v/>
      </c>
      <c r="M2338" s="52">
        <f>IF(OR(A2338="",NOT(ISNUMBER(I2338))),"",IF(G2338=Lists!$B$5,I2338/2,IF(G2338=Lists!$B$6,I2338,0)))</f>
        <v/>
      </c>
      <c r="N2338" s="52">
        <f>IF(OR(A2338="",NOT(ISNUMBER(I2338))),"",IF(G2338=Lists!$B$5,I2338/2,IF(G2338=Lists!$B$7,I2338,0)))</f>
        <v/>
      </c>
      <c r="O2338" s="53">
        <f>IF(COUNTA(A2338:K2338)=0,"",IF(OR(A2338="",B2338="",C2338="",D2338="",E2338="",F2338="",G2338="",NOT(ISNUMBER(I2338))),"Incomplete",IF(COUNTIF(Lists!$H$4:$AA$4,C2338)=0,"Check category",IF(COUNTIF(INDEX(Lists!$H$6:$AA$45,0,MATCH(C2338,Lists!$H$4:$AA$4,0)),D2338)=0,"Check sub-category","OK"))))</f>
        <v/>
      </c>
      <c r="P2338">
        <f>IF(ISNUMBER(I2338),I2338+ROW()/10000000,"")</f>
        <v/>
      </c>
      <c r="Q2338">
        <f>IF(AND(ISNUMBER(P2338),ISNUMBER(A2338)),IF(AND(A2338&gt;=Dashboard!$Q$3,A2338&lt;=Dashboard!$Q$4,OR(J2338&lt;&gt;"Yes",Dashboard!$Q$15="Yes")),P2338,""),"")</f>
        <v/>
      </c>
    </row>
    <row r="2339">
      <c r="A2339" s="47" t="n"/>
      <c r="B2339" s="48" t="n"/>
      <c r="C2339" s="48" t="n"/>
      <c r="D2339" s="48" t="n"/>
      <c r="E2339" s="48" t="n"/>
      <c r="F2339" s="48" t="n"/>
      <c r="G2339" s="48" t="n"/>
      <c r="H2339" s="48" t="n"/>
      <c r="I2339" s="49" t="n"/>
      <c r="J2339" s="50" t="n"/>
      <c r="K2339" s="48" t="n"/>
      <c r="L2339" s="51">
        <f>IF(A2339="","",DATE(YEAR(A2339),MONTH(A2339),1))</f>
        <v/>
      </c>
      <c r="M2339" s="52">
        <f>IF(OR(A2339="",NOT(ISNUMBER(I2339))),"",IF(G2339=Lists!$B$5,I2339/2,IF(G2339=Lists!$B$6,I2339,0)))</f>
        <v/>
      </c>
      <c r="N2339" s="52">
        <f>IF(OR(A2339="",NOT(ISNUMBER(I2339))),"",IF(G2339=Lists!$B$5,I2339/2,IF(G2339=Lists!$B$7,I2339,0)))</f>
        <v/>
      </c>
      <c r="O2339" s="53">
        <f>IF(COUNTA(A2339:K2339)=0,"",IF(OR(A2339="",B2339="",C2339="",D2339="",E2339="",F2339="",G2339="",NOT(ISNUMBER(I2339))),"Incomplete",IF(COUNTIF(Lists!$H$4:$AA$4,C2339)=0,"Check category",IF(COUNTIF(INDEX(Lists!$H$6:$AA$45,0,MATCH(C2339,Lists!$H$4:$AA$4,0)),D2339)=0,"Check sub-category","OK"))))</f>
        <v/>
      </c>
      <c r="P2339">
        <f>IF(ISNUMBER(I2339),I2339+ROW()/10000000,"")</f>
        <v/>
      </c>
      <c r="Q2339">
        <f>IF(AND(ISNUMBER(P2339),ISNUMBER(A2339)),IF(AND(A2339&gt;=Dashboard!$Q$3,A2339&lt;=Dashboard!$Q$4,OR(J2339&lt;&gt;"Yes",Dashboard!$Q$15="Yes")),P2339,""),"")</f>
        <v/>
      </c>
    </row>
    <row r="2340">
      <c r="A2340" s="47" t="n"/>
      <c r="B2340" s="48" t="n"/>
      <c r="C2340" s="48" t="n"/>
      <c r="D2340" s="48" t="n"/>
      <c r="E2340" s="48" t="n"/>
      <c r="F2340" s="48" t="n"/>
      <c r="G2340" s="48" t="n"/>
      <c r="H2340" s="48" t="n"/>
      <c r="I2340" s="49" t="n"/>
      <c r="J2340" s="50" t="n"/>
      <c r="K2340" s="48" t="n"/>
      <c r="L2340" s="51">
        <f>IF(A2340="","",DATE(YEAR(A2340),MONTH(A2340),1))</f>
        <v/>
      </c>
      <c r="M2340" s="52">
        <f>IF(OR(A2340="",NOT(ISNUMBER(I2340))),"",IF(G2340=Lists!$B$5,I2340/2,IF(G2340=Lists!$B$6,I2340,0)))</f>
        <v/>
      </c>
      <c r="N2340" s="52">
        <f>IF(OR(A2340="",NOT(ISNUMBER(I2340))),"",IF(G2340=Lists!$B$5,I2340/2,IF(G2340=Lists!$B$7,I2340,0)))</f>
        <v/>
      </c>
      <c r="O2340" s="53">
        <f>IF(COUNTA(A2340:K2340)=0,"",IF(OR(A2340="",B2340="",C2340="",D2340="",E2340="",F2340="",G2340="",NOT(ISNUMBER(I2340))),"Incomplete",IF(COUNTIF(Lists!$H$4:$AA$4,C2340)=0,"Check category",IF(COUNTIF(INDEX(Lists!$H$6:$AA$45,0,MATCH(C2340,Lists!$H$4:$AA$4,0)),D2340)=0,"Check sub-category","OK"))))</f>
        <v/>
      </c>
      <c r="P2340">
        <f>IF(ISNUMBER(I2340),I2340+ROW()/10000000,"")</f>
        <v/>
      </c>
      <c r="Q2340">
        <f>IF(AND(ISNUMBER(P2340),ISNUMBER(A2340)),IF(AND(A2340&gt;=Dashboard!$Q$3,A2340&lt;=Dashboard!$Q$4,OR(J2340&lt;&gt;"Yes",Dashboard!$Q$15="Yes")),P2340,""),"")</f>
        <v/>
      </c>
    </row>
    <row r="2341">
      <c r="A2341" s="47" t="n"/>
      <c r="B2341" s="48" t="n"/>
      <c r="C2341" s="48" t="n"/>
      <c r="D2341" s="48" t="n"/>
      <c r="E2341" s="48" t="n"/>
      <c r="F2341" s="48" t="n"/>
      <c r="G2341" s="48" t="n"/>
      <c r="H2341" s="48" t="n"/>
      <c r="I2341" s="49" t="n"/>
      <c r="J2341" s="50" t="n"/>
      <c r="K2341" s="48" t="n"/>
      <c r="L2341" s="51">
        <f>IF(A2341="","",DATE(YEAR(A2341),MONTH(A2341),1))</f>
        <v/>
      </c>
      <c r="M2341" s="52">
        <f>IF(OR(A2341="",NOT(ISNUMBER(I2341))),"",IF(G2341=Lists!$B$5,I2341/2,IF(G2341=Lists!$B$6,I2341,0)))</f>
        <v/>
      </c>
      <c r="N2341" s="52">
        <f>IF(OR(A2341="",NOT(ISNUMBER(I2341))),"",IF(G2341=Lists!$B$5,I2341/2,IF(G2341=Lists!$B$7,I2341,0)))</f>
        <v/>
      </c>
      <c r="O2341" s="53">
        <f>IF(COUNTA(A2341:K2341)=0,"",IF(OR(A2341="",B2341="",C2341="",D2341="",E2341="",F2341="",G2341="",NOT(ISNUMBER(I2341))),"Incomplete",IF(COUNTIF(Lists!$H$4:$AA$4,C2341)=0,"Check category",IF(COUNTIF(INDEX(Lists!$H$6:$AA$45,0,MATCH(C2341,Lists!$H$4:$AA$4,0)),D2341)=0,"Check sub-category","OK"))))</f>
        <v/>
      </c>
      <c r="P2341">
        <f>IF(ISNUMBER(I2341),I2341+ROW()/10000000,"")</f>
        <v/>
      </c>
      <c r="Q2341">
        <f>IF(AND(ISNUMBER(P2341),ISNUMBER(A2341)),IF(AND(A2341&gt;=Dashboard!$Q$3,A2341&lt;=Dashboard!$Q$4,OR(J2341&lt;&gt;"Yes",Dashboard!$Q$15="Yes")),P2341,""),"")</f>
        <v/>
      </c>
    </row>
    <row r="2342">
      <c r="A2342" s="47" t="n"/>
      <c r="B2342" s="48" t="n"/>
      <c r="C2342" s="48" t="n"/>
      <c r="D2342" s="48" t="n"/>
      <c r="E2342" s="48" t="n"/>
      <c r="F2342" s="48" t="n"/>
      <c r="G2342" s="48" t="n"/>
      <c r="H2342" s="48" t="n"/>
      <c r="I2342" s="49" t="n"/>
      <c r="J2342" s="50" t="n"/>
      <c r="K2342" s="48" t="n"/>
      <c r="L2342" s="51">
        <f>IF(A2342="","",DATE(YEAR(A2342),MONTH(A2342),1))</f>
        <v/>
      </c>
      <c r="M2342" s="52">
        <f>IF(OR(A2342="",NOT(ISNUMBER(I2342))),"",IF(G2342=Lists!$B$5,I2342/2,IF(G2342=Lists!$B$6,I2342,0)))</f>
        <v/>
      </c>
      <c r="N2342" s="52">
        <f>IF(OR(A2342="",NOT(ISNUMBER(I2342))),"",IF(G2342=Lists!$B$5,I2342/2,IF(G2342=Lists!$B$7,I2342,0)))</f>
        <v/>
      </c>
      <c r="O2342" s="53">
        <f>IF(COUNTA(A2342:K2342)=0,"",IF(OR(A2342="",B2342="",C2342="",D2342="",E2342="",F2342="",G2342="",NOT(ISNUMBER(I2342))),"Incomplete",IF(COUNTIF(Lists!$H$4:$AA$4,C2342)=0,"Check category",IF(COUNTIF(INDEX(Lists!$H$6:$AA$45,0,MATCH(C2342,Lists!$H$4:$AA$4,0)),D2342)=0,"Check sub-category","OK"))))</f>
        <v/>
      </c>
      <c r="P2342">
        <f>IF(ISNUMBER(I2342),I2342+ROW()/10000000,"")</f>
        <v/>
      </c>
      <c r="Q2342">
        <f>IF(AND(ISNUMBER(P2342),ISNUMBER(A2342)),IF(AND(A2342&gt;=Dashboard!$Q$3,A2342&lt;=Dashboard!$Q$4,OR(J2342&lt;&gt;"Yes",Dashboard!$Q$15="Yes")),P2342,""),"")</f>
        <v/>
      </c>
    </row>
    <row r="2343">
      <c r="A2343" s="47" t="n"/>
      <c r="B2343" s="48" t="n"/>
      <c r="C2343" s="48" t="n"/>
      <c r="D2343" s="48" t="n"/>
      <c r="E2343" s="48" t="n"/>
      <c r="F2343" s="48" t="n"/>
      <c r="G2343" s="48" t="n"/>
      <c r="H2343" s="48" t="n"/>
      <c r="I2343" s="49" t="n"/>
      <c r="J2343" s="50" t="n"/>
      <c r="K2343" s="48" t="n"/>
      <c r="L2343" s="51">
        <f>IF(A2343="","",DATE(YEAR(A2343),MONTH(A2343),1))</f>
        <v/>
      </c>
      <c r="M2343" s="52">
        <f>IF(OR(A2343="",NOT(ISNUMBER(I2343))),"",IF(G2343=Lists!$B$5,I2343/2,IF(G2343=Lists!$B$6,I2343,0)))</f>
        <v/>
      </c>
      <c r="N2343" s="52">
        <f>IF(OR(A2343="",NOT(ISNUMBER(I2343))),"",IF(G2343=Lists!$B$5,I2343/2,IF(G2343=Lists!$B$7,I2343,0)))</f>
        <v/>
      </c>
      <c r="O2343" s="53">
        <f>IF(COUNTA(A2343:K2343)=0,"",IF(OR(A2343="",B2343="",C2343="",D2343="",E2343="",F2343="",G2343="",NOT(ISNUMBER(I2343))),"Incomplete",IF(COUNTIF(Lists!$H$4:$AA$4,C2343)=0,"Check category",IF(COUNTIF(INDEX(Lists!$H$6:$AA$45,0,MATCH(C2343,Lists!$H$4:$AA$4,0)),D2343)=0,"Check sub-category","OK"))))</f>
        <v/>
      </c>
      <c r="P2343">
        <f>IF(ISNUMBER(I2343),I2343+ROW()/10000000,"")</f>
        <v/>
      </c>
      <c r="Q2343">
        <f>IF(AND(ISNUMBER(P2343),ISNUMBER(A2343)),IF(AND(A2343&gt;=Dashboard!$Q$3,A2343&lt;=Dashboard!$Q$4,OR(J2343&lt;&gt;"Yes",Dashboard!$Q$15="Yes")),P2343,""),"")</f>
        <v/>
      </c>
    </row>
    <row r="2344">
      <c r="A2344" s="47" t="n"/>
      <c r="B2344" s="48" t="n"/>
      <c r="C2344" s="48" t="n"/>
      <c r="D2344" s="48" t="n"/>
      <c r="E2344" s="48" t="n"/>
      <c r="F2344" s="48" t="n"/>
      <c r="G2344" s="48" t="n"/>
      <c r="H2344" s="48" t="n"/>
      <c r="I2344" s="49" t="n"/>
      <c r="J2344" s="50" t="n"/>
      <c r="K2344" s="48" t="n"/>
      <c r="L2344" s="51">
        <f>IF(A2344="","",DATE(YEAR(A2344),MONTH(A2344),1))</f>
        <v/>
      </c>
      <c r="M2344" s="52">
        <f>IF(OR(A2344="",NOT(ISNUMBER(I2344))),"",IF(G2344=Lists!$B$5,I2344/2,IF(G2344=Lists!$B$6,I2344,0)))</f>
        <v/>
      </c>
      <c r="N2344" s="52">
        <f>IF(OR(A2344="",NOT(ISNUMBER(I2344))),"",IF(G2344=Lists!$B$5,I2344/2,IF(G2344=Lists!$B$7,I2344,0)))</f>
        <v/>
      </c>
      <c r="O2344" s="53">
        <f>IF(COUNTA(A2344:K2344)=0,"",IF(OR(A2344="",B2344="",C2344="",D2344="",E2344="",F2344="",G2344="",NOT(ISNUMBER(I2344))),"Incomplete",IF(COUNTIF(Lists!$H$4:$AA$4,C2344)=0,"Check category",IF(COUNTIF(INDEX(Lists!$H$6:$AA$45,0,MATCH(C2344,Lists!$H$4:$AA$4,0)),D2344)=0,"Check sub-category","OK"))))</f>
        <v/>
      </c>
      <c r="P2344">
        <f>IF(ISNUMBER(I2344),I2344+ROW()/10000000,"")</f>
        <v/>
      </c>
      <c r="Q2344">
        <f>IF(AND(ISNUMBER(P2344),ISNUMBER(A2344)),IF(AND(A2344&gt;=Dashboard!$Q$3,A2344&lt;=Dashboard!$Q$4,OR(J2344&lt;&gt;"Yes",Dashboard!$Q$15="Yes")),P2344,""),"")</f>
        <v/>
      </c>
    </row>
    <row r="2345">
      <c r="A2345" s="47" t="n"/>
      <c r="B2345" s="48" t="n"/>
      <c r="C2345" s="48" t="n"/>
      <c r="D2345" s="48" t="n"/>
      <c r="E2345" s="48" t="n"/>
      <c r="F2345" s="48" t="n"/>
      <c r="G2345" s="48" t="n"/>
      <c r="H2345" s="48" t="n"/>
      <c r="I2345" s="49" t="n"/>
      <c r="J2345" s="50" t="n"/>
      <c r="K2345" s="48" t="n"/>
      <c r="L2345" s="51">
        <f>IF(A2345="","",DATE(YEAR(A2345),MONTH(A2345),1))</f>
        <v/>
      </c>
      <c r="M2345" s="52">
        <f>IF(OR(A2345="",NOT(ISNUMBER(I2345))),"",IF(G2345=Lists!$B$5,I2345/2,IF(G2345=Lists!$B$6,I2345,0)))</f>
        <v/>
      </c>
      <c r="N2345" s="52">
        <f>IF(OR(A2345="",NOT(ISNUMBER(I2345))),"",IF(G2345=Lists!$B$5,I2345/2,IF(G2345=Lists!$B$7,I2345,0)))</f>
        <v/>
      </c>
      <c r="O2345" s="53">
        <f>IF(COUNTA(A2345:K2345)=0,"",IF(OR(A2345="",B2345="",C2345="",D2345="",E2345="",F2345="",G2345="",NOT(ISNUMBER(I2345))),"Incomplete",IF(COUNTIF(Lists!$H$4:$AA$4,C2345)=0,"Check category",IF(COUNTIF(INDEX(Lists!$H$6:$AA$45,0,MATCH(C2345,Lists!$H$4:$AA$4,0)),D2345)=0,"Check sub-category","OK"))))</f>
        <v/>
      </c>
      <c r="P2345">
        <f>IF(ISNUMBER(I2345),I2345+ROW()/10000000,"")</f>
        <v/>
      </c>
      <c r="Q2345">
        <f>IF(AND(ISNUMBER(P2345),ISNUMBER(A2345)),IF(AND(A2345&gt;=Dashboard!$Q$3,A2345&lt;=Dashboard!$Q$4,OR(J2345&lt;&gt;"Yes",Dashboard!$Q$15="Yes")),P2345,""),"")</f>
        <v/>
      </c>
    </row>
    <row r="2346">
      <c r="A2346" s="47" t="n"/>
      <c r="B2346" s="48" t="n"/>
      <c r="C2346" s="48" t="n"/>
      <c r="D2346" s="48" t="n"/>
      <c r="E2346" s="48" t="n"/>
      <c r="F2346" s="48" t="n"/>
      <c r="G2346" s="48" t="n"/>
      <c r="H2346" s="48" t="n"/>
      <c r="I2346" s="49" t="n"/>
      <c r="J2346" s="50" t="n"/>
      <c r="K2346" s="48" t="n"/>
      <c r="L2346" s="51">
        <f>IF(A2346="","",DATE(YEAR(A2346),MONTH(A2346),1))</f>
        <v/>
      </c>
      <c r="M2346" s="52">
        <f>IF(OR(A2346="",NOT(ISNUMBER(I2346))),"",IF(G2346=Lists!$B$5,I2346/2,IF(G2346=Lists!$B$6,I2346,0)))</f>
        <v/>
      </c>
      <c r="N2346" s="52">
        <f>IF(OR(A2346="",NOT(ISNUMBER(I2346))),"",IF(G2346=Lists!$B$5,I2346/2,IF(G2346=Lists!$B$7,I2346,0)))</f>
        <v/>
      </c>
      <c r="O2346" s="53">
        <f>IF(COUNTA(A2346:K2346)=0,"",IF(OR(A2346="",B2346="",C2346="",D2346="",E2346="",F2346="",G2346="",NOT(ISNUMBER(I2346))),"Incomplete",IF(COUNTIF(Lists!$H$4:$AA$4,C2346)=0,"Check category",IF(COUNTIF(INDEX(Lists!$H$6:$AA$45,0,MATCH(C2346,Lists!$H$4:$AA$4,0)),D2346)=0,"Check sub-category","OK"))))</f>
        <v/>
      </c>
      <c r="P2346">
        <f>IF(ISNUMBER(I2346),I2346+ROW()/10000000,"")</f>
        <v/>
      </c>
      <c r="Q2346">
        <f>IF(AND(ISNUMBER(P2346),ISNUMBER(A2346)),IF(AND(A2346&gt;=Dashboard!$Q$3,A2346&lt;=Dashboard!$Q$4,OR(J2346&lt;&gt;"Yes",Dashboard!$Q$15="Yes")),P2346,""),"")</f>
        <v/>
      </c>
    </row>
    <row r="2347">
      <c r="A2347" s="47" t="n"/>
      <c r="B2347" s="48" t="n"/>
      <c r="C2347" s="48" t="n"/>
      <c r="D2347" s="48" t="n"/>
      <c r="E2347" s="48" t="n"/>
      <c r="F2347" s="48" t="n"/>
      <c r="G2347" s="48" t="n"/>
      <c r="H2347" s="48" t="n"/>
      <c r="I2347" s="49" t="n"/>
      <c r="J2347" s="50" t="n"/>
      <c r="K2347" s="48" t="n"/>
      <c r="L2347" s="51">
        <f>IF(A2347="","",DATE(YEAR(A2347),MONTH(A2347),1))</f>
        <v/>
      </c>
      <c r="M2347" s="52">
        <f>IF(OR(A2347="",NOT(ISNUMBER(I2347))),"",IF(G2347=Lists!$B$5,I2347/2,IF(G2347=Lists!$B$6,I2347,0)))</f>
        <v/>
      </c>
      <c r="N2347" s="52">
        <f>IF(OR(A2347="",NOT(ISNUMBER(I2347))),"",IF(G2347=Lists!$B$5,I2347/2,IF(G2347=Lists!$B$7,I2347,0)))</f>
        <v/>
      </c>
      <c r="O2347" s="53">
        <f>IF(COUNTA(A2347:K2347)=0,"",IF(OR(A2347="",B2347="",C2347="",D2347="",E2347="",F2347="",G2347="",NOT(ISNUMBER(I2347))),"Incomplete",IF(COUNTIF(Lists!$H$4:$AA$4,C2347)=0,"Check category",IF(COUNTIF(INDEX(Lists!$H$6:$AA$45,0,MATCH(C2347,Lists!$H$4:$AA$4,0)),D2347)=0,"Check sub-category","OK"))))</f>
        <v/>
      </c>
      <c r="P2347">
        <f>IF(ISNUMBER(I2347),I2347+ROW()/10000000,"")</f>
        <v/>
      </c>
      <c r="Q2347">
        <f>IF(AND(ISNUMBER(P2347),ISNUMBER(A2347)),IF(AND(A2347&gt;=Dashboard!$Q$3,A2347&lt;=Dashboard!$Q$4,OR(J2347&lt;&gt;"Yes",Dashboard!$Q$15="Yes")),P2347,""),"")</f>
        <v/>
      </c>
    </row>
    <row r="2348">
      <c r="A2348" s="47" t="n"/>
      <c r="B2348" s="48" t="n"/>
      <c r="C2348" s="48" t="n"/>
      <c r="D2348" s="48" t="n"/>
      <c r="E2348" s="48" t="n"/>
      <c r="F2348" s="48" t="n"/>
      <c r="G2348" s="48" t="n"/>
      <c r="H2348" s="48" t="n"/>
      <c r="I2348" s="49" t="n"/>
      <c r="J2348" s="50" t="n"/>
      <c r="K2348" s="48" t="n"/>
      <c r="L2348" s="51">
        <f>IF(A2348="","",DATE(YEAR(A2348),MONTH(A2348),1))</f>
        <v/>
      </c>
      <c r="M2348" s="52">
        <f>IF(OR(A2348="",NOT(ISNUMBER(I2348))),"",IF(G2348=Lists!$B$5,I2348/2,IF(G2348=Lists!$B$6,I2348,0)))</f>
        <v/>
      </c>
      <c r="N2348" s="52">
        <f>IF(OR(A2348="",NOT(ISNUMBER(I2348))),"",IF(G2348=Lists!$B$5,I2348/2,IF(G2348=Lists!$B$7,I2348,0)))</f>
        <v/>
      </c>
      <c r="O2348" s="53">
        <f>IF(COUNTA(A2348:K2348)=0,"",IF(OR(A2348="",B2348="",C2348="",D2348="",E2348="",F2348="",G2348="",NOT(ISNUMBER(I2348))),"Incomplete",IF(COUNTIF(Lists!$H$4:$AA$4,C2348)=0,"Check category",IF(COUNTIF(INDEX(Lists!$H$6:$AA$45,0,MATCH(C2348,Lists!$H$4:$AA$4,0)),D2348)=0,"Check sub-category","OK"))))</f>
        <v/>
      </c>
      <c r="P2348">
        <f>IF(ISNUMBER(I2348),I2348+ROW()/10000000,"")</f>
        <v/>
      </c>
      <c r="Q2348">
        <f>IF(AND(ISNUMBER(P2348),ISNUMBER(A2348)),IF(AND(A2348&gt;=Dashboard!$Q$3,A2348&lt;=Dashboard!$Q$4,OR(J2348&lt;&gt;"Yes",Dashboard!$Q$15="Yes")),P2348,""),"")</f>
        <v/>
      </c>
    </row>
    <row r="2349">
      <c r="A2349" s="47" t="n"/>
      <c r="B2349" s="48" t="n"/>
      <c r="C2349" s="48" t="n"/>
      <c r="D2349" s="48" t="n"/>
      <c r="E2349" s="48" t="n"/>
      <c r="F2349" s="48" t="n"/>
      <c r="G2349" s="48" t="n"/>
      <c r="H2349" s="48" t="n"/>
      <c r="I2349" s="49" t="n"/>
      <c r="J2349" s="50" t="n"/>
      <c r="K2349" s="48" t="n"/>
      <c r="L2349" s="51">
        <f>IF(A2349="","",DATE(YEAR(A2349),MONTH(A2349),1))</f>
        <v/>
      </c>
      <c r="M2349" s="52">
        <f>IF(OR(A2349="",NOT(ISNUMBER(I2349))),"",IF(G2349=Lists!$B$5,I2349/2,IF(G2349=Lists!$B$6,I2349,0)))</f>
        <v/>
      </c>
      <c r="N2349" s="52">
        <f>IF(OR(A2349="",NOT(ISNUMBER(I2349))),"",IF(G2349=Lists!$B$5,I2349/2,IF(G2349=Lists!$B$7,I2349,0)))</f>
        <v/>
      </c>
      <c r="O2349" s="53">
        <f>IF(COUNTA(A2349:K2349)=0,"",IF(OR(A2349="",B2349="",C2349="",D2349="",E2349="",F2349="",G2349="",NOT(ISNUMBER(I2349))),"Incomplete",IF(COUNTIF(Lists!$H$4:$AA$4,C2349)=0,"Check category",IF(COUNTIF(INDEX(Lists!$H$6:$AA$45,0,MATCH(C2349,Lists!$H$4:$AA$4,0)),D2349)=0,"Check sub-category","OK"))))</f>
        <v/>
      </c>
      <c r="P2349">
        <f>IF(ISNUMBER(I2349),I2349+ROW()/10000000,"")</f>
        <v/>
      </c>
      <c r="Q2349">
        <f>IF(AND(ISNUMBER(P2349),ISNUMBER(A2349)),IF(AND(A2349&gt;=Dashboard!$Q$3,A2349&lt;=Dashboard!$Q$4,OR(J2349&lt;&gt;"Yes",Dashboard!$Q$15="Yes")),P2349,""),"")</f>
        <v/>
      </c>
    </row>
    <row r="2350">
      <c r="A2350" s="47" t="n"/>
      <c r="B2350" s="48" t="n"/>
      <c r="C2350" s="48" t="n"/>
      <c r="D2350" s="48" t="n"/>
      <c r="E2350" s="48" t="n"/>
      <c r="F2350" s="48" t="n"/>
      <c r="G2350" s="48" t="n"/>
      <c r="H2350" s="48" t="n"/>
      <c r="I2350" s="49" t="n"/>
      <c r="J2350" s="50" t="n"/>
      <c r="K2350" s="48" t="n"/>
      <c r="L2350" s="51">
        <f>IF(A2350="","",DATE(YEAR(A2350),MONTH(A2350),1))</f>
        <v/>
      </c>
      <c r="M2350" s="52">
        <f>IF(OR(A2350="",NOT(ISNUMBER(I2350))),"",IF(G2350=Lists!$B$5,I2350/2,IF(G2350=Lists!$B$6,I2350,0)))</f>
        <v/>
      </c>
      <c r="N2350" s="52">
        <f>IF(OR(A2350="",NOT(ISNUMBER(I2350))),"",IF(G2350=Lists!$B$5,I2350/2,IF(G2350=Lists!$B$7,I2350,0)))</f>
        <v/>
      </c>
      <c r="O2350" s="53">
        <f>IF(COUNTA(A2350:K2350)=0,"",IF(OR(A2350="",B2350="",C2350="",D2350="",E2350="",F2350="",G2350="",NOT(ISNUMBER(I2350))),"Incomplete",IF(COUNTIF(Lists!$H$4:$AA$4,C2350)=0,"Check category",IF(COUNTIF(INDEX(Lists!$H$6:$AA$45,0,MATCH(C2350,Lists!$H$4:$AA$4,0)),D2350)=0,"Check sub-category","OK"))))</f>
        <v/>
      </c>
      <c r="P2350">
        <f>IF(ISNUMBER(I2350),I2350+ROW()/10000000,"")</f>
        <v/>
      </c>
      <c r="Q2350">
        <f>IF(AND(ISNUMBER(P2350),ISNUMBER(A2350)),IF(AND(A2350&gt;=Dashboard!$Q$3,A2350&lt;=Dashboard!$Q$4,OR(J2350&lt;&gt;"Yes",Dashboard!$Q$15="Yes")),P2350,""),"")</f>
        <v/>
      </c>
    </row>
    <row r="2351">
      <c r="A2351" s="47" t="n"/>
      <c r="B2351" s="48" t="n"/>
      <c r="C2351" s="48" t="n"/>
      <c r="D2351" s="48" t="n"/>
      <c r="E2351" s="48" t="n"/>
      <c r="F2351" s="48" t="n"/>
      <c r="G2351" s="48" t="n"/>
      <c r="H2351" s="48" t="n"/>
      <c r="I2351" s="49" t="n"/>
      <c r="J2351" s="50" t="n"/>
      <c r="K2351" s="48" t="n"/>
      <c r="L2351" s="51">
        <f>IF(A2351="","",DATE(YEAR(A2351),MONTH(A2351),1))</f>
        <v/>
      </c>
      <c r="M2351" s="52">
        <f>IF(OR(A2351="",NOT(ISNUMBER(I2351))),"",IF(G2351=Lists!$B$5,I2351/2,IF(G2351=Lists!$B$6,I2351,0)))</f>
        <v/>
      </c>
      <c r="N2351" s="52">
        <f>IF(OR(A2351="",NOT(ISNUMBER(I2351))),"",IF(G2351=Lists!$B$5,I2351/2,IF(G2351=Lists!$B$7,I2351,0)))</f>
        <v/>
      </c>
      <c r="O2351" s="53">
        <f>IF(COUNTA(A2351:K2351)=0,"",IF(OR(A2351="",B2351="",C2351="",D2351="",E2351="",F2351="",G2351="",NOT(ISNUMBER(I2351))),"Incomplete",IF(COUNTIF(Lists!$H$4:$AA$4,C2351)=0,"Check category",IF(COUNTIF(INDEX(Lists!$H$6:$AA$45,0,MATCH(C2351,Lists!$H$4:$AA$4,0)),D2351)=0,"Check sub-category","OK"))))</f>
        <v/>
      </c>
      <c r="P2351">
        <f>IF(ISNUMBER(I2351),I2351+ROW()/10000000,"")</f>
        <v/>
      </c>
      <c r="Q2351">
        <f>IF(AND(ISNUMBER(P2351),ISNUMBER(A2351)),IF(AND(A2351&gt;=Dashboard!$Q$3,A2351&lt;=Dashboard!$Q$4,OR(J2351&lt;&gt;"Yes",Dashboard!$Q$15="Yes")),P2351,""),"")</f>
        <v/>
      </c>
    </row>
    <row r="2352">
      <c r="A2352" s="47" t="n"/>
      <c r="B2352" s="48" t="n"/>
      <c r="C2352" s="48" t="n"/>
      <c r="D2352" s="48" t="n"/>
      <c r="E2352" s="48" t="n"/>
      <c r="F2352" s="48" t="n"/>
      <c r="G2352" s="48" t="n"/>
      <c r="H2352" s="48" t="n"/>
      <c r="I2352" s="49" t="n"/>
      <c r="J2352" s="50" t="n"/>
      <c r="K2352" s="48" t="n"/>
      <c r="L2352" s="51">
        <f>IF(A2352="","",DATE(YEAR(A2352),MONTH(A2352),1))</f>
        <v/>
      </c>
      <c r="M2352" s="52">
        <f>IF(OR(A2352="",NOT(ISNUMBER(I2352))),"",IF(G2352=Lists!$B$5,I2352/2,IF(G2352=Lists!$B$6,I2352,0)))</f>
        <v/>
      </c>
      <c r="N2352" s="52">
        <f>IF(OR(A2352="",NOT(ISNUMBER(I2352))),"",IF(G2352=Lists!$B$5,I2352/2,IF(G2352=Lists!$B$7,I2352,0)))</f>
        <v/>
      </c>
      <c r="O2352" s="53">
        <f>IF(COUNTA(A2352:K2352)=0,"",IF(OR(A2352="",B2352="",C2352="",D2352="",E2352="",F2352="",G2352="",NOT(ISNUMBER(I2352))),"Incomplete",IF(COUNTIF(Lists!$H$4:$AA$4,C2352)=0,"Check category",IF(COUNTIF(INDEX(Lists!$H$6:$AA$45,0,MATCH(C2352,Lists!$H$4:$AA$4,0)),D2352)=0,"Check sub-category","OK"))))</f>
        <v/>
      </c>
      <c r="P2352">
        <f>IF(ISNUMBER(I2352),I2352+ROW()/10000000,"")</f>
        <v/>
      </c>
      <c r="Q2352">
        <f>IF(AND(ISNUMBER(P2352),ISNUMBER(A2352)),IF(AND(A2352&gt;=Dashboard!$Q$3,A2352&lt;=Dashboard!$Q$4,OR(J2352&lt;&gt;"Yes",Dashboard!$Q$15="Yes")),P2352,""),"")</f>
        <v/>
      </c>
    </row>
    <row r="2353">
      <c r="A2353" s="47" t="n"/>
      <c r="B2353" s="48" t="n"/>
      <c r="C2353" s="48" t="n"/>
      <c r="D2353" s="48" t="n"/>
      <c r="E2353" s="48" t="n"/>
      <c r="F2353" s="48" t="n"/>
      <c r="G2353" s="48" t="n"/>
      <c r="H2353" s="48" t="n"/>
      <c r="I2353" s="49" t="n"/>
      <c r="J2353" s="50" t="n"/>
      <c r="K2353" s="48" t="n"/>
      <c r="L2353" s="51">
        <f>IF(A2353="","",DATE(YEAR(A2353),MONTH(A2353),1))</f>
        <v/>
      </c>
      <c r="M2353" s="52">
        <f>IF(OR(A2353="",NOT(ISNUMBER(I2353))),"",IF(G2353=Lists!$B$5,I2353/2,IF(G2353=Lists!$B$6,I2353,0)))</f>
        <v/>
      </c>
      <c r="N2353" s="52">
        <f>IF(OR(A2353="",NOT(ISNUMBER(I2353))),"",IF(G2353=Lists!$B$5,I2353/2,IF(G2353=Lists!$B$7,I2353,0)))</f>
        <v/>
      </c>
      <c r="O2353" s="53">
        <f>IF(COUNTA(A2353:K2353)=0,"",IF(OR(A2353="",B2353="",C2353="",D2353="",E2353="",F2353="",G2353="",NOT(ISNUMBER(I2353))),"Incomplete",IF(COUNTIF(Lists!$H$4:$AA$4,C2353)=0,"Check category",IF(COUNTIF(INDEX(Lists!$H$6:$AA$45,0,MATCH(C2353,Lists!$H$4:$AA$4,0)),D2353)=0,"Check sub-category","OK"))))</f>
        <v/>
      </c>
      <c r="P2353">
        <f>IF(ISNUMBER(I2353),I2353+ROW()/10000000,"")</f>
        <v/>
      </c>
      <c r="Q2353">
        <f>IF(AND(ISNUMBER(P2353),ISNUMBER(A2353)),IF(AND(A2353&gt;=Dashboard!$Q$3,A2353&lt;=Dashboard!$Q$4,OR(J2353&lt;&gt;"Yes",Dashboard!$Q$15="Yes")),P2353,""),"")</f>
        <v/>
      </c>
    </row>
    <row r="2354">
      <c r="A2354" s="47" t="n"/>
      <c r="B2354" s="48" t="n"/>
      <c r="C2354" s="48" t="n"/>
      <c r="D2354" s="48" t="n"/>
      <c r="E2354" s="48" t="n"/>
      <c r="F2354" s="48" t="n"/>
      <c r="G2354" s="48" t="n"/>
      <c r="H2354" s="48" t="n"/>
      <c r="I2354" s="49" t="n"/>
      <c r="J2354" s="50" t="n"/>
      <c r="K2354" s="48" t="n"/>
      <c r="L2354" s="51">
        <f>IF(A2354="","",DATE(YEAR(A2354),MONTH(A2354),1))</f>
        <v/>
      </c>
      <c r="M2354" s="52">
        <f>IF(OR(A2354="",NOT(ISNUMBER(I2354))),"",IF(G2354=Lists!$B$5,I2354/2,IF(G2354=Lists!$B$6,I2354,0)))</f>
        <v/>
      </c>
      <c r="N2354" s="52">
        <f>IF(OR(A2354="",NOT(ISNUMBER(I2354))),"",IF(G2354=Lists!$B$5,I2354/2,IF(G2354=Lists!$B$7,I2354,0)))</f>
        <v/>
      </c>
      <c r="O2354" s="53">
        <f>IF(COUNTA(A2354:K2354)=0,"",IF(OR(A2354="",B2354="",C2354="",D2354="",E2354="",F2354="",G2354="",NOT(ISNUMBER(I2354))),"Incomplete",IF(COUNTIF(Lists!$H$4:$AA$4,C2354)=0,"Check category",IF(COUNTIF(INDEX(Lists!$H$6:$AA$45,0,MATCH(C2354,Lists!$H$4:$AA$4,0)),D2354)=0,"Check sub-category","OK"))))</f>
        <v/>
      </c>
      <c r="P2354">
        <f>IF(ISNUMBER(I2354),I2354+ROW()/10000000,"")</f>
        <v/>
      </c>
      <c r="Q2354">
        <f>IF(AND(ISNUMBER(P2354),ISNUMBER(A2354)),IF(AND(A2354&gt;=Dashboard!$Q$3,A2354&lt;=Dashboard!$Q$4,OR(J2354&lt;&gt;"Yes",Dashboard!$Q$15="Yes")),P2354,""),"")</f>
        <v/>
      </c>
    </row>
    <row r="2355">
      <c r="A2355" s="47" t="n"/>
      <c r="B2355" s="48" t="n"/>
      <c r="C2355" s="48" t="n"/>
      <c r="D2355" s="48" t="n"/>
      <c r="E2355" s="48" t="n"/>
      <c r="F2355" s="48" t="n"/>
      <c r="G2355" s="48" t="n"/>
      <c r="H2355" s="48" t="n"/>
      <c r="I2355" s="49" t="n"/>
      <c r="J2355" s="50" t="n"/>
      <c r="K2355" s="48" t="n"/>
      <c r="L2355" s="51">
        <f>IF(A2355="","",DATE(YEAR(A2355),MONTH(A2355),1))</f>
        <v/>
      </c>
      <c r="M2355" s="52">
        <f>IF(OR(A2355="",NOT(ISNUMBER(I2355))),"",IF(G2355=Lists!$B$5,I2355/2,IF(G2355=Lists!$B$6,I2355,0)))</f>
        <v/>
      </c>
      <c r="N2355" s="52">
        <f>IF(OR(A2355="",NOT(ISNUMBER(I2355))),"",IF(G2355=Lists!$B$5,I2355/2,IF(G2355=Lists!$B$7,I2355,0)))</f>
        <v/>
      </c>
      <c r="O2355" s="53">
        <f>IF(COUNTA(A2355:K2355)=0,"",IF(OR(A2355="",B2355="",C2355="",D2355="",E2355="",F2355="",G2355="",NOT(ISNUMBER(I2355))),"Incomplete",IF(COUNTIF(Lists!$H$4:$AA$4,C2355)=0,"Check category",IF(COUNTIF(INDEX(Lists!$H$6:$AA$45,0,MATCH(C2355,Lists!$H$4:$AA$4,0)),D2355)=0,"Check sub-category","OK"))))</f>
        <v/>
      </c>
      <c r="P2355">
        <f>IF(ISNUMBER(I2355),I2355+ROW()/10000000,"")</f>
        <v/>
      </c>
      <c r="Q2355">
        <f>IF(AND(ISNUMBER(P2355),ISNUMBER(A2355)),IF(AND(A2355&gt;=Dashboard!$Q$3,A2355&lt;=Dashboard!$Q$4,OR(J2355&lt;&gt;"Yes",Dashboard!$Q$15="Yes")),P2355,""),"")</f>
        <v/>
      </c>
    </row>
    <row r="2356">
      <c r="A2356" s="47" t="n"/>
      <c r="B2356" s="48" t="n"/>
      <c r="C2356" s="48" t="n"/>
      <c r="D2356" s="48" t="n"/>
      <c r="E2356" s="48" t="n"/>
      <c r="F2356" s="48" t="n"/>
      <c r="G2356" s="48" t="n"/>
      <c r="H2356" s="48" t="n"/>
      <c r="I2356" s="49" t="n"/>
      <c r="J2356" s="50" t="n"/>
      <c r="K2356" s="48" t="n"/>
      <c r="L2356" s="51">
        <f>IF(A2356="","",DATE(YEAR(A2356),MONTH(A2356),1))</f>
        <v/>
      </c>
      <c r="M2356" s="52">
        <f>IF(OR(A2356="",NOT(ISNUMBER(I2356))),"",IF(G2356=Lists!$B$5,I2356/2,IF(G2356=Lists!$B$6,I2356,0)))</f>
        <v/>
      </c>
      <c r="N2356" s="52">
        <f>IF(OR(A2356="",NOT(ISNUMBER(I2356))),"",IF(G2356=Lists!$B$5,I2356/2,IF(G2356=Lists!$B$7,I2356,0)))</f>
        <v/>
      </c>
      <c r="O2356" s="53">
        <f>IF(COUNTA(A2356:K2356)=0,"",IF(OR(A2356="",B2356="",C2356="",D2356="",E2356="",F2356="",G2356="",NOT(ISNUMBER(I2356))),"Incomplete",IF(COUNTIF(Lists!$H$4:$AA$4,C2356)=0,"Check category",IF(COUNTIF(INDEX(Lists!$H$6:$AA$45,0,MATCH(C2356,Lists!$H$4:$AA$4,0)),D2356)=0,"Check sub-category","OK"))))</f>
        <v/>
      </c>
      <c r="P2356">
        <f>IF(ISNUMBER(I2356),I2356+ROW()/10000000,"")</f>
        <v/>
      </c>
      <c r="Q2356">
        <f>IF(AND(ISNUMBER(P2356),ISNUMBER(A2356)),IF(AND(A2356&gt;=Dashboard!$Q$3,A2356&lt;=Dashboard!$Q$4,OR(J2356&lt;&gt;"Yes",Dashboard!$Q$15="Yes")),P2356,""),"")</f>
        <v/>
      </c>
    </row>
    <row r="2357">
      <c r="A2357" s="47" t="n"/>
      <c r="B2357" s="48" t="n"/>
      <c r="C2357" s="48" t="n"/>
      <c r="D2357" s="48" t="n"/>
      <c r="E2357" s="48" t="n"/>
      <c r="F2357" s="48" t="n"/>
      <c r="G2357" s="48" t="n"/>
      <c r="H2357" s="48" t="n"/>
      <c r="I2357" s="49" t="n"/>
      <c r="J2357" s="50" t="n"/>
      <c r="K2357" s="48" t="n"/>
      <c r="L2357" s="51">
        <f>IF(A2357="","",DATE(YEAR(A2357),MONTH(A2357),1))</f>
        <v/>
      </c>
      <c r="M2357" s="52">
        <f>IF(OR(A2357="",NOT(ISNUMBER(I2357))),"",IF(G2357=Lists!$B$5,I2357/2,IF(G2357=Lists!$B$6,I2357,0)))</f>
        <v/>
      </c>
      <c r="N2357" s="52">
        <f>IF(OR(A2357="",NOT(ISNUMBER(I2357))),"",IF(G2357=Lists!$B$5,I2357/2,IF(G2357=Lists!$B$7,I2357,0)))</f>
        <v/>
      </c>
      <c r="O2357" s="53">
        <f>IF(COUNTA(A2357:K2357)=0,"",IF(OR(A2357="",B2357="",C2357="",D2357="",E2357="",F2357="",G2357="",NOT(ISNUMBER(I2357))),"Incomplete",IF(COUNTIF(Lists!$H$4:$AA$4,C2357)=0,"Check category",IF(COUNTIF(INDEX(Lists!$H$6:$AA$45,0,MATCH(C2357,Lists!$H$4:$AA$4,0)),D2357)=0,"Check sub-category","OK"))))</f>
        <v/>
      </c>
      <c r="P2357">
        <f>IF(ISNUMBER(I2357),I2357+ROW()/10000000,"")</f>
        <v/>
      </c>
      <c r="Q2357">
        <f>IF(AND(ISNUMBER(P2357),ISNUMBER(A2357)),IF(AND(A2357&gt;=Dashboard!$Q$3,A2357&lt;=Dashboard!$Q$4,OR(J2357&lt;&gt;"Yes",Dashboard!$Q$15="Yes")),P2357,""),"")</f>
        <v/>
      </c>
    </row>
    <row r="2358">
      <c r="A2358" s="47" t="n"/>
      <c r="B2358" s="48" t="n"/>
      <c r="C2358" s="48" t="n"/>
      <c r="D2358" s="48" t="n"/>
      <c r="E2358" s="48" t="n"/>
      <c r="F2358" s="48" t="n"/>
      <c r="G2358" s="48" t="n"/>
      <c r="H2358" s="48" t="n"/>
      <c r="I2358" s="49" t="n"/>
      <c r="J2358" s="50" t="n"/>
      <c r="K2358" s="48" t="n"/>
      <c r="L2358" s="51">
        <f>IF(A2358="","",DATE(YEAR(A2358),MONTH(A2358),1))</f>
        <v/>
      </c>
      <c r="M2358" s="52">
        <f>IF(OR(A2358="",NOT(ISNUMBER(I2358))),"",IF(G2358=Lists!$B$5,I2358/2,IF(G2358=Lists!$B$6,I2358,0)))</f>
        <v/>
      </c>
      <c r="N2358" s="52">
        <f>IF(OR(A2358="",NOT(ISNUMBER(I2358))),"",IF(G2358=Lists!$B$5,I2358/2,IF(G2358=Lists!$B$7,I2358,0)))</f>
        <v/>
      </c>
      <c r="O2358" s="53">
        <f>IF(COUNTA(A2358:K2358)=0,"",IF(OR(A2358="",B2358="",C2358="",D2358="",E2358="",F2358="",G2358="",NOT(ISNUMBER(I2358))),"Incomplete",IF(COUNTIF(Lists!$H$4:$AA$4,C2358)=0,"Check category",IF(COUNTIF(INDEX(Lists!$H$6:$AA$45,0,MATCH(C2358,Lists!$H$4:$AA$4,0)),D2358)=0,"Check sub-category","OK"))))</f>
        <v/>
      </c>
      <c r="P2358">
        <f>IF(ISNUMBER(I2358),I2358+ROW()/10000000,"")</f>
        <v/>
      </c>
      <c r="Q2358">
        <f>IF(AND(ISNUMBER(P2358),ISNUMBER(A2358)),IF(AND(A2358&gt;=Dashboard!$Q$3,A2358&lt;=Dashboard!$Q$4,OR(J2358&lt;&gt;"Yes",Dashboard!$Q$15="Yes")),P2358,""),"")</f>
        <v/>
      </c>
    </row>
    <row r="2359">
      <c r="A2359" s="47" t="n"/>
      <c r="B2359" s="48" t="n"/>
      <c r="C2359" s="48" t="n"/>
      <c r="D2359" s="48" t="n"/>
      <c r="E2359" s="48" t="n"/>
      <c r="F2359" s="48" t="n"/>
      <c r="G2359" s="48" t="n"/>
      <c r="H2359" s="48" t="n"/>
      <c r="I2359" s="49" t="n"/>
      <c r="J2359" s="50" t="n"/>
      <c r="K2359" s="48" t="n"/>
      <c r="L2359" s="51">
        <f>IF(A2359="","",DATE(YEAR(A2359),MONTH(A2359),1))</f>
        <v/>
      </c>
      <c r="M2359" s="52">
        <f>IF(OR(A2359="",NOT(ISNUMBER(I2359))),"",IF(G2359=Lists!$B$5,I2359/2,IF(G2359=Lists!$B$6,I2359,0)))</f>
        <v/>
      </c>
      <c r="N2359" s="52">
        <f>IF(OR(A2359="",NOT(ISNUMBER(I2359))),"",IF(G2359=Lists!$B$5,I2359/2,IF(G2359=Lists!$B$7,I2359,0)))</f>
        <v/>
      </c>
      <c r="O2359" s="53">
        <f>IF(COUNTA(A2359:K2359)=0,"",IF(OR(A2359="",B2359="",C2359="",D2359="",E2359="",F2359="",G2359="",NOT(ISNUMBER(I2359))),"Incomplete",IF(COUNTIF(Lists!$H$4:$AA$4,C2359)=0,"Check category",IF(COUNTIF(INDEX(Lists!$H$6:$AA$45,0,MATCH(C2359,Lists!$H$4:$AA$4,0)),D2359)=0,"Check sub-category","OK"))))</f>
        <v/>
      </c>
      <c r="P2359">
        <f>IF(ISNUMBER(I2359),I2359+ROW()/10000000,"")</f>
        <v/>
      </c>
      <c r="Q2359">
        <f>IF(AND(ISNUMBER(P2359),ISNUMBER(A2359)),IF(AND(A2359&gt;=Dashboard!$Q$3,A2359&lt;=Dashboard!$Q$4,OR(J2359&lt;&gt;"Yes",Dashboard!$Q$15="Yes")),P2359,""),"")</f>
        <v/>
      </c>
    </row>
    <row r="2360">
      <c r="A2360" s="47" t="n"/>
      <c r="B2360" s="48" t="n"/>
      <c r="C2360" s="48" t="n"/>
      <c r="D2360" s="48" t="n"/>
      <c r="E2360" s="48" t="n"/>
      <c r="F2360" s="48" t="n"/>
      <c r="G2360" s="48" t="n"/>
      <c r="H2360" s="48" t="n"/>
      <c r="I2360" s="49" t="n"/>
      <c r="J2360" s="50" t="n"/>
      <c r="K2360" s="48" t="n"/>
      <c r="L2360" s="51">
        <f>IF(A2360="","",DATE(YEAR(A2360),MONTH(A2360),1))</f>
        <v/>
      </c>
      <c r="M2360" s="52">
        <f>IF(OR(A2360="",NOT(ISNUMBER(I2360))),"",IF(G2360=Lists!$B$5,I2360/2,IF(G2360=Lists!$B$6,I2360,0)))</f>
        <v/>
      </c>
      <c r="N2360" s="52">
        <f>IF(OR(A2360="",NOT(ISNUMBER(I2360))),"",IF(G2360=Lists!$B$5,I2360/2,IF(G2360=Lists!$B$7,I2360,0)))</f>
        <v/>
      </c>
      <c r="O2360" s="53">
        <f>IF(COUNTA(A2360:K2360)=0,"",IF(OR(A2360="",B2360="",C2360="",D2360="",E2360="",F2360="",G2360="",NOT(ISNUMBER(I2360))),"Incomplete",IF(COUNTIF(Lists!$H$4:$AA$4,C2360)=0,"Check category",IF(COUNTIF(INDEX(Lists!$H$6:$AA$45,0,MATCH(C2360,Lists!$H$4:$AA$4,0)),D2360)=0,"Check sub-category","OK"))))</f>
        <v/>
      </c>
      <c r="P2360">
        <f>IF(ISNUMBER(I2360),I2360+ROW()/10000000,"")</f>
        <v/>
      </c>
      <c r="Q2360">
        <f>IF(AND(ISNUMBER(P2360),ISNUMBER(A2360)),IF(AND(A2360&gt;=Dashboard!$Q$3,A2360&lt;=Dashboard!$Q$4,OR(J2360&lt;&gt;"Yes",Dashboard!$Q$15="Yes")),P2360,""),"")</f>
        <v/>
      </c>
    </row>
    <row r="2361">
      <c r="A2361" s="47" t="n"/>
      <c r="B2361" s="48" t="n"/>
      <c r="C2361" s="48" t="n"/>
      <c r="D2361" s="48" t="n"/>
      <c r="E2361" s="48" t="n"/>
      <c r="F2361" s="48" t="n"/>
      <c r="G2361" s="48" t="n"/>
      <c r="H2361" s="48" t="n"/>
      <c r="I2361" s="49" t="n"/>
      <c r="J2361" s="50" t="n"/>
      <c r="K2361" s="48" t="n"/>
      <c r="L2361" s="51">
        <f>IF(A2361="","",DATE(YEAR(A2361),MONTH(A2361),1))</f>
        <v/>
      </c>
      <c r="M2361" s="52">
        <f>IF(OR(A2361="",NOT(ISNUMBER(I2361))),"",IF(G2361=Lists!$B$5,I2361/2,IF(G2361=Lists!$B$6,I2361,0)))</f>
        <v/>
      </c>
      <c r="N2361" s="52">
        <f>IF(OR(A2361="",NOT(ISNUMBER(I2361))),"",IF(G2361=Lists!$B$5,I2361/2,IF(G2361=Lists!$B$7,I2361,0)))</f>
        <v/>
      </c>
      <c r="O2361" s="53">
        <f>IF(COUNTA(A2361:K2361)=0,"",IF(OR(A2361="",B2361="",C2361="",D2361="",E2361="",F2361="",G2361="",NOT(ISNUMBER(I2361))),"Incomplete",IF(COUNTIF(Lists!$H$4:$AA$4,C2361)=0,"Check category",IF(COUNTIF(INDEX(Lists!$H$6:$AA$45,0,MATCH(C2361,Lists!$H$4:$AA$4,0)),D2361)=0,"Check sub-category","OK"))))</f>
        <v/>
      </c>
      <c r="P2361">
        <f>IF(ISNUMBER(I2361),I2361+ROW()/10000000,"")</f>
        <v/>
      </c>
      <c r="Q2361">
        <f>IF(AND(ISNUMBER(P2361),ISNUMBER(A2361)),IF(AND(A2361&gt;=Dashboard!$Q$3,A2361&lt;=Dashboard!$Q$4,OR(J2361&lt;&gt;"Yes",Dashboard!$Q$15="Yes")),P2361,""),"")</f>
        <v/>
      </c>
    </row>
    <row r="2362">
      <c r="A2362" s="47" t="n"/>
      <c r="B2362" s="48" t="n"/>
      <c r="C2362" s="48" t="n"/>
      <c r="D2362" s="48" t="n"/>
      <c r="E2362" s="48" t="n"/>
      <c r="F2362" s="48" t="n"/>
      <c r="G2362" s="48" t="n"/>
      <c r="H2362" s="48" t="n"/>
      <c r="I2362" s="49" t="n"/>
      <c r="J2362" s="50" t="n"/>
      <c r="K2362" s="48" t="n"/>
      <c r="L2362" s="51">
        <f>IF(A2362="","",DATE(YEAR(A2362),MONTH(A2362),1))</f>
        <v/>
      </c>
      <c r="M2362" s="52">
        <f>IF(OR(A2362="",NOT(ISNUMBER(I2362))),"",IF(G2362=Lists!$B$5,I2362/2,IF(G2362=Lists!$B$6,I2362,0)))</f>
        <v/>
      </c>
      <c r="N2362" s="52">
        <f>IF(OR(A2362="",NOT(ISNUMBER(I2362))),"",IF(G2362=Lists!$B$5,I2362/2,IF(G2362=Lists!$B$7,I2362,0)))</f>
        <v/>
      </c>
      <c r="O2362" s="53">
        <f>IF(COUNTA(A2362:K2362)=0,"",IF(OR(A2362="",B2362="",C2362="",D2362="",E2362="",F2362="",G2362="",NOT(ISNUMBER(I2362))),"Incomplete",IF(COUNTIF(Lists!$H$4:$AA$4,C2362)=0,"Check category",IF(COUNTIF(INDEX(Lists!$H$6:$AA$45,0,MATCH(C2362,Lists!$H$4:$AA$4,0)),D2362)=0,"Check sub-category","OK"))))</f>
        <v/>
      </c>
      <c r="P2362">
        <f>IF(ISNUMBER(I2362),I2362+ROW()/10000000,"")</f>
        <v/>
      </c>
      <c r="Q2362">
        <f>IF(AND(ISNUMBER(P2362),ISNUMBER(A2362)),IF(AND(A2362&gt;=Dashboard!$Q$3,A2362&lt;=Dashboard!$Q$4,OR(J2362&lt;&gt;"Yes",Dashboard!$Q$15="Yes")),P2362,""),"")</f>
        <v/>
      </c>
    </row>
    <row r="2363">
      <c r="A2363" s="47" t="n"/>
      <c r="B2363" s="48" t="n"/>
      <c r="C2363" s="48" t="n"/>
      <c r="D2363" s="48" t="n"/>
      <c r="E2363" s="48" t="n"/>
      <c r="F2363" s="48" t="n"/>
      <c r="G2363" s="48" t="n"/>
      <c r="H2363" s="48" t="n"/>
      <c r="I2363" s="49" t="n"/>
      <c r="J2363" s="50" t="n"/>
      <c r="K2363" s="48" t="n"/>
      <c r="L2363" s="51">
        <f>IF(A2363="","",DATE(YEAR(A2363),MONTH(A2363),1))</f>
        <v/>
      </c>
      <c r="M2363" s="52">
        <f>IF(OR(A2363="",NOT(ISNUMBER(I2363))),"",IF(G2363=Lists!$B$5,I2363/2,IF(G2363=Lists!$B$6,I2363,0)))</f>
        <v/>
      </c>
      <c r="N2363" s="52">
        <f>IF(OR(A2363="",NOT(ISNUMBER(I2363))),"",IF(G2363=Lists!$B$5,I2363/2,IF(G2363=Lists!$B$7,I2363,0)))</f>
        <v/>
      </c>
      <c r="O2363" s="53">
        <f>IF(COUNTA(A2363:K2363)=0,"",IF(OR(A2363="",B2363="",C2363="",D2363="",E2363="",F2363="",G2363="",NOT(ISNUMBER(I2363))),"Incomplete",IF(COUNTIF(Lists!$H$4:$AA$4,C2363)=0,"Check category",IF(COUNTIF(INDEX(Lists!$H$6:$AA$45,0,MATCH(C2363,Lists!$H$4:$AA$4,0)),D2363)=0,"Check sub-category","OK"))))</f>
        <v/>
      </c>
      <c r="P2363">
        <f>IF(ISNUMBER(I2363),I2363+ROW()/10000000,"")</f>
        <v/>
      </c>
      <c r="Q2363">
        <f>IF(AND(ISNUMBER(P2363),ISNUMBER(A2363)),IF(AND(A2363&gt;=Dashboard!$Q$3,A2363&lt;=Dashboard!$Q$4,OR(J2363&lt;&gt;"Yes",Dashboard!$Q$15="Yes")),P2363,""),"")</f>
        <v/>
      </c>
    </row>
    <row r="2364">
      <c r="A2364" s="47" t="n"/>
      <c r="B2364" s="48" t="n"/>
      <c r="C2364" s="48" t="n"/>
      <c r="D2364" s="48" t="n"/>
      <c r="E2364" s="48" t="n"/>
      <c r="F2364" s="48" t="n"/>
      <c r="G2364" s="48" t="n"/>
      <c r="H2364" s="48" t="n"/>
      <c r="I2364" s="49" t="n"/>
      <c r="J2364" s="50" t="n"/>
      <c r="K2364" s="48" t="n"/>
      <c r="L2364" s="51">
        <f>IF(A2364="","",DATE(YEAR(A2364),MONTH(A2364),1))</f>
        <v/>
      </c>
      <c r="M2364" s="52">
        <f>IF(OR(A2364="",NOT(ISNUMBER(I2364))),"",IF(G2364=Lists!$B$5,I2364/2,IF(G2364=Lists!$B$6,I2364,0)))</f>
        <v/>
      </c>
      <c r="N2364" s="52">
        <f>IF(OR(A2364="",NOT(ISNUMBER(I2364))),"",IF(G2364=Lists!$B$5,I2364/2,IF(G2364=Lists!$B$7,I2364,0)))</f>
        <v/>
      </c>
      <c r="O2364" s="53">
        <f>IF(COUNTA(A2364:K2364)=0,"",IF(OR(A2364="",B2364="",C2364="",D2364="",E2364="",F2364="",G2364="",NOT(ISNUMBER(I2364))),"Incomplete",IF(COUNTIF(Lists!$H$4:$AA$4,C2364)=0,"Check category",IF(COUNTIF(INDEX(Lists!$H$6:$AA$45,0,MATCH(C2364,Lists!$H$4:$AA$4,0)),D2364)=0,"Check sub-category","OK"))))</f>
        <v/>
      </c>
      <c r="P2364">
        <f>IF(ISNUMBER(I2364),I2364+ROW()/10000000,"")</f>
        <v/>
      </c>
      <c r="Q2364">
        <f>IF(AND(ISNUMBER(P2364),ISNUMBER(A2364)),IF(AND(A2364&gt;=Dashboard!$Q$3,A2364&lt;=Dashboard!$Q$4,OR(J2364&lt;&gt;"Yes",Dashboard!$Q$15="Yes")),P2364,""),"")</f>
        <v/>
      </c>
    </row>
    <row r="2365">
      <c r="A2365" s="47" t="n"/>
      <c r="B2365" s="48" t="n"/>
      <c r="C2365" s="48" t="n"/>
      <c r="D2365" s="48" t="n"/>
      <c r="E2365" s="48" t="n"/>
      <c r="F2365" s="48" t="n"/>
      <c r="G2365" s="48" t="n"/>
      <c r="H2365" s="48" t="n"/>
      <c r="I2365" s="49" t="n"/>
      <c r="J2365" s="50" t="n"/>
      <c r="K2365" s="48" t="n"/>
      <c r="L2365" s="51">
        <f>IF(A2365="","",DATE(YEAR(A2365),MONTH(A2365),1))</f>
        <v/>
      </c>
      <c r="M2365" s="52">
        <f>IF(OR(A2365="",NOT(ISNUMBER(I2365))),"",IF(G2365=Lists!$B$5,I2365/2,IF(G2365=Lists!$B$6,I2365,0)))</f>
        <v/>
      </c>
      <c r="N2365" s="52">
        <f>IF(OR(A2365="",NOT(ISNUMBER(I2365))),"",IF(G2365=Lists!$B$5,I2365/2,IF(G2365=Lists!$B$7,I2365,0)))</f>
        <v/>
      </c>
      <c r="O2365" s="53">
        <f>IF(COUNTA(A2365:K2365)=0,"",IF(OR(A2365="",B2365="",C2365="",D2365="",E2365="",F2365="",G2365="",NOT(ISNUMBER(I2365))),"Incomplete",IF(COUNTIF(Lists!$H$4:$AA$4,C2365)=0,"Check category",IF(COUNTIF(INDEX(Lists!$H$6:$AA$45,0,MATCH(C2365,Lists!$H$4:$AA$4,0)),D2365)=0,"Check sub-category","OK"))))</f>
        <v/>
      </c>
      <c r="P2365">
        <f>IF(ISNUMBER(I2365),I2365+ROW()/10000000,"")</f>
        <v/>
      </c>
      <c r="Q2365">
        <f>IF(AND(ISNUMBER(P2365),ISNUMBER(A2365)),IF(AND(A2365&gt;=Dashboard!$Q$3,A2365&lt;=Dashboard!$Q$4,OR(J2365&lt;&gt;"Yes",Dashboard!$Q$15="Yes")),P2365,""),"")</f>
        <v/>
      </c>
    </row>
    <row r="2366">
      <c r="A2366" s="47" t="n"/>
      <c r="B2366" s="48" t="n"/>
      <c r="C2366" s="48" t="n"/>
      <c r="D2366" s="48" t="n"/>
      <c r="E2366" s="48" t="n"/>
      <c r="F2366" s="48" t="n"/>
      <c r="G2366" s="48" t="n"/>
      <c r="H2366" s="48" t="n"/>
      <c r="I2366" s="49" t="n"/>
      <c r="J2366" s="50" t="n"/>
      <c r="K2366" s="48" t="n"/>
      <c r="L2366" s="51">
        <f>IF(A2366="","",DATE(YEAR(A2366),MONTH(A2366),1))</f>
        <v/>
      </c>
      <c r="M2366" s="52">
        <f>IF(OR(A2366="",NOT(ISNUMBER(I2366))),"",IF(G2366=Lists!$B$5,I2366/2,IF(G2366=Lists!$B$6,I2366,0)))</f>
        <v/>
      </c>
      <c r="N2366" s="52">
        <f>IF(OR(A2366="",NOT(ISNUMBER(I2366))),"",IF(G2366=Lists!$B$5,I2366/2,IF(G2366=Lists!$B$7,I2366,0)))</f>
        <v/>
      </c>
      <c r="O2366" s="53">
        <f>IF(COUNTA(A2366:K2366)=0,"",IF(OR(A2366="",B2366="",C2366="",D2366="",E2366="",F2366="",G2366="",NOT(ISNUMBER(I2366))),"Incomplete",IF(COUNTIF(Lists!$H$4:$AA$4,C2366)=0,"Check category",IF(COUNTIF(INDEX(Lists!$H$6:$AA$45,0,MATCH(C2366,Lists!$H$4:$AA$4,0)),D2366)=0,"Check sub-category","OK"))))</f>
        <v/>
      </c>
      <c r="P2366">
        <f>IF(ISNUMBER(I2366),I2366+ROW()/10000000,"")</f>
        <v/>
      </c>
      <c r="Q2366">
        <f>IF(AND(ISNUMBER(P2366),ISNUMBER(A2366)),IF(AND(A2366&gt;=Dashboard!$Q$3,A2366&lt;=Dashboard!$Q$4,OR(J2366&lt;&gt;"Yes",Dashboard!$Q$15="Yes")),P2366,""),"")</f>
        <v/>
      </c>
    </row>
    <row r="2367">
      <c r="A2367" s="47" t="n"/>
      <c r="B2367" s="48" t="n"/>
      <c r="C2367" s="48" t="n"/>
      <c r="D2367" s="48" t="n"/>
      <c r="E2367" s="48" t="n"/>
      <c r="F2367" s="48" t="n"/>
      <c r="G2367" s="48" t="n"/>
      <c r="H2367" s="48" t="n"/>
      <c r="I2367" s="49" t="n"/>
      <c r="J2367" s="50" t="n"/>
      <c r="K2367" s="48" t="n"/>
      <c r="L2367" s="51">
        <f>IF(A2367="","",DATE(YEAR(A2367),MONTH(A2367),1))</f>
        <v/>
      </c>
      <c r="M2367" s="52">
        <f>IF(OR(A2367="",NOT(ISNUMBER(I2367))),"",IF(G2367=Lists!$B$5,I2367/2,IF(G2367=Lists!$B$6,I2367,0)))</f>
        <v/>
      </c>
      <c r="N2367" s="52">
        <f>IF(OR(A2367="",NOT(ISNUMBER(I2367))),"",IF(G2367=Lists!$B$5,I2367/2,IF(G2367=Lists!$B$7,I2367,0)))</f>
        <v/>
      </c>
      <c r="O2367" s="53">
        <f>IF(COUNTA(A2367:K2367)=0,"",IF(OR(A2367="",B2367="",C2367="",D2367="",E2367="",F2367="",G2367="",NOT(ISNUMBER(I2367))),"Incomplete",IF(COUNTIF(Lists!$H$4:$AA$4,C2367)=0,"Check category",IF(COUNTIF(INDEX(Lists!$H$6:$AA$45,0,MATCH(C2367,Lists!$H$4:$AA$4,0)),D2367)=0,"Check sub-category","OK"))))</f>
        <v/>
      </c>
      <c r="P2367">
        <f>IF(ISNUMBER(I2367),I2367+ROW()/10000000,"")</f>
        <v/>
      </c>
      <c r="Q2367">
        <f>IF(AND(ISNUMBER(P2367),ISNUMBER(A2367)),IF(AND(A2367&gt;=Dashboard!$Q$3,A2367&lt;=Dashboard!$Q$4,OR(J2367&lt;&gt;"Yes",Dashboard!$Q$15="Yes")),P2367,""),"")</f>
        <v/>
      </c>
    </row>
    <row r="2368">
      <c r="A2368" s="47" t="n"/>
      <c r="B2368" s="48" t="n"/>
      <c r="C2368" s="48" t="n"/>
      <c r="D2368" s="48" t="n"/>
      <c r="E2368" s="48" t="n"/>
      <c r="F2368" s="48" t="n"/>
      <c r="G2368" s="48" t="n"/>
      <c r="H2368" s="48" t="n"/>
      <c r="I2368" s="49" t="n"/>
      <c r="J2368" s="50" t="n"/>
      <c r="K2368" s="48" t="n"/>
      <c r="L2368" s="51">
        <f>IF(A2368="","",DATE(YEAR(A2368),MONTH(A2368),1))</f>
        <v/>
      </c>
      <c r="M2368" s="52">
        <f>IF(OR(A2368="",NOT(ISNUMBER(I2368))),"",IF(G2368=Lists!$B$5,I2368/2,IF(G2368=Lists!$B$6,I2368,0)))</f>
        <v/>
      </c>
      <c r="N2368" s="52">
        <f>IF(OR(A2368="",NOT(ISNUMBER(I2368))),"",IF(G2368=Lists!$B$5,I2368/2,IF(G2368=Lists!$B$7,I2368,0)))</f>
        <v/>
      </c>
      <c r="O2368" s="53">
        <f>IF(COUNTA(A2368:K2368)=0,"",IF(OR(A2368="",B2368="",C2368="",D2368="",E2368="",F2368="",G2368="",NOT(ISNUMBER(I2368))),"Incomplete",IF(COUNTIF(Lists!$H$4:$AA$4,C2368)=0,"Check category",IF(COUNTIF(INDEX(Lists!$H$6:$AA$45,0,MATCH(C2368,Lists!$H$4:$AA$4,0)),D2368)=0,"Check sub-category","OK"))))</f>
        <v/>
      </c>
      <c r="P2368">
        <f>IF(ISNUMBER(I2368),I2368+ROW()/10000000,"")</f>
        <v/>
      </c>
      <c r="Q2368">
        <f>IF(AND(ISNUMBER(P2368),ISNUMBER(A2368)),IF(AND(A2368&gt;=Dashboard!$Q$3,A2368&lt;=Dashboard!$Q$4,OR(J2368&lt;&gt;"Yes",Dashboard!$Q$15="Yes")),P2368,""),"")</f>
        <v/>
      </c>
    </row>
    <row r="2369">
      <c r="A2369" s="47" t="n"/>
      <c r="B2369" s="48" t="n"/>
      <c r="C2369" s="48" t="n"/>
      <c r="D2369" s="48" t="n"/>
      <c r="E2369" s="48" t="n"/>
      <c r="F2369" s="48" t="n"/>
      <c r="G2369" s="48" t="n"/>
      <c r="H2369" s="48" t="n"/>
      <c r="I2369" s="49" t="n"/>
      <c r="J2369" s="50" t="n"/>
      <c r="K2369" s="48" t="n"/>
      <c r="L2369" s="51">
        <f>IF(A2369="","",DATE(YEAR(A2369),MONTH(A2369),1))</f>
        <v/>
      </c>
      <c r="M2369" s="52">
        <f>IF(OR(A2369="",NOT(ISNUMBER(I2369))),"",IF(G2369=Lists!$B$5,I2369/2,IF(G2369=Lists!$B$6,I2369,0)))</f>
        <v/>
      </c>
      <c r="N2369" s="52">
        <f>IF(OR(A2369="",NOT(ISNUMBER(I2369))),"",IF(G2369=Lists!$B$5,I2369/2,IF(G2369=Lists!$B$7,I2369,0)))</f>
        <v/>
      </c>
      <c r="O2369" s="53">
        <f>IF(COUNTA(A2369:K2369)=0,"",IF(OR(A2369="",B2369="",C2369="",D2369="",E2369="",F2369="",G2369="",NOT(ISNUMBER(I2369))),"Incomplete",IF(COUNTIF(Lists!$H$4:$AA$4,C2369)=0,"Check category",IF(COUNTIF(INDEX(Lists!$H$6:$AA$45,0,MATCH(C2369,Lists!$H$4:$AA$4,0)),D2369)=0,"Check sub-category","OK"))))</f>
        <v/>
      </c>
      <c r="P2369">
        <f>IF(ISNUMBER(I2369),I2369+ROW()/10000000,"")</f>
        <v/>
      </c>
      <c r="Q2369">
        <f>IF(AND(ISNUMBER(P2369),ISNUMBER(A2369)),IF(AND(A2369&gt;=Dashboard!$Q$3,A2369&lt;=Dashboard!$Q$4,OR(J2369&lt;&gt;"Yes",Dashboard!$Q$15="Yes")),P2369,""),"")</f>
        <v/>
      </c>
    </row>
    <row r="2370">
      <c r="A2370" s="47" t="n"/>
      <c r="B2370" s="48" t="n"/>
      <c r="C2370" s="48" t="n"/>
      <c r="D2370" s="48" t="n"/>
      <c r="E2370" s="48" t="n"/>
      <c r="F2370" s="48" t="n"/>
      <c r="G2370" s="48" t="n"/>
      <c r="H2370" s="48" t="n"/>
      <c r="I2370" s="49" t="n"/>
      <c r="J2370" s="50" t="n"/>
      <c r="K2370" s="48" t="n"/>
      <c r="L2370" s="51">
        <f>IF(A2370="","",DATE(YEAR(A2370),MONTH(A2370),1))</f>
        <v/>
      </c>
      <c r="M2370" s="52">
        <f>IF(OR(A2370="",NOT(ISNUMBER(I2370))),"",IF(G2370=Lists!$B$5,I2370/2,IF(G2370=Lists!$B$6,I2370,0)))</f>
        <v/>
      </c>
      <c r="N2370" s="52">
        <f>IF(OR(A2370="",NOT(ISNUMBER(I2370))),"",IF(G2370=Lists!$B$5,I2370/2,IF(G2370=Lists!$B$7,I2370,0)))</f>
        <v/>
      </c>
      <c r="O2370" s="53">
        <f>IF(COUNTA(A2370:K2370)=0,"",IF(OR(A2370="",B2370="",C2370="",D2370="",E2370="",F2370="",G2370="",NOT(ISNUMBER(I2370))),"Incomplete",IF(COUNTIF(Lists!$H$4:$AA$4,C2370)=0,"Check category",IF(COUNTIF(INDEX(Lists!$H$6:$AA$45,0,MATCH(C2370,Lists!$H$4:$AA$4,0)),D2370)=0,"Check sub-category","OK"))))</f>
        <v/>
      </c>
      <c r="P2370">
        <f>IF(ISNUMBER(I2370),I2370+ROW()/10000000,"")</f>
        <v/>
      </c>
      <c r="Q2370">
        <f>IF(AND(ISNUMBER(P2370),ISNUMBER(A2370)),IF(AND(A2370&gt;=Dashboard!$Q$3,A2370&lt;=Dashboard!$Q$4,OR(J2370&lt;&gt;"Yes",Dashboard!$Q$15="Yes")),P2370,""),"")</f>
        <v/>
      </c>
    </row>
    <row r="2371">
      <c r="A2371" s="47" t="n"/>
      <c r="B2371" s="48" t="n"/>
      <c r="C2371" s="48" t="n"/>
      <c r="D2371" s="48" t="n"/>
      <c r="E2371" s="48" t="n"/>
      <c r="F2371" s="48" t="n"/>
      <c r="G2371" s="48" t="n"/>
      <c r="H2371" s="48" t="n"/>
      <c r="I2371" s="49" t="n"/>
      <c r="J2371" s="50" t="n"/>
      <c r="K2371" s="48" t="n"/>
      <c r="L2371" s="51">
        <f>IF(A2371="","",DATE(YEAR(A2371),MONTH(A2371),1))</f>
        <v/>
      </c>
      <c r="M2371" s="52">
        <f>IF(OR(A2371="",NOT(ISNUMBER(I2371))),"",IF(G2371=Lists!$B$5,I2371/2,IF(G2371=Lists!$B$6,I2371,0)))</f>
        <v/>
      </c>
      <c r="N2371" s="52">
        <f>IF(OR(A2371="",NOT(ISNUMBER(I2371))),"",IF(G2371=Lists!$B$5,I2371/2,IF(G2371=Lists!$B$7,I2371,0)))</f>
        <v/>
      </c>
      <c r="O2371" s="53">
        <f>IF(COUNTA(A2371:K2371)=0,"",IF(OR(A2371="",B2371="",C2371="",D2371="",E2371="",F2371="",G2371="",NOT(ISNUMBER(I2371))),"Incomplete",IF(COUNTIF(Lists!$H$4:$AA$4,C2371)=0,"Check category",IF(COUNTIF(INDEX(Lists!$H$6:$AA$45,0,MATCH(C2371,Lists!$H$4:$AA$4,0)),D2371)=0,"Check sub-category","OK"))))</f>
        <v/>
      </c>
      <c r="P2371">
        <f>IF(ISNUMBER(I2371),I2371+ROW()/10000000,"")</f>
        <v/>
      </c>
      <c r="Q2371">
        <f>IF(AND(ISNUMBER(P2371),ISNUMBER(A2371)),IF(AND(A2371&gt;=Dashboard!$Q$3,A2371&lt;=Dashboard!$Q$4,OR(J2371&lt;&gt;"Yes",Dashboard!$Q$15="Yes")),P2371,""),"")</f>
        <v/>
      </c>
    </row>
    <row r="2372">
      <c r="A2372" s="47" t="n"/>
      <c r="B2372" s="48" t="n"/>
      <c r="C2372" s="48" t="n"/>
      <c r="D2372" s="48" t="n"/>
      <c r="E2372" s="48" t="n"/>
      <c r="F2372" s="48" t="n"/>
      <c r="G2372" s="48" t="n"/>
      <c r="H2372" s="48" t="n"/>
      <c r="I2372" s="49" t="n"/>
      <c r="J2372" s="50" t="n"/>
      <c r="K2372" s="48" t="n"/>
      <c r="L2372" s="51">
        <f>IF(A2372="","",DATE(YEAR(A2372),MONTH(A2372),1))</f>
        <v/>
      </c>
      <c r="M2372" s="52">
        <f>IF(OR(A2372="",NOT(ISNUMBER(I2372))),"",IF(G2372=Lists!$B$5,I2372/2,IF(G2372=Lists!$B$6,I2372,0)))</f>
        <v/>
      </c>
      <c r="N2372" s="52">
        <f>IF(OR(A2372="",NOT(ISNUMBER(I2372))),"",IF(G2372=Lists!$B$5,I2372/2,IF(G2372=Lists!$B$7,I2372,0)))</f>
        <v/>
      </c>
      <c r="O2372" s="53">
        <f>IF(COUNTA(A2372:K2372)=0,"",IF(OR(A2372="",B2372="",C2372="",D2372="",E2372="",F2372="",G2372="",NOT(ISNUMBER(I2372))),"Incomplete",IF(COUNTIF(Lists!$H$4:$AA$4,C2372)=0,"Check category",IF(COUNTIF(INDEX(Lists!$H$6:$AA$45,0,MATCH(C2372,Lists!$H$4:$AA$4,0)),D2372)=0,"Check sub-category","OK"))))</f>
        <v/>
      </c>
      <c r="P2372">
        <f>IF(ISNUMBER(I2372),I2372+ROW()/10000000,"")</f>
        <v/>
      </c>
      <c r="Q2372">
        <f>IF(AND(ISNUMBER(P2372),ISNUMBER(A2372)),IF(AND(A2372&gt;=Dashboard!$Q$3,A2372&lt;=Dashboard!$Q$4,OR(J2372&lt;&gt;"Yes",Dashboard!$Q$15="Yes")),P2372,""),"")</f>
        <v/>
      </c>
    </row>
    <row r="2373">
      <c r="A2373" s="47" t="n"/>
      <c r="B2373" s="48" t="n"/>
      <c r="C2373" s="48" t="n"/>
      <c r="D2373" s="48" t="n"/>
      <c r="E2373" s="48" t="n"/>
      <c r="F2373" s="48" t="n"/>
      <c r="G2373" s="48" t="n"/>
      <c r="H2373" s="48" t="n"/>
      <c r="I2373" s="49" t="n"/>
      <c r="J2373" s="50" t="n"/>
      <c r="K2373" s="48" t="n"/>
      <c r="L2373" s="51">
        <f>IF(A2373="","",DATE(YEAR(A2373),MONTH(A2373),1))</f>
        <v/>
      </c>
      <c r="M2373" s="52">
        <f>IF(OR(A2373="",NOT(ISNUMBER(I2373))),"",IF(G2373=Lists!$B$5,I2373/2,IF(G2373=Lists!$B$6,I2373,0)))</f>
        <v/>
      </c>
      <c r="N2373" s="52">
        <f>IF(OR(A2373="",NOT(ISNUMBER(I2373))),"",IF(G2373=Lists!$B$5,I2373/2,IF(G2373=Lists!$B$7,I2373,0)))</f>
        <v/>
      </c>
      <c r="O2373" s="53">
        <f>IF(COUNTA(A2373:K2373)=0,"",IF(OR(A2373="",B2373="",C2373="",D2373="",E2373="",F2373="",G2373="",NOT(ISNUMBER(I2373))),"Incomplete",IF(COUNTIF(Lists!$H$4:$AA$4,C2373)=0,"Check category",IF(COUNTIF(INDEX(Lists!$H$6:$AA$45,0,MATCH(C2373,Lists!$H$4:$AA$4,0)),D2373)=0,"Check sub-category","OK"))))</f>
        <v/>
      </c>
      <c r="P2373">
        <f>IF(ISNUMBER(I2373),I2373+ROW()/10000000,"")</f>
        <v/>
      </c>
      <c r="Q2373">
        <f>IF(AND(ISNUMBER(P2373),ISNUMBER(A2373)),IF(AND(A2373&gt;=Dashboard!$Q$3,A2373&lt;=Dashboard!$Q$4,OR(J2373&lt;&gt;"Yes",Dashboard!$Q$15="Yes")),P2373,""),"")</f>
        <v/>
      </c>
    </row>
    <row r="2374">
      <c r="A2374" s="47" t="n"/>
      <c r="B2374" s="48" t="n"/>
      <c r="C2374" s="48" t="n"/>
      <c r="D2374" s="48" t="n"/>
      <c r="E2374" s="48" t="n"/>
      <c r="F2374" s="48" t="n"/>
      <c r="G2374" s="48" t="n"/>
      <c r="H2374" s="48" t="n"/>
      <c r="I2374" s="49" t="n"/>
      <c r="J2374" s="50" t="n"/>
      <c r="K2374" s="48" t="n"/>
      <c r="L2374" s="51">
        <f>IF(A2374="","",DATE(YEAR(A2374),MONTH(A2374),1))</f>
        <v/>
      </c>
      <c r="M2374" s="52">
        <f>IF(OR(A2374="",NOT(ISNUMBER(I2374))),"",IF(G2374=Lists!$B$5,I2374/2,IF(G2374=Lists!$B$6,I2374,0)))</f>
        <v/>
      </c>
      <c r="N2374" s="52">
        <f>IF(OR(A2374="",NOT(ISNUMBER(I2374))),"",IF(G2374=Lists!$B$5,I2374/2,IF(G2374=Lists!$B$7,I2374,0)))</f>
        <v/>
      </c>
      <c r="O2374" s="53">
        <f>IF(COUNTA(A2374:K2374)=0,"",IF(OR(A2374="",B2374="",C2374="",D2374="",E2374="",F2374="",G2374="",NOT(ISNUMBER(I2374))),"Incomplete",IF(COUNTIF(Lists!$H$4:$AA$4,C2374)=0,"Check category",IF(COUNTIF(INDEX(Lists!$H$6:$AA$45,0,MATCH(C2374,Lists!$H$4:$AA$4,0)),D2374)=0,"Check sub-category","OK"))))</f>
        <v/>
      </c>
      <c r="P2374">
        <f>IF(ISNUMBER(I2374),I2374+ROW()/10000000,"")</f>
        <v/>
      </c>
      <c r="Q2374">
        <f>IF(AND(ISNUMBER(P2374),ISNUMBER(A2374)),IF(AND(A2374&gt;=Dashboard!$Q$3,A2374&lt;=Dashboard!$Q$4,OR(J2374&lt;&gt;"Yes",Dashboard!$Q$15="Yes")),P2374,""),"")</f>
        <v/>
      </c>
    </row>
    <row r="2375">
      <c r="A2375" s="47" t="n"/>
      <c r="B2375" s="48" t="n"/>
      <c r="C2375" s="48" t="n"/>
      <c r="D2375" s="48" t="n"/>
      <c r="E2375" s="48" t="n"/>
      <c r="F2375" s="48" t="n"/>
      <c r="G2375" s="48" t="n"/>
      <c r="H2375" s="48" t="n"/>
      <c r="I2375" s="49" t="n"/>
      <c r="J2375" s="50" t="n"/>
      <c r="K2375" s="48" t="n"/>
      <c r="L2375" s="51">
        <f>IF(A2375="","",DATE(YEAR(A2375),MONTH(A2375),1))</f>
        <v/>
      </c>
      <c r="M2375" s="52">
        <f>IF(OR(A2375="",NOT(ISNUMBER(I2375))),"",IF(G2375=Lists!$B$5,I2375/2,IF(G2375=Lists!$B$6,I2375,0)))</f>
        <v/>
      </c>
      <c r="N2375" s="52">
        <f>IF(OR(A2375="",NOT(ISNUMBER(I2375))),"",IF(G2375=Lists!$B$5,I2375/2,IF(G2375=Lists!$B$7,I2375,0)))</f>
        <v/>
      </c>
      <c r="O2375" s="53">
        <f>IF(COUNTA(A2375:K2375)=0,"",IF(OR(A2375="",B2375="",C2375="",D2375="",E2375="",F2375="",G2375="",NOT(ISNUMBER(I2375))),"Incomplete",IF(COUNTIF(Lists!$H$4:$AA$4,C2375)=0,"Check category",IF(COUNTIF(INDEX(Lists!$H$6:$AA$45,0,MATCH(C2375,Lists!$H$4:$AA$4,0)),D2375)=0,"Check sub-category","OK"))))</f>
        <v/>
      </c>
      <c r="P2375">
        <f>IF(ISNUMBER(I2375),I2375+ROW()/10000000,"")</f>
        <v/>
      </c>
      <c r="Q2375">
        <f>IF(AND(ISNUMBER(P2375),ISNUMBER(A2375)),IF(AND(A2375&gt;=Dashboard!$Q$3,A2375&lt;=Dashboard!$Q$4,OR(J2375&lt;&gt;"Yes",Dashboard!$Q$15="Yes")),P2375,""),"")</f>
        <v/>
      </c>
    </row>
    <row r="2376">
      <c r="A2376" s="47" t="n"/>
      <c r="B2376" s="48" t="n"/>
      <c r="C2376" s="48" t="n"/>
      <c r="D2376" s="48" t="n"/>
      <c r="E2376" s="48" t="n"/>
      <c r="F2376" s="48" t="n"/>
      <c r="G2376" s="48" t="n"/>
      <c r="H2376" s="48" t="n"/>
      <c r="I2376" s="49" t="n"/>
      <c r="J2376" s="50" t="n"/>
      <c r="K2376" s="48" t="n"/>
      <c r="L2376" s="51">
        <f>IF(A2376="","",DATE(YEAR(A2376),MONTH(A2376),1))</f>
        <v/>
      </c>
      <c r="M2376" s="52">
        <f>IF(OR(A2376="",NOT(ISNUMBER(I2376))),"",IF(G2376=Lists!$B$5,I2376/2,IF(G2376=Lists!$B$6,I2376,0)))</f>
        <v/>
      </c>
      <c r="N2376" s="52">
        <f>IF(OR(A2376="",NOT(ISNUMBER(I2376))),"",IF(G2376=Lists!$B$5,I2376/2,IF(G2376=Lists!$B$7,I2376,0)))</f>
        <v/>
      </c>
      <c r="O2376" s="53">
        <f>IF(COUNTA(A2376:K2376)=0,"",IF(OR(A2376="",B2376="",C2376="",D2376="",E2376="",F2376="",G2376="",NOT(ISNUMBER(I2376))),"Incomplete",IF(COUNTIF(Lists!$H$4:$AA$4,C2376)=0,"Check category",IF(COUNTIF(INDEX(Lists!$H$6:$AA$45,0,MATCH(C2376,Lists!$H$4:$AA$4,0)),D2376)=0,"Check sub-category","OK"))))</f>
        <v/>
      </c>
      <c r="P2376">
        <f>IF(ISNUMBER(I2376),I2376+ROW()/10000000,"")</f>
        <v/>
      </c>
      <c r="Q2376">
        <f>IF(AND(ISNUMBER(P2376),ISNUMBER(A2376)),IF(AND(A2376&gt;=Dashboard!$Q$3,A2376&lt;=Dashboard!$Q$4,OR(J2376&lt;&gt;"Yes",Dashboard!$Q$15="Yes")),P2376,""),"")</f>
        <v/>
      </c>
    </row>
    <row r="2377">
      <c r="A2377" s="47" t="n"/>
      <c r="B2377" s="48" t="n"/>
      <c r="C2377" s="48" t="n"/>
      <c r="D2377" s="48" t="n"/>
      <c r="E2377" s="48" t="n"/>
      <c r="F2377" s="48" t="n"/>
      <c r="G2377" s="48" t="n"/>
      <c r="H2377" s="48" t="n"/>
      <c r="I2377" s="49" t="n"/>
      <c r="J2377" s="50" t="n"/>
      <c r="K2377" s="48" t="n"/>
      <c r="L2377" s="51">
        <f>IF(A2377="","",DATE(YEAR(A2377),MONTH(A2377),1))</f>
        <v/>
      </c>
      <c r="M2377" s="52">
        <f>IF(OR(A2377="",NOT(ISNUMBER(I2377))),"",IF(G2377=Lists!$B$5,I2377/2,IF(G2377=Lists!$B$6,I2377,0)))</f>
        <v/>
      </c>
      <c r="N2377" s="52">
        <f>IF(OR(A2377="",NOT(ISNUMBER(I2377))),"",IF(G2377=Lists!$B$5,I2377/2,IF(G2377=Lists!$B$7,I2377,0)))</f>
        <v/>
      </c>
      <c r="O2377" s="53">
        <f>IF(COUNTA(A2377:K2377)=0,"",IF(OR(A2377="",B2377="",C2377="",D2377="",E2377="",F2377="",G2377="",NOT(ISNUMBER(I2377))),"Incomplete",IF(COUNTIF(Lists!$H$4:$AA$4,C2377)=0,"Check category",IF(COUNTIF(INDEX(Lists!$H$6:$AA$45,0,MATCH(C2377,Lists!$H$4:$AA$4,0)),D2377)=0,"Check sub-category","OK"))))</f>
        <v/>
      </c>
      <c r="P2377">
        <f>IF(ISNUMBER(I2377),I2377+ROW()/10000000,"")</f>
        <v/>
      </c>
      <c r="Q2377">
        <f>IF(AND(ISNUMBER(P2377),ISNUMBER(A2377)),IF(AND(A2377&gt;=Dashboard!$Q$3,A2377&lt;=Dashboard!$Q$4,OR(J2377&lt;&gt;"Yes",Dashboard!$Q$15="Yes")),P2377,""),"")</f>
        <v/>
      </c>
    </row>
    <row r="2378">
      <c r="A2378" s="47" t="n"/>
      <c r="B2378" s="48" t="n"/>
      <c r="C2378" s="48" t="n"/>
      <c r="D2378" s="48" t="n"/>
      <c r="E2378" s="48" t="n"/>
      <c r="F2378" s="48" t="n"/>
      <c r="G2378" s="48" t="n"/>
      <c r="H2378" s="48" t="n"/>
      <c r="I2378" s="49" t="n"/>
      <c r="J2378" s="50" t="n"/>
      <c r="K2378" s="48" t="n"/>
      <c r="L2378" s="51">
        <f>IF(A2378="","",DATE(YEAR(A2378),MONTH(A2378),1))</f>
        <v/>
      </c>
      <c r="M2378" s="52">
        <f>IF(OR(A2378="",NOT(ISNUMBER(I2378))),"",IF(G2378=Lists!$B$5,I2378/2,IF(G2378=Lists!$B$6,I2378,0)))</f>
        <v/>
      </c>
      <c r="N2378" s="52">
        <f>IF(OR(A2378="",NOT(ISNUMBER(I2378))),"",IF(G2378=Lists!$B$5,I2378/2,IF(G2378=Lists!$B$7,I2378,0)))</f>
        <v/>
      </c>
      <c r="O2378" s="53">
        <f>IF(COUNTA(A2378:K2378)=0,"",IF(OR(A2378="",B2378="",C2378="",D2378="",E2378="",F2378="",G2378="",NOT(ISNUMBER(I2378))),"Incomplete",IF(COUNTIF(Lists!$H$4:$AA$4,C2378)=0,"Check category",IF(COUNTIF(INDEX(Lists!$H$6:$AA$45,0,MATCH(C2378,Lists!$H$4:$AA$4,0)),D2378)=0,"Check sub-category","OK"))))</f>
        <v/>
      </c>
      <c r="P2378">
        <f>IF(ISNUMBER(I2378),I2378+ROW()/10000000,"")</f>
        <v/>
      </c>
      <c r="Q2378">
        <f>IF(AND(ISNUMBER(P2378),ISNUMBER(A2378)),IF(AND(A2378&gt;=Dashboard!$Q$3,A2378&lt;=Dashboard!$Q$4,OR(J2378&lt;&gt;"Yes",Dashboard!$Q$15="Yes")),P2378,""),"")</f>
        <v/>
      </c>
    </row>
    <row r="2379">
      <c r="A2379" s="47" t="n"/>
      <c r="B2379" s="48" t="n"/>
      <c r="C2379" s="48" t="n"/>
      <c r="D2379" s="48" t="n"/>
      <c r="E2379" s="48" t="n"/>
      <c r="F2379" s="48" t="n"/>
      <c r="G2379" s="48" t="n"/>
      <c r="H2379" s="48" t="n"/>
      <c r="I2379" s="49" t="n"/>
      <c r="J2379" s="50" t="n"/>
      <c r="K2379" s="48" t="n"/>
      <c r="L2379" s="51">
        <f>IF(A2379="","",DATE(YEAR(A2379),MONTH(A2379),1))</f>
        <v/>
      </c>
      <c r="M2379" s="52">
        <f>IF(OR(A2379="",NOT(ISNUMBER(I2379))),"",IF(G2379=Lists!$B$5,I2379/2,IF(G2379=Lists!$B$6,I2379,0)))</f>
        <v/>
      </c>
      <c r="N2379" s="52">
        <f>IF(OR(A2379="",NOT(ISNUMBER(I2379))),"",IF(G2379=Lists!$B$5,I2379/2,IF(G2379=Lists!$B$7,I2379,0)))</f>
        <v/>
      </c>
      <c r="O2379" s="53">
        <f>IF(COUNTA(A2379:K2379)=0,"",IF(OR(A2379="",B2379="",C2379="",D2379="",E2379="",F2379="",G2379="",NOT(ISNUMBER(I2379))),"Incomplete",IF(COUNTIF(Lists!$H$4:$AA$4,C2379)=0,"Check category",IF(COUNTIF(INDEX(Lists!$H$6:$AA$45,0,MATCH(C2379,Lists!$H$4:$AA$4,0)),D2379)=0,"Check sub-category","OK"))))</f>
        <v/>
      </c>
      <c r="P2379">
        <f>IF(ISNUMBER(I2379),I2379+ROW()/10000000,"")</f>
        <v/>
      </c>
      <c r="Q2379">
        <f>IF(AND(ISNUMBER(P2379),ISNUMBER(A2379)),IF(AND(A2379&gt;=Dashboard!$Q$3,A2379&lt;=Dashboard!$Q$4,OR(J2379&lt;&gt;"Yes",Dashboard!$Q$15="Yes")),P2379,""),"")</f>
        <v/>
      </c>
    </row>
    <row r="2380">
      <c r="A2380" s="47" t="n"/>
      <c r="B2380" s="48" t="n"/>
      <c r="C2380" s="48" t="n"/>
      <c r="D2380" s="48" t="n"/>
      <c r="E2380" s="48" t="n"/>
      <c r="F2380" s="48" t="n"/>
      <c r="G2380" s="48" t="n"/>
      <c r="H2380" s="48" t="n"/>
      <c r="I2380" s="49" t="n"/>
      <c r="J2380" s="50" t="n"/>
      <c r="K2380" s="48" t="n"/>
      <c r="L2380" s="51">
        <f>IF(A2380="","",DATE(YEAR(A2380),MONTH(A2380),1))</f>
        <v/>
      </c>
      <c r="M2380" s="52">
        <f>IF(OR(A2380="",NOT(ISNUMBER(I2380))),"",IF(G2380=Lists!$B$5,I2380/2,IF(G2380=Lists!$B$6,I2380,0)))</f>
        <v/>
      </c>
      <c r="N2380" s="52">
        <f>IF(OR(A2380="",NOT(ISNUMBER(I2380))),"",IF(G2380=Lists!$B$5,I2380/2,IF(G2380=Lists!$B$7,I2380,0)))</f>
        <v/>
      </c>
      <c r="O2380" s="53">
        <f>IF(COUNTA(A2380:K2380)=0,"",IF(OR(A2380="",B2380="",C2380="",D2380="",E2380="",F2380="",G2380="",NOT(ISNUMBER(I2380))),"Incomplete",IF(COUNTIF(Lists!$H$4:$AA$4,C2380)=0,"Check category",IF(COUNTIF(INDEX(Lists!$H$6:$AA$45,0,MATCH(C2380,Lists!$H$4:$AA$4,0)),D2380)=0,"Check sub-category","OK"))))</f>
        <v/>
      </c>
      <c r="P2380">
        <f>IF(ISNUMBER(I2380),I2380+ROW()/10000000,"")</f>
        <v/>
      </c>
      <c r="Q2380">
        <f>IF(AND(ISNUMBER(P2380),ISNUMBER(A2380)),IF(AND(A2380&gt;=Dashboard!$Q$3,A2380&lt;=Dashboard!$Q$4,OR(J2380&lt;&gt;"Yes",Dashboard!$Q$15="Yes")),P2380,""),"")</f>
        <v/>
      </c>
    </row>
    <row r="2381">
      <c r="A2381" s="47" t="n"/>
      <c r="B2381" s="48" t="n"/>
      <c r="C2381" s="48" t="n"/>
      <c r="D2381" s="48" t="n"/>
      <c r="E2381" s="48" t="n"/>
      <c r="F2381" s="48" t="n"/>
      <c r="G2381" s="48" t="n"/>
      <c r="H2381" s="48" t="n"/>
      <c r="I2381" s="49" t="n"/>
      <c r="J2381" s="50" t="n"/>
      <c r="K2381" s="48" t="n"/>
      <c r="L2381" s="51">
        <f>IF(A2381="","",DATE(YEAR(A2381),MONTH(A2381),1))</f>
        <v/>
      </c>
      <c r="M2381" s="52">
        <f>IF(OR(A2381="",NOT(ISNUMBER(I2381))),"",IF(G2381=Lists!$B$5,I2381/2,IF(G2381=Lists!$B$6,I2381,0)))</f>
        <v/>
      </c>
      <c r="N2381" s="52">
        <f>IF(OR(A2381="",NOT(ISNUMBER(I2381))),"",IF(G2381=Lists!$B$5,I2381/2,IF(G2381=Lists!$B$7,I2381,0)))</f>
        <v/>
      </c>
      <c r="O2381" s="53">
        <f>IF(COUNTA(A2381:K2381)=0,"",IF(OR(A2381="",B2381="",C2381="",D2381="",E2381="",F2381="",G2381="",NOT(ISNUMBER(I2381))),"Incomplete",IF(COUNTIF(Lists!$H$4:$AA$4,C2381)=0,"Check category",IF(COUNTIF(INDEX(Lists!$H$6:$AA$45,0,MATCH(C2381,Lists!$H$4:$AA$4,0)),D2381)=0,"Check sub-category","OK"))))</f>
        <v/>
      </c>
      <c r="P2381">
        <f>IF(ISNUMBER(I2381),I2381+ROW()/10000000,"")</f>
        <v/>
      </c>
      <c r="Q2381">
        <f>IF(AND(ISNUMBER(P2381),ISNUMBER(A2381)),IF(AND(A2381&gt;=Dashboard!$Q$3,A2381&lt;=Dashboard!$Q$4,OR(J2381&lt;&gt;"Yes",Dashboard!$Q$15="Yes")),P2381,""),"")</f>
        <v/>
      </c>
    </row>
    <row r="2382">
      <c r="A2382" s="47" t="n"/>
      <c r="B2382" s="48" t="n"/>
      <c r="C2382" s="48" t="n"/>
      <c r="D2382" s="48" t="n"/>
      <c r="E2382" s="48" t="n"/>
      <c r="F2382" s="48" t="n"/>
      <c r="G2382" s="48" t="n"/>
      <c r="H2382" s="48" t="n"/>
      <c r="I2382" s="49" t="n"/>
      <c r="J2382" s="50" t="n"/>
      <c r="K2382" s="48" t="n"/>
      <c r="L2382" s="51">
        <f>IF(A2382="","",DATE(YEAR(A2382),MONTH(A2382),1))</f>
        <v/>
      </c>
      <c r="M2382" s="52">
        <f>IF(OR(A2382="",NOT(ISNUMBER(I2382))),"",IF(G2382=Lists!$B$5,I2382/2,IF(G2382=Lists!$B$6,I2382,0)))</f>
        <v/>
      </c>
      <c r="N2382" s="52">
        <f>IF(OR(A2382="",NOT(ISNUMBER(I2382))),"",IF(G2382=Lists!$B$5,I2382/2,IF(G2382=Lists!$B$7,I2382,0)))</f>
        <v/>
      </c>
      <c r="O2382" s="53">
        <f>IF(COUNTA(A2382:K2382)=0,"",IF(OR(A2382="",B2382="",C2382="",D2382="",E2382="",F2382="",G2382="",NOT(ISNUMBER(I2382))),"Incomplete",IF(COUNTIF(Lists!$H$4:$AA$4,C2382)=0,"Check category",IF(COUNTIF(INDEX(Lists!$H$6:$AA$45,0,MATCH(C2382,Lists!$H$4:$AA$4,0)),D2382)=0,"Check sub-category","OK"))))</f>
        <v/>
      </c>
      <c r="P2382">
        <f>IF(ISNUMBER(I2382),I2382+ROW()/10000000,"")</f>
        <v/>
      </c>
      <c r="Q2382">
        <f>IF(AND(ISNUMBER(P2382),ISNUMBER(A2382)),IF(AND(A2382&gt;=Dashboard!$Q$3,A2382&lt;=Dashboard!$Q$4,OR(J2382&lt;&gt;"Yes",Dashboard!$Q$15="Yes")),P2382,""),"")</f>
        <v/>
      </c>
    </row>
    <row r="2383">
      <c r="A2383" s="47" t="n"/>
      <c r="B2383" s="48" t="n"/>
      <c r="C2383" s="48" t="n"/>
      <c r="D2383" s="48" t="n"/>
      <c r="E2383" s="48" t="n"/>
      <c r="F2383" s="48" t="n"/>
      <c r="G2383" s="48" t="n"/>
      <c r="H2383" s="48" t="n"/>
      <c r="I2383" s="49" t="n"/>
      <c r="J2383" s="50" t="n"/>
      <c r="K2383" s="48" t="n"/>
      <c r="L2383" s="51">
        <f>IF(A2383="","",DATE(YEAR(A2383),MONTH(A2383),1))</f>
        <v/>
      </c>
      <c r="M2383" s="52">
        <f>IF(OR(A2383="",NOT(ISNUMBER(I2383))),"",IF(G2383=Lists!$B$5,I2383/2,IF(G2383=Lists!$B$6,I2383,0)))</f>
        <v/>
      </c>
      <c r="N2383" s="52">
        <f>IF(OR(A2383="",NOT(ISNUMBER(I2383))),"",IF(G2383=Lists!$B$5,I2383/2,IF(G2383=Lists!$B$7,I2383,0)))</f>
        <v/>
      </c>
      <c r="O2383" s="53">
        <f>IF(COUNTA(A2383:K2383)=0,"",IF(OR(A2383="",B2383="",C2383="",D2383="",E2383="",F2383="",G2383="",NOT(ISNUMBER(I2383))),"Incomplete",IF(COUNTIF(Lists!$H$4:$AA$4,C2383)=0,"Check category",IF(COUNTIF(INDEX(Lists!$H$6:$AA$45,0,MATCH(C2383,Lists!$H$4:$AA$4,0)),D2383)=0,"Check sub-category","OK"))))</f>
        <v/>
      </c>
      <c r="P2383">
        <f>IF(ISNUMBER(I2383),I2383+ROW()/10000000,"")</f>
        <v/>
      </c>
      <c r="Q2383">
        <f>IF(AND(ISNUMBER(P2383),ISNUMBER(A2383)),IF(AND(A2383&gt;=Dashboard!$Q$3,A2383&lt;=Dashboard!$Q$4,OR(J2383&lt;&gt;"Yes",Dashboard!$Q$15="Yes")),P2383,""),"")</f>
        <v/>
      </c>
    </row>
    <row r="2384">
      <c r="A2384" s="47" t="n"/>
      <c r="B2384" s="48" t="n"/>
      <c r="C2384" s="48" t="n"/>
      <c r="D2384" s="48" t="n"/>
      <c r="E2384" s="48" t="n"/>
      <c r="F2384" s="48" t="n"/>
      <c r="G2384" s="48" t="n"/>
      <c r="H2384" s="48" t="n"/>
      <c r="I2384" s="49" t="n"/>
      <c r="J2384" s="50" t="n"/>
      <c r="K2384" s="48" t="n"/>
      <c r="L2384" s="51">
        <f>IF(A2384="","",DATE(YEAR(A2384),MONTH(A2384),1))</f>
        <v/>
      </c>
      <c r="M2384" s="52">
        <f>IF(OR(A2384="",NOT(ISNUMBER(I2384))),"",IF(G2384=Lists!$B$5,I2384/2,IF(G2384=Lists!$B$6,I2384,0)))</f>
        <v/>
      </c>
      <c r="N2384" s="52">
        <f>IF(OR(A2384="",NOT(ISNUMBER(I2384))),"",IF(G2384=Lists!$B$5,I2384/2,IF(G2384=Lists!$B$7,I2384,0)))</f>
        <v/>
      </c>
      <c r="O2384" s="53">
        <f>IF(COUNTA(A2384:K2384)=0,"",IF(OR(A2384="",B2384="",C2384="",D2384="",E2384="",F2384="",G2384="",NOT(ISNUMBER(I2384))),"Incomplete",IF(COUNTIF(Lists!$H$4:$AA$4,C2384)=0,"Check category",IF(COUNTIF(INDEX(Lists!$H$6:$AA$45,0,MATCH(C2384,Lists!$H$4:$AA$4,0)),D2384)=0,"Check sub-category","OK"))))</f>
        <v/>
      </c>
      <c r="P2384">
        <f>IF(ISNUMBER(I2384),I2384+ROW()/10000000,"")</f>
        <v/>
      </c>
      <c r="Q2384">
        <f>IF(AND(ISNUMBER(P2384),ISNUMBER(A2384)),IF(AND(A2384&gt;=Dashboard!$Q$3,A2384&lt;=Dashboard!$Q$4,OR(J2384&lt;&gt;"Yes",Dashboard!$Q$15="Yes")),P2384,""),"")</f>
        <v/>
      </c>
    </row>
    <row r="2385">
      <c r="A2385" s="47" t="n"/>
      <c r="B2385" s="48" t="n"/>
      <c r="C2385" s="48" t="n"/>
      <c r="D2385" s="48" t="n"/>
      <c r="E2385" s="48" t="n"/>
      <c r="F2385" s="48" t="n"/>
      <c r="G2385" s="48" t="n"/>
      <c r="H2385" s="48" t="n"/>
      <c r="I2385" s="49" t="n"/>
      <c r="J2385" s="50" t="n"/>
      <c r="K2385" s="48" t="n"/>
      <c r="L2385" s="51">
        <f>IF(A2385="","",DATE(YEAR(A2385),MONTH(A2385),1))</f>
        <v/>
      </c>
      <c r="M2385" s="52">
        <f>IF(OR(A2385="",NOT(ISNUMBER(I2385))),"",IF(G2385=Lists!$B$5,I2385/2,IF(G2385=Lists!$B$6,I2385,0)))</f>
        <v/>
      </c>
      <c r="N2385" s="52">
        <f>IF(OR(A2385="",NOT(ISNUMBER(I2385))),"",IF(G2385=Lists!$B$5,I2385/2,IF(G2385=Lists!$B$7,I2385,0)))</f>
        <v/>
      </c>
      <c r="O2385" s="53">
        <f>IF(COUNTA(A2385:K2385)=0,"",IF(OR(A2385="",B2385="",C2385="",D2385="",E2385="",F2385="",G2385="",NOT(ISNUMBER(I2385))),"Incomplete",IF(COUNTIF(Lists!$H$4:$AA$4,C2385)=0,"Check category",IF(COUNTIF(INDEX(Lists!$H$6:$AA$45,0,MATCH(C2385,Lists!$H$4:$AA$4,0)),D2385)=0,"Check sub-category","OK"))))</f>
        <v/>
      </c>
      <c r="P2385">
        <f>IF(ISNUMBER(I2385),I2385+ROW()/10000000,"")</f>
        <v/>
      </c>
      <c r="Q2385">
        <f>IF(AND(ISNUMBER(P2385),ISNUMBER(A2385)),IF(AND(A2385&gt;=Dashboard!$Q$3,A2385&lt;=Dashboard!$Q$4,OR(J2385&lt;&gt;"Yes",Dashboard!$Q$15="Yes")),P2385,""),"")</f>
        <v/>
      </c>
    </row>
    <row r="2386">
      <c r="A2386" s="47" t="n"/>
      <c r="B2386" s="48" t="n"/>
      <c r="C2386" s="48" t="n"/>
      <c r="D2386" s="48" t="n"/>
      <c r="E2386" s="48" t="n"/>
      <c r="F2386" s="48" t="n"/>
      <c r="G2386" s="48" t="n"/>
      <c r="H2386" s="48" t="n"/>
      <c r="I2386" s="49" t="n"/>
      <c r="J2386" s="50" t="n"/>
      <c r="K2386" s="48" t="n"/>
      <c r="L2386" s="51">
        <f>IF(A2386="","",DATE(YEAR(A2386),MONTH(A2386),1))</f>
        <v/>
      </c>
      <c r="M2386" s="52">
        <f>IF(OR(A2386="",NOT(ISNUMBER(I2386))),"",IF(G2386=Lists!$B$5,I2386/2,IF(G2386=Lists!$B$6,I2386,0)))</f>
        <v/>
      </c>
      <c r="N2386" s="52">
        <f>IF(OR(A2386="",NOT(ISNUMBER(I2386))),"",IF(G2386=Lists!$B$5,I2386/2,IF(G2386=Lists!$B$7,I2386,0)))</f>
        <v/>
      </c>
      <c r="O2386" s="53">
        <f>IF(COUNTA(A2386:K2386)=0,"",IF(OR(A2386="",B2386="",C2386="",D2386="",E2386="",F2386="",G2386="",NOT(ISNUMBER(I2386))),"Incomplete",IF(COUNTIF(Lists!$H$4:$AA$4,C2386)=0,"Check category",IF(COUNTIF(INDEX(Lists!$H$6:$AA$45,0,MATCH(C2386,Lists!$H$4:$AA$4,0)),D2386)=0,"Check sub-category","OK"))))</f>
        <v/>
      </c>
      <c r="P2386">
        <f>IF(ISNUMBER(I2386),I2386+ROW()/10000000,"")</f>
        <v/>
      </c>
      <c r="Q2386">
        <f>IF(AND(ISNUMBER(P2386),ISNUMBER(A2386)),IF(AND(A2386&gt;=Dashboard!$Q$3,A2386&lt;=Dashboard!$Q$4,OR(J2386&lt;&gt;"Yes",Dashboard!$Q$15="Yes")),P2386,""),"")</f>
        <v/>
      </c>
    </row>
    <row r="2387">
      <c r="A2387" s="47" t="n"/>
      <c r="B2387" s="48" t="n"/>
      <c r="C2387" s="48" t="n"/>
      <c r="D2387" s="48" t="n"/>
      <c r="E2387" s="48" t="n"/>
      <c r="F2387" s="48" t="n"/>
      <c r="G2387" s="48" t="n"/>
      <c r="H2387" s="48" t="n"/>
      <c r="I2387" s="49" t="n"/>
      <c r="J2387" s="50" t="n"/>
      <c r="K2387" s="48" t="n"/>
      <c r="L2387" s="51">
        <f>IF(A2387="","",DATE(YEAR(A2387),MONTH(A2387),1))</f>
        <v/>
      </c>
      <c r="M2387" s="52">
        <f>IF(OR(A2387="",NOT(ISNUMBER(I2387))),"",IF(G2387=Lists!$B$5,I2387/2,IF(G2387=Lists!$B$6,I2387,0)))</f>
        <v/>
      </c>
      <c r="N2387" s="52">
        <f>IF(OR(A2387="",NOT(ISNUMBER(I2387))),"",IF(G2387=Lists!$B$5,I2387/2,IF(G2387=Lists!$B$7,I2387,0)))</f>
        <v/>
      </c>
      <c r="O2387" s="53">
        <f>IF(COUNTA(A2387:K2387)=0,"",IF(OR(A2387="",B2387="",C2387="",D2387="",E2387="",F2387="",G2387="",NOT(ISNUMBER(I2387))),"Incomplete",IF(COUNTIF(Lists!$H$4:$AA$4,C2387)=0,"Check category",IF(COUNTIF(INDEX(Lists!$H$6:$AA$45,0,MATCH(C2387,Lists!$H$4:$AA$4,0)),D2387)=0,"Check sub-category","OK"))))</f>
        <v/>
      </c>
      <c r="P2387">
        <f>IF(ISNUMBER(I2387),I2387+ROW()/10000000,"")</f>
        <v/>
      </c>
      <c r="Q2387">
        <f>IF(AND(ISNUMBER(P2387),ISNUMBER(A2387)),IF(AND(A2387&gt;=Dashboard!$Q$3,A2387&lt;=Dashboard!$Q$4,OR(J2387&lt;&gt;"Yes",Dashboard!$Q$15="Yes")),P2387,""),"")</f>
        <v/>
      </c>
    </row>
    <row r="2388">
      <c r="A2388" s="47" t="n"/>
      <c r="B2388" s="48" t="n"/>
      <c r="C2388" s="48" t="n"/>
      <c r="D2388" s="48" t="n"/>
      <c r="E2388" s="48" t="n"/>
      <c r="F2388" s="48" t="n"/>
      <c r="G2388" s="48" t="n"/>
      <c r="H2388" s="48" t="n"/>
      <c r="I2388" s="49" t="n"/>
      <c r="J2388" s="50" t="n"/>
      <c r="K2388" s="48" t="n"/>
      <c r="L2388" s="51">
        <f>IF(A2388="","",DATE(YEAR(A2388),MONTH(A2388),1))</f>
        <v/>
      </c>
      <c r="M2388" s="52">
        <f>IF(OR(A2388="",NOT(ISNUMBER(I2388))),"",IF(G2388=Lists!$B$5,I2388/2,IF(G2388=Lists!$B$6,I2388,0)))</f>
        <v/>
      </c>
      <c r="N2388" s="52">
        <f>IF(OR(A2388="",NOT(ISNUMBER(I2388))),"",IF(G2388=Lists!$B$5,I2388/2,IF(G2388=Lists!$B$7,I2388,0)))</f>
        <v/>
      </c>
      <c r="O2388" s="53">
        <f>IF(COUNTA(A2388:K2388)=0,"",IF(OR(A2388="",B2388="",C2388="",D2388="",E2388="",F2388="",G2388="",NOT(ISNUMBER(I2388))),"Incomplete",IF(COUNTIF(Lists!$H$4:$AA$4,C2388)=0,"Check category",IF(COUNTIF(INDEX(Lists!$H$6:$AA$45,0,MATCH(C2388,Lists!$H$4:$AA$4,0)),D2388)=0,"Check sub-category","OK"))))</f>
        <v/>
      </c>
      <c r="P2388">
        <f>IF(ISNUMBER(I2388),I2388+ROW()/10000000,"")</f>
        <v/>
      </c>
      <c r="Q2388">
        <f>IF(AND(ISNUMBER(P2388),ISNUMBER(A2388)),IF(AND(A2388&gt;=Dashboard!$Q$3,A2388&lt;=Dashboard!$Q$4,OR(J2388&lt;&gt;"Yes",Dashboard!$Q$15="Yes")),P2388,""),"")</f>
        <v/>
      </c>
    </row>
    <row r="2389">
      <c r="A2389" s="47" t="n"/>
      <c r="B2389" s="48" t="n"/>
      <c r="C2389" s="48" t="n"/>
      <c r="D2389" s="48" t="n"/>
      <c r="E2389" s="48" t="n"/>
      <c r="F2389" s="48" t="n"/>
      <c r="G2389" s="48" t="n"/>
      <c r="H2389" s="48" t="n"/>
      <c r="I2389" s="49" t="n"/>
      <c r="J2389" s="50" t="n"/>
      <c r="K2389" s="48" t="n"/>
      <c r="L2389" s="51">
        <f>IF(A2389="","",DATE(YEAR(A2389),MONTH(A2389),1))</f>
        <v/>
      </c>
      <c r="M2389" s="52">
        <f>IF(OR(A2389="",NOT(ISNUMBER(I2389))),"",IF(G2389=Lists!$B$5,I2389/2,IF(G2389=Lists!$B$6,I2389,0)))</f>
        <v/>
      </c>
      <c r="N2389" s="52">
        <f>IF(OR(A2389="",NOT(ISNUMBER(I2389))),"",IF(G2389=Lists!$B$5,I2389/2,IF(G2389=Lists!$B$7,I2389,0)))</f>
        <v/>
      </c>
      <c r="O2389" s="53">
        <f>IF(COUNTA(A2389:K2389)=0,"",IF(OR(A2389="",B2389="",C2389="",D2389="",E2389="",F2389="",G2389="",NOT(ISNUMBER(I2389))),"Incomplete",IF(COUNTIF(Lists!$H$4:$AA$4,C2389)=0,"Check category",IF(COUNTIF(INDEX(Lists!$H$6:$AA$45,0,MATCH(C2389,Lists!$H$4:$AA$4,0)),D2389)=0,"Check sub-category","OK"))))</f>
        <v/>
      </c>
      <c r="P2389">
        <f>IF(ISNUMBER(I2389),I2389+ROW()/10000000,"")</f>
        <v/>
      </c>
      <c r="Q2389">
        <f>IF(AND(ISNUMBER(P2389),ISNUMBER(A2389)),IF(AND(A2389&gt;=Dashboard!$Q$3,A2389&lt;=Dashboard!$Q$4,OR(J2389&lt;&gt;"Yes",Dashboard!$Q$15="Yes")),P2389,""),"")</f>
        <v/>
      </c>
    </row>
    <row r="2390">
      <c r="A2390" s="47" t="n"/>
      <c r="B2390" s="48" t="n"/>
      <c r="C2390" s="48" t="n"/>
      <c r="D2390" s="48" t="n"/>
      <c r="E2390" s="48" t="n"/>
      <c r="F2390" s="48" t="n"/>
      <c r="G2390" s="48" t="n"/>
      <c r="H2390" s="48" t="n"/>
      <c r="I2390" s="49" t="n"/>
      <c r="J2390" s="50" t="n"/>
      <c r="K2390" s="48" t="n"/>
      <c r="L2390" s="51">
        <f>IF(A2390="","",DATE(YEAR(A2390),MONTH(A2390),1))</f>
        <v/>
      </c>
      <c r="M2390" s="52">
        <f>IF(OR(A2390="",NOT(ISNUMBER(I2390))),"",IF(G2390=Lists!$B$5,I2390/2,IF(G2390=Lists!$B$6,I2390,0)))</f>
        <v/>
      </c>
      <c r="N2390" s="52">
        <f>IF(OR(A2390="",NOT(ISNUMBER(I2390))),"",IF(G2390=Lists!$B$5,I2390/2,IF(G2390=Lists!$B$7,I2390,0)))</f>
        <v/>
      </c>
      <c r="O2390" s="53">
        <f>IF(COUNTA(A2390:K2390)=0,"",IF(OR(A2390="",B2390="",C2390="",D2390="",E2390="",F2390="",G2390="",NOT(ISNUMBER(I2390))),"Incomplete",IF(COUNTIF(Lists!$H$4:$AA$4,C2390)=0,"Check category",IF(COUNTIF(INDEX(Lists!$H$6:$AA$45,0,MATCH(C2390,Lists!$H$4:$AA$4,0)),D2390)=0,"Check sub-category","OK"))))</f>
        <v/>
      </c>
      <c r="P2390">
        <f>IF(ISNUMBER(I2390),I2390+ROW()/10000000,"")</f>
        <v/>
      </c>
      <c r="Q2390">
        <f>IF(AND(ISNUMBER(P2390),ISNUMBER(A2390)),IF(AND(A2390&gt;=Dashboard!$Q$3,A2390&lt;=Dashboard!$Q$4,OR(J2390&lt;&gt;"Yes",Dashboard!$Q$15="Yes")),P2390,""),"")</f>
        <v/>
      </c>
    </row>
    <row r="2391">
      <c r="A2391" s="47" t="n"/>
      <c r="B2391" s="48" t="n"/>
      <c r="C2391" s="48" t="n"/>
      <c r="D2391" s="48" t="n"/>
      <c r="E2391" s="48" t="n"/>
      <c r="F2391" s="48" t="n"/>
      <c r="G2391" s="48" t="n"/>
      <c r="H2391" s="48" t="n"/>
      <c r="I2391" s="49" t="n"/>
      <c r="J2391" s="50" t="n"/>
      <c r="K2391" s="48" t="n"/>
      <c r="L2391" s="51">
        <f>IF(A2391="","",DATE(YEAR(A2391),MONTH(A2391),1))</f>
        <v/>
      </c>
      <c r="M2391" s="52">
        <f>IF(OR(A2391="",NOT(ISNUMBER(I2391))),"",IF(G2391=Lists!$B$5,I2391/2,IF(G2391=Lists!$B$6,I2391,0)))</f>
        <v/>
      </c>
      <c r="N2391" s="52">
        <f>IF(OR(A2391="",NOT(ISNUMBER(I2391))),"",IF(G2391=Lists!$B$5,I2391/2,IF(G2391=Lists!$B$7,I2391,0)))</f>
        <v/>
      </c>
      <c r="O2391" s="53">
        <f>IF(COUNTA(A2391:K2391)=0,"",IF(OR(A2391="",B2391="",C2391="",D2391="",E2391="",F2391="",G2391="",NOT(ISNUMBER(I2391))),"Incomplete",IF(COUNTIF(Lists!$H$4:$AA$4,C2391)=0,"Check category",IF(COUNTIF(INDEX(Lists!$H$6:$AA$45,0,MATCH(C2391,Lists!$H$4:$AA$4,0)),D2391)=0,"Check sub-category","OK"))))</f>
        <v/>
      </c>
      <c r="P2391">
        <f>IF(ISNUMBER(I2391),I2391+ROW()/10000000,"")</f>
        <v/>
      </c>
      <c r="Q2391">
        <f>IF(AND(ISNUMBER(P2391),ISNUMBER(A2391)),IF(AND(A2391&gt;=Dashboard!$Q$3,A2391&lt;=Dashboard!$Q$4,OR(J2391&lt;&gt;"Yes",Dashboard!$Q$15="Yes")),P2391,""),"")</f>
        <v/>
      </c>
    </row>
    <row r="2392">
      <c r="A2392" s="47" t="n"/>
      <c r="B2392" s="48" t="n"/>
      <c r="C2392" s="48" t="n"/>
      <c r="D2392" s="48" t="n"/>
      <c r="E2392" s="48" t="n"/>
      <c r="F2392" s="48" t="n"/>
      <c r="G2392" s="48" t="n"/>
      <c r="H2392" s="48" t="n"/>
      <c r="I2392" s="49" t="n"/>
      <c r="J2392" s="50" t="n"/>
      <c r="K2392" s="48" t="n"/>
      <c r="L2392" s="51">
        <f>IF(A2392="","",DATE(YEAR(A2392),MONTH(A2392),1))</f>
        <v/>
      </c>
      <c r="M2392" s="52">
        <f>IF(OR(A2392="",NOT(ISNUMBER(I2392))),"",IF(G2392=Lists!$B$5,I2392/2,IF(G2392=Lists!$B$6,I2392,0)))</f>
        <v/>
      </c>
      <c r="N2392" s="52">
        <f>IF(OR(A2392="",NOT(ISNUMBER(I2392))),"",IF(G2392=Lists!$B$5,I2392/2,IF(G2392=Lists!$B$7,I2392,0)))</f>
        <v/>
      </c>
      <c r="O2392" s="53">
        <f>IF(COUNTA(A2392:K2392)=0,"",IF(OR(A2392="",B2392="",C2392="",D2392="",E2392="",F2392="",G2392="",NOT(ISNUMBER(I2392))),"Incomplete",IF(COUNTIF(Lists!$H$4:$AA$4,C2392)=0,"Check category",IF(COUNTIF(INDEX(Lists!$H$6:$AA$45,0,MATCH(C2392,Lists!$H$4:$AA$4,0)),D2392)=0,"Check sub-category","OK"))))</f>
        <v/>
      </c>
      <c r="P2392">
        <f>IF(ISNUMBER(I2392),I2392+ROW()/10000000,"")</f>
        <v/>
      </c>
      <c r="Q2392">
        <f>IF(AND(ISNUMBER(P2392),ISNUMBER(A2392)),IF(AND(A2392&gt;=Dashboard!$Q$3,A2392&lt;=Dashboard!$Q$4,OR(J2392&lt;&gt;"Yes",Dashboard!$Q$15="Yes")),P2392,""),"")</f>
        <v/>
      </c>
    </row>
    <row r="2393">
      <c r="A2393" s="47" t="n"/>
      <c r="B2393" s="48" t="n"/>
      <c r="C2393" s="48" t="n"/>
      <c r="D2393" s="48" t="n"/>
      <c r="E2393" s="48" t="n"/>
      <c r="F2393" s="48" t="n"/>
      <c r="G2393" s="48" t="n"/>
      <c r="H2393" s="48" t="n"/>
      <c r="I2393" s="49" t="n"/>
      <c r="J2393" s="50" t="n"/>
      <c r="K2393" s="48" t="n"/>
      <c r="L2393" s="51">
        <f>IF(A2393="","",DATE(YEAR(A2393),MONTH(A2393),1))</f>
        <v/>
      </c>
      <c r="M2393" s="52">
        <f>IF(OR(A2393="",NOT(ISNUMBER(I2393))),"",IF(G2393=Lists!$B$5,I2393/2,IF(G2393=Lists!$B$6,I2393,0)))</f>
        <v/>
      </c>
      <c r="N2393" s="52">
        <f>IF(OR(A2393="",NOT(ISNUMBER(I2393))),"",IF(G2393=Lists!$B$5,I2393/2,IF(G2393=Lists!$B$7,I2393,0)))</f>
        <v/>
      </c>
      <c r="O2393" s="53">
        <f>IF(COUNTA(A2393:K2393)=0,"",IF(OR(A2393="",B2393="",C2393="",D2393="",E2393="",F2393="",G2393="",NOT(ISNUMBER(I2393))),"Incomplete",IF(COUNTIF(Lists!$H$4:$AA$4,C2393)=0,"Check category",IF(COUNTIF(INDEX(Lists!$H$6:$AA$45,0,MATCH(C2393,Lists!$H$4:$AA$4,0)),D2393)=0,"Check sub-category","OK"))))</f>
        <v/>
      </c>
      <c r="P2393">
        <f>IF(ISNUMBER(I2393),I2393+ROW()/10000000,"")</f>
        <v/>
      </c>
      <c r="Q2393">
        <f>IF(AND(ISNUMBER(P2393),ISNUMBER(A2393)),IF(AND(A2393&gt;=Dashboard!$Q$3,A2393&lt;=Dashboard!$Q$4,OR(J2393&lt;&gt;"Yes",Dashboard!$Q$15="Yes")),P2393,""),"")</f>
        <v/>
      </c>
    </row>
    <row r="2394">
      <c r="A2394" s="47" t="n"/>
      <c r="B2394" s="48" t="n"/>
      <c r="C2394" s="48" t="n"/>
      <c r="D2394" s="48" t="n"/>
      <c r="E2394" s="48" t="n"/>
      <c r="F2394" s="48" t="n"/>
      <c r="G2394" s="48" t="n"/>
      <c r="H2394" s="48" t="n"/>
      <c r="I2394" s="49" t="n"/>
      <c r="J2394" s="50" t="n"/>
      <c r="K2394" s="48" t="n"/>
      <c r="L2394" s="51">
        <f>IF(A2394="","",DATE(YEAR(A2394),MONTH(A2394),1))</f>
        <v/>
      </c>
      <c r="M2394" s="52">
        <f>IF(OR(A2394="",NOT(ISNUMBER(I2394))),"",IF(G2394=Lists!$B$5,I2394/2,IF(G2394=Lists!$B$6,I2394,0)))</f>
        <v/>
      </c>
      <c r="N2394" s="52">
        <f>IF(OR(A2394="",NOT(ISNUMBER(I2394))),"",IF(G2394=Lists!$B$5,I2394/2,IF(G2394=Lists!$B$7,I2394,0)))</f>
        <v/>
      </c>
      <c r="O2394" s="53">
        <f>IF(COUNTA(A2394:K2394)=0,"",IF(OR(A2394="",B2394="",C2394="",D2394="",E2394="",F2394="",G2394="",NOT(ISNUMBER(I2394))),"Incomplete",IF(COUNTIF(Lists!$H$4:$AA$4,C2394)=0,"Check category",IF(COUNTIF(INDEX(Lists!$H$6:$AA$45,0,MATCH(C2394,Lists!$H$4:$AA$4,0)),D2394)=0,"Check sub-category","OK"))))</f>
        <v/>
      </c>
      <c r="P2394">
        <f>IF(ISNUMBER(I2394),I2394+ROW()/10000000,"")</f>
        <v/>
      </c>
      <c r="Q2394">
        <f>IF(AND(ISNUMBER(P2394),ISNUMBER(A2394)),IF(AND(A2394&gt;=Dashboard!$Q$3,A2394&lt;=Dashboard!$Q$4,OR(J2394&lt;&gt;"Yes",Dashboard!$Q$15="Yes")),P2394,""),"")</f>
        <v/>
      </c>
    </row>
    <row r="2395">
      <c r="A2395" s="47" t="n"/>
      <c r="B2395" s="48" t="n"/>
      <c r="C2395" s="48" t="n"/>
      <c r="D2395" s="48" t="n"/>
      <c r="E2395" s="48" t="n"/>
      <c r="F2395" s="48" t="n"/>
      <c r="G2395" s="48" t="n"/>
      <c r="H2395" s="48" t="n"/>
      <c r="I2395" s="49" t="n"/>
      <c r="J2395" s="50" t="n"/>
      <c r="K2395" s="48" t="n"/>
      <c r="L2395" s="51">
        <f>IF(A2395="","",DATE(YEAR(A2395),MONTH(A2395),1))</f>
        <v/>
      </c>
      <c r="M2395" s="52">
        <f>IF(OR(A2395="",NOT(ISNUMBER(I2395))),"",IF(G2395=Lists!$B$5,I2395/2,IF(G2395=Lists!$B$6,I2395,0)))</f>
        <v/>
      </c>
      <c r="N2395" s="52">
        <f>IF(OR(A2395="",NOT(ISNUMBER(I2395))),"",IF(G2395=Lists!$B$5,I2395/2,IF(G2395=Lists!$B$7,I2395,0)))</f>
        <v/>
      </c>
      <c r="O2395" s="53">
        <f>IF(COUNTA(A2395:K2395)=0,"",IF(OR(A2395="",B2395="",C2395="",D2395="",E2395="",F2395="",G2395="",NOT(ISNUMBER(I2395))),"Incomplete",IF(COUNTIF(Lists!$H$4:$AA$4,C2395)=0,"Check category",IF(COUNTIF(INDEX(Lists!$H$6:$AA$45,0,MATCH(C2395,Lists!$H$4:$AA$4,0)),D2395)=0,"Check sub-category","OK"))))</f>
        <v/>
      </c>
      <c r="P2395">
        <f>IF(ISNUMBER(I2395),I2395+ROW()/10000000,"")</f>
        <v/>
      </c>
      <c r="Q2395">
        <f>IF(AND(ISNUMBER(P2395),ISNUMBER(A2395)),IF(AND(A2395&gt;=Dashboard!$Q$3,A2395&lt;=Dashboard!$Q$4,OR(J2395&lt;&gt;"Yes",Dashboard!$Q$15="Yes")),P2395,""),"")</f>
        <v/>
      </c>
    </row>
    <row r="2396">
      <c r="A2396" s="47" t="n"/>
      <c r="B2396" s="48" t="n"/>
      <c r="C2396" s="48" t="n"/>
      <c r="D2396" s="48" t="n"/>
      <c r="E2396" s="48" t="n"/>
      <c r="F2396" s="48" t="n"/>
      <c r="G2396" s="48" t="n"/>
      <c r="H2396" s="48" t="n"/>
      <c r="I2396" s="49" t="n"/>
      <c r="J2396" s="50" t="n"/>
      <c r="K2396" s="48" t="n"/>
      <c r="L2396" s="51">
        <f>IF(A2396="","",DATE(YEAR(A2396),MONTH(A2396),1))</f>
        <v/>
      </c>
      <c r="M2396" s="52">
        <f>IF(OR(A2396="",NOT(ISNUMBER(I2396))),"",IF(G2396=Lists!$B$5,I2396/2,IF(G2396=Lists!$B$6,I2396,0)))</f>
        <v/>
      </c>
      <c r="N2396" s="52">
        <f>IF(OR(A2396="",NOT(ISNUMBER(I2396))),"",IF(G2396=Lists!$B$5,I2396/2,IF(G2396=Lists!$B$7,I2396,0)))</f>
        <v/>
      </c>
      <c r="O2396" s="53">
        <f>IF(COUNTA(A2396:K2396)=0,"",IF(OR(A2396="",B2396="",C2396="",D2396="",E2396="",F2396="",G2396="",NOT(ISNUMBER(I2396))),"Incomplete",IF(COUNTIF(Lists!$H$4:$AA$4,C2396)=0,"Check category",IF(COUNTIF(INDEX(Lists!$H$6:$AA$45,0,MATCH(C2396,Lists!$H$4:$AA$4,0)),D2396)=0,"Check sub-category","OK"))))</f>
        <v/>
      </c>
      <c r="P2396">
        <f>IF(ISNUMBER(I2396),I2396+ROW()/10000000,"")</f>
        <v/>
      </c>
      <c r="Q2396">
        <f>IF(AND(ISNUMBER(P2396),ISNUMBER(A2396)),IF(AND(A2396&gt;=Dashboard!$Q$3,A2396&lt;=Dashboard!$Q$4,OR(J2396&lt;&gt;"Yes",Dashboard!$Q$15="Yes")),P2396,""),"")</f>
        <v/>
      </c>
    </row>
    <row r="2397">
      <c r="A2397" s="47" t="n"/>
      <c r="B2397" s="48" t="n"/>
      <c r="C2397" s="48" t="n"/>
      <c r="D2397" s="48" t="n"/>
      <c r="E2397" s="48" t="n"/>
      <c r="F2397" s="48" t="n"/>
      <c r="G2397" s="48" t="n"/>
      <c r="H2397" s="48" t="n"/>
      <c r="I2397" s="49" t="n"/>
      <c r="J2397" s="50" t="n"/>
      <c r="K2397" s="48" t="n"/>
      <c r="L2397" s="51">
        <f>IF(A2397="","",DATE(YEAR(A2397),MONTH(A2397),1))</f>
        <v/>
      </c>
      <c r="M2397" s="52">
        <f>IF(OR(A2397="",NOT(ISNUMBER(I2397))),"",IF(G2397=Lists!$B$5,I2397/2,IF(G2397=Lists!$B$6,I2397,0)))</f>
        <v/>
      </c>
      <c r="N2397" s="52">
        <f>IF(OR(A2397="",NOT(ISNUMBER(I2397))),"",IF(G2397=Lists!$B$5,I2397/2,IF(G2397=Lists!$B$7,I2397,0)))</f>
        <v/>
      </c>
      <c r="O2397" s="53">
        <f>IF(COUNTA(A2397:K2397)=0,"",IF(OR(A2397="",B2397="",C2397="",D2397="",E2397="",F2397="",G2397="",NOT(ISNUMBER(I2397))),"Incomplete",IF(COUNTIF(Lists!$H$4:$AA$4,C2397)=0,"Check category",IF(COUNTIF(INDEX(Lists!$H$6:$AA$45,0,MATCH(C2397,Lists!$H$4:$AA$4,0)),D2397)=0,"Check sub-category","OK"))))</f>
        <v/>
      </c>
      <c r="P2397">
        <f>IF(ISNUMBER(I2397),I2397+ROW()/10000000,"")</f>
        <v/>
      </c>
      <c r="Q2397">
        <f>IF(AND(ISNUMBER(P2397),ISNUMBER(A2397)),IF(AND(A2397&gt;=Dashboard!$Q$3,A2397&lt;=Dashboard!$Q$4,OR(J2397&lt;&gt;"Yes",Dashboard!$Q$15="Yes")),P2397,""),"")</f>
        <v/>
      </c>
    </row>
    <row r="2398">
      <c r="A2398" s="47" t="n"/>
      <c r="B2398" s="48" t="n"/>
      <c r="C2398" s="48" t="n"/>
      <c r="D2398" s="48" t="n"/>
      <c r="E2398" s="48" t="n"/>
      <c r="F2398" s="48" t="n"/>
      <c r="G2398" s="48" t="n"/>
      <c r="H2398" s="48" t="n"/>
      <c r="I2398" s="49" t="n"/>
      <c r="J2398" s="50" t="n"/>
      <c r="K2398" s="48" t="n"/>
      <c r="L2398" s="51">
        <f>IF(A2398="","",DATE(YEAR(A2398),MONTH(A2398),1))</f>
        <v/>
      </c>
      <c r="M2398" s="52">
        <f>IF(OR(A2398="",NOT(ISNUMBER(I2398))),"",IF(G2398=Lists!$B$5,I2398/2,IF(G2398=Lists!$B$6,I2398,0)))</f>
        <v/>
      </c>
      <c r="N2398" s="52">
        <f>IF(OR(A2398="",NOT(ISNUMBER(I2398))),"",IF(G2398=Lists!$B$5,I2398/2,IF(G2398=Lists!$B$7,I2398,0)))</f>
        <v/>
      </c>
      <c r="O2398" s="53">
        <f>IF(COUNTA(A2398:K2398)=0,"",IF(OR(A2398="",B2398="",C2398="",D2398="",E2398="",F2398="",G2398="",NOT(ISNUMBER(I2398))),"Incomplete",IF(COUNTIF(Lists!$H$4:$AA$4,C2398)=0,"Check category",IF(COUNTIF(INDEX(Lists!$H$6:$AA$45,0,MATCH(C2398,Lists!$H$4:$AA$4,0)),D2398)=0,"Check sub-category","OK"))))</f>
        <v/>
      </c>
      <c r="P2398">
        <f>IF(ISNUMBER(I2398),I2398+ROW()/10000000,"")</f>
        <v/>
      </c>
      <c r="Q2398">
        <f>IF(AND(ISNUMBER(P2398),ISNUMBER(A2398)),IF(AND(A2398&gt;=Dashboard!$Q$3,A2398&lt;=Dashboard!$Q$4,OR(J2398&lt;&gt;"Yes",Dashboard!$Q$15="Yes")),P2398,""),"")</f>
        <v/>
      </c>
    </row>
    <row r="2399">
      <c r="A2399" s="47" t="n"/>
      <c r="B2399" s="48" t="n"/>
      <c r="C2399" s="48" t="n"/>
      <c r="D2399" s="48" t="n"/>
      <c r="E2399" s="48" t="n"/>
      <c r="F2399" s="48" t="n"/>
      <c r="G2399" s="48" t="n"/>
      <c r="H2399" s="48" t="n"/>
      <c r="I2399" s="49" t="n"/>
      <c r="J2399" s="50" t="n"/>
      <c r="K2399" s="48" t="n"/>
      <c r="L2399" s="51">
        <f>IF(A2399="","",DATE(YEAR(A2399),MONTH(A2399),1))</f>
        <v/>
      </c>
      <c r="M2399" s="52">
        <f>IF(OR(A2399="",NOT(ISNUMBER(I2399))),"",IF(G2399=Lists!$B$5,I2399/2,IF(G2399=Lists!$B$6,I2399,0)))</f>
        <v/>
      </c>
      <c r="N2399" s="52">
        <f>IF(OR(A2399="",NOT(ISNUMBER(I2399))),"",IF(G2399=Lists!$B$5,I2399/2,IF(G2399=Lists!$B$7,I2399,0)))</f>
        <v/>
      </c>
      <c r="O2399" s="53">
        <f>IF(COUNTA(A2399:K2399)=0,"",IF(OR(A2399="",B2399="",C2399="",D2399="",E2399="",F2399="",G2399="",NOT(ISNUMBER(I2399))),"Incomplete",IF(COUNTIF(Lists!$H$4:$AA$4,C2399)=0,"Check category",IF(COUNTIF(INDEX(Lists!$H$6:$AA$45,0,MATCH(C2399,Lists!$H$4:$AA$4,0)),D2399)=0,"Check sub-category","OK"))))</f>
        <v/>
      </c>
      <c r="P2399">
        <f>IF(ISNUMBER(I2399),I2399+ROW()/10000000,"")</f>
        <v/>
      </c>
      <c r="Q2399">
        <f>IF(AND(ISNUMBER(P2399),ISNUMBER(A2399)),IF(AND(A2399&gt;=Dashboard!$Q$3,A2399&lt;=Dashboard!$Q$4,OR(J2399&lt;&gt;"Yes",Dashboard!$Q$15="Yes")),P2399,""),"")</f>
        <v/>
      </c>
    </row>
    <row r="2400">
      <c r="A2400" s="47" t="n"/>
      <c r="B2400" s="48" t="n"/>
      <c r="C2400" s="48" t="n"/>
      <c r="D2400" s="48" t="n"/>
      <c r="E2400" s="48" t="n"/>
      <c r="F2400" s="48" t="n"/>
      <c r="G2400" s="48" t="n"/>
      <c r="H2400" s="48" t="n"/>
      <c r="I2400" s="49" t="n"/>
      <c r="J2400" s="50" t="n"/>
      <c r="K2400" s="48" t="n"/>
      <c r="L2400" s="51">
        <f>IF(A2400="","",DATE(YEAR(A2400),MONTH(A2400),1))</f>
        <v/>
      </c>
      <c r="M2400" s="52">
        <f>IF(OR(A2400="",NOT(ISNUMBER(I2400))),"",IF(G2400=Lists!$B$5,I2400/2,IF(G2400=Lists!$B$6,I2400,0)))</f>
        <v/>
      </c>
      <c r="N2400" s="52">
        <f>IF(OR(A2400="",NOT(ISNUMBER(I2400))),"",IF(G2400=Lists!$B$5,I2400/2,IF(G2400=Lists!$B$7,I2400,0)))</f>
        <v/>
      </c>
      <c r="O2400" s="53">
        <f>IF(COUNTA(A2400:K2400)=0,"",IF(OR(A2400="",B2400="",C2400="",D2400="",E2400="",F2400="",G2400="",NOT(ISNUMBER(I2400))),"Incomplete",IF(COUNTIF(Lists!$H$4:$AA$4,C2400)=0,"Check category",IF(COUNTIF(INDEX(Lists!$H$6:$AA$45,0,MATCH(C2400,Lists!$H$4:$AA$4,0)),D2400)=0,"Check sub-category","OK"))))</f>
        <v/>
      </c>
      <c r="P2400">
        <f>IF(ISNUMBER(I2400),I2400+ROW()/10000000,"")</f>
        <v/>
      </c>
      <c r="Q2400">
        <f>IF(AND(ISNUMBER(P2400),ISNUMBER(A2400)),IF(AND(A2400&gt;=Dashboard!$Q$3,A2400&lt;=Dashboard!$Q$4,OR(J2400&lt;&gt;"Yes",Dashboard!$Q$15="Yes")),P2400,""),"")</f>
        <v/>
      </c>
    </row>
    <row r="2401">
      <c r="A2401" s="47" t="n"/>
      <c r="B2401" s="48" t="n"/>
      <c r="C2401" s="48" t="n"/>
      <c r="D2401" s="48" t="n"/>
      <c r="E2401" s="48" t="n"/>
      <c r="F2401" s="48" t="n"/>
      <c r="G2401" s="48" t="n"/>
      <c r="H2401" s="48" t="n"/>
      <c r="I2401" s="49" t="n"/>
      <c r="J2401" s="50" t="n"/>
      <c r="K2401" s="48" t="n"/>
      <c r="L2401" s="51">
        <f>IF(A2401="","",DATE(YEAR(A2401),MONTH(A2401),1))</f>
        <v/>
      </c>
      <c r="M2401" s="52">
        <f>IF(OR(A2401="",NOT(ISNUMBER(I2401))),"",IF(G2401=Lists!$B$5,I2401/2,IF(G2401=Lists!$B$6,I2401,0)))</f>
        <v/>
      </c>
      <c r="N2401" s="52">
        <f>IF(OR(A2401="",NOT(ISNUMBER(I2401))),"",IF(G2401=Lists!$B$5,I2401/2,IF(G2401=Lists!$B$7,I2401,0)))</f>
        <v/>
      </c>
      <c r="O2401" s="53">
        <f>IF(COUNTA(A2401:K2401)=0,"",IF(OR(A2401="",B2401="",C2401="",D2401="",E2401="",F2401="",G2401="",NOT(ISNUMBER(I2401))),"Incomplete",IF(COUNTIF(Lists!$H$4:$AA$4,C2401)=0,"Check category",IF(COUNTIF(INDEX(Lists!$H$6:$AA$45,0,MATCH(C2401,Lists!$H$4:$AA$4,0)),D2401)=0,"Check sub-category","OK"))))</f>
        <v/>
      </c>
      <c r="P2401">
        <f>IF(ISNUMBER(I2401),I2401+ROW()/10000000,"")</f>
        <v/>
      </c>
      <c r="Q2401">
        <f>IF(AND(ISNUMBER(P2401),ISNUMBER(A2401)),IF(AND(A2401&gt;=Dashboard!$Q$3,A2401&lt;=Dashboard!$Q$4,OR(J2401&lt;&gt;"Yes",Dashboard!$Q$15="Yes")),P2401,""),"")</f>
        <v/>
      </c>
    </row>
    <row r="2402">
      <c r="A2402" s="47" t="n"/>
      <c r="B2402" s="48" t="n"/>
      <c r="C2402" s="48" t="n"/>
      <c r="D2402" s="48" t="n"/>
      <c r="E2402" s="48" t="n"/>
      <c r="F2402" s="48" t="n"/>
      <c r="G2402" s="48" t="n"/>
      <c r="H2402" s="48" t="n"/>
      <c r="I2402" s="49" t="n"/>
      <c r="J2402" s="50" t="n"/>
      <c r="K2402" s="48" t="n"/>
      <c r="L2402" s="51">
        <f>IF(A2402="","",DATE(YEAR(A2402),MONTH(A2402),1))</f>
        <v/>
      </c>
      <c r="M2402" s="52">
        <f>IF(OR(A2402="",NOT(ISNUMBER(I2402))),"",IF(G2402=Lists!$B$5,I2402/2,IF(G2402=Lists!$B$6,I2402,0)))</f>
        <v/>
      </c>
      <c r="N2402" s="52">
        <f>IF(OR(A2402="",NOT(ISNUMBER(I2402))),"",IF(G2402=Lists!$B$5,I2402/2,IF(G2402=Lists!$B$7,I2402,0)))</f>
        <v/>
      </c>
      <c r="O2402" s="53">
        <f>IF(COUNTA(A2402:K2402)=0,"",IF(OR(A2402="",B2402="",C2402="",D2402="",E2402="",F2402="",G2402="",NOT(ISNUMBER(I2402))),"Incomplete",IF(COUNTIF(Lists!$H$4:$AA$4,C2402)=0,"Check category",IF(COUNTIF(INDEX(Lists!$H$6:$AA$45,0,MATCH(C2402,Lists!$H$4:$AA$4,0)),D2402)=0,"Check sub-category","OK"))))</f>
        <v/>
      </c>
      <c r="P2402">
        <f>IF(ISNUMBER(I2402),I2402+ROW()/10000000,"")</f>
        <v/>
      </c>
      <c r="Q2402">
        <f>IF(AND(ISNUMBER(P2402),ISNUMBER(A2402)),IF(AND(A2402&gt;=Dashboard!$Q$3,A2402&lt;=Dashboard!$Q$4,OR(J2402&lt;&gt;"Yes",Dashboard!$Q$15="Yes")),P2402,""),"")</f>
        <v/>
      </c>
    </row>
    <row r="2403">
      <c r="A2403" s="47" t="n"/>
      <c r="B2403" s="48" t="n"/>
      <c r="C2403" s="48" t="n"/>
      <c r="D2403" s="48" t="n"/>
      <c r="E2403" s="48" t="n"/>
      <c r="F2403" s="48" t="n"/>
      <c r="G2403" s="48" t="n"/>
      <c r="H2403" s="48" t="n"/>
      <c r="I2403" s="49" t="n"/>
      <c r="J2403" s="50" t="n"/>
      <c r="K2403" s="48" t="n"/>
      <c r="L2403" s="51">
        <f>IF(A2403="","",DATE(YEAR(A2403),MONTH(A2403),1))</f>
        <v/>
      </c>
      <c r="M2403" s="52">
        <f>IF(OR(A2403="",NOT(ISNUMBER(I2403))),"",IF(G2403=Lists!$B$5,I2403/2,IF(G2403=Lists!$B$6,I2403,0)))</f>
        <v/>
      </c>
      <c r="N2403" s="52">
        <f>IF(OR(A2403="",NOT(ISNUMBER(I2403))),"",IF(G2403=Lists!$B$5,I2403/2,IF(G2403=Lists!$B$7,I2403,0)))</f>
        <v/>
      </c>
      <c r="O2403" s="53">
        <f>IF(COUNTA(A2403:K2403)=0,"",IF(OR(A2403="",B2403="",C2403="",D2403="",E2403="",F2403="",G2403="",NOT(ISNUMBER(I2403))),"Incomplete",IF(COUNTIF(Lists!$H$4:$AA$4,C2403)=0,"Check category",IF(COUNTIF(INDEX(Lists!$H$6:$AA$45,0,MATCH(C2403,Lists!$H$4:$AA$4,0)),D2403)=0,"Check sub-category","OK"))))</f>
        <v/>
      </c>
      <c r="P2403">
        <f>IF(ISNUMBER(I2403),I2403+ROW()/10000000,"")</f>
        <v/>
      </c>
      <c r="Q2403">
        <f>IF(AND(ISNUMBER(P2403),ISNUMBER(A2403)),IF(AND(A2403&gt;=Dashboard!$Q$3,A2403&lt;=Dashboard!$Q$4,OR(J2403&lt;&gt;"Yes",Dashboard!$Q$15="Yes")),P2403,""),"")</f>
        <v/>
      </c>
    </row>
    <row r="2404">
      <c r="A2404" s="47" t="n"/>
      <c r="B2404" s="48" t="n"/>
      <c r="C2404" s="48" t="n"/>
      <c r="D2404" s="48" t="n"/>
      <c r="E2404" s="48" t="n"/>
      <c r="F2404" s="48" t="n"/>
      <c r="G2404" s="48" t="n"/>
      <c r="H2404" s="48" t="n"/>
      <c r="I2404" s="49" t="n"/>
      <c r="J2404" s="50" t="n"/>
      <c r="K2404" s="48" t="n"/>
      <c r="L2404" s="51">
        <f>IF(A2404="","",DATE(YEAR(A2404),MONTH(A2404),1))</f>
        <v/>
      </c>
      <c r="M2404" s="52">
        <f>IF(OR(A2404="",NOT(ISNUMBER(I2404))),"",IF(G2404=Lists!$B$5,I2404/2,IF(G2404=Lists!$B$6,I2404,0)))</f>
        <v/>
      </c>
      <c r="N2404" s="52">
        <f>IF(OR(A2404="",NOT(ISNUMBER(I2404))),"",IF(G2404=Lists!$B$5,I2404/2,IF(G2404=Lists!$B$7,I2404,0)))</f>
        <v/>
      </c>
      <c r="O2404" s="53">
        <f>IF(COUNTA(A2404:K2404)=0,"",IF(OR(A2404="",B2404="",C2404="",D2404="",E2404="",F2404="",G2404="",NOT(ISNUMBER(I2404))),"Incomplete",IF(COUNTIF(Lists!$H$4:$AA$4,C2404)=0,"Check category",IF(COUNTIF(INDEX(Lists!$H$6:$AA$45,0,MATCH(C2404,Lists!$H$4:$AA$4,0)),D2404)=0,"Check sub-category","OK"))))</f>
        <v/>
      </c>
      <c r="P2404">
        <f>IF(ISNUMBER(I2404),I2404+ROW()/10000000,"")</f>
        <v/>
      </c>
      <c r="Q2404">
        <f>IF(AND(ISNUMBER(P2404),ISNUMBER(A2404)),IF(AND(A2404&gt;=Dashboard!$Q$3,A2404&lt;=Dashboard!$Q$4,OR(J2404&lt;&gt;"Yes",Dashboard!$Q$15="Yes")),P2404,""),"")</f>
        <v/>
      </c>
    </row>
    <row r="2405">
      <c r="A2405" s="47" t="n"/>
      <c r="B2405" s="48" t="n"/>
      <c r="C2405" s="48" t="n"/>
      <c r="D2405" s="48" t="n"/>
      <c r="E2405" s="48" t="n"/>
      <c r="F2405" s="48" t="n"/>
      <c r="G2405" s="48" t="n"/>
      <c r="H2405" s="48" t="n"/>
      <c r="I2405" s="49" t="n"/>
      <c r="J2405" s="50" t="n"/>
      <c r="K2405" s="48" t="n"/>
      <c r="L2405" s="51">
        <f>IF(A2405="","",DATE(YEAR(A2405),MONTH(A2405),1))</f>
        <v/>
      </c>
      <c r="M2405" s="52">
        <f>IF(OR(A2405="",NOT(ISNUMBER(I2405))),"",IF(G2405=Lists!$B$5,I2405/2,IF(G2405=Lists!$B$6,I2405,0)))</f>
        <v/>
      </c>
      <c r="N2405" s="52">
        <f>IF(OR(A2405="",NOT(ISNUMBER(I2405))),"",IF(G2405=Lists!$B$5,I2405/2,IF(G2405=Lists!$B$7,I2405,0)))</f>
        <v/>
      </c>
      <c r="O2405" s="53">
        <f>IF(COUNTA(A2405:K2405)=0,"",IF(OR(A2405="",B2405="",C2405="",D2405="",E2405="",F2405="",G2405="",NOT(ISNUMBER(I2405))),"Incomplete",IF(COUNTIF(Lists!$H$4:$AA$4,C2405)=0,"Check category",IF(COUNTIF(INDEX(Lists!$H$6:$AA$45,0,MATCH(C2405,Lists!$H$4:$AA$4,0)),D2405)=0,"Check sub-category","OK"))))</f>
        <v/>
      </c>
      <c r="P2405">
        <f>IF(ISNUMBER(I2405),I2405+ROW()/10000000,"")</f>
        <v/>
      </c>
      <c r="Q2405">
        <f>IF(AND(ISNUMBER(P2405),ISNUMBER(A2405)),IF(AND(A2405&gt;=Dashboard!$Q$3,A2405&lt;=Dashboard!$Q$4,OR(J2405&lt;&gt;"Yes",Dashboard!$Q$15="Yes")),P2405,""),"")</f>
        <v/>
      </c>
    </row>
    <row r="2406">
      <c r="A2406" s="47" t="n"/>
      <c r="B2406" s="48" t="n"/>
      <c r="C2406" s="48" t="n"/>
      <c r="D2406" s="48" t="n"/>
      <c r="E2406" s="48" t="n"/>
      <c r="F2406" s="48" t="n"/>
      <c r="G2406" s="48" t="n"/>
      <c r="H2406" s="48" t="n"/>
      <c r="I2406" s="49" t="n"/>
      <c r="J2406" s="50" t="n"/>
      <c r="K2406" s="48" t="n"/>
      <c r="L2406" s="51">
        <f>IF(A2406="","",DATE(YEAR(A2406),MONTH(A2406),1))</f>
        <v/>
      </c>
      <c r="M2406" s="52">
        <f>IF(OR(A2406="",NOT(ISNUMBER(I2406))),"",IF(G2406=Lists!$B$5,I2406/2,IF(G2406=Lists!$B$6,I2406,0)))</f>
        <v/>
      </c>
      <c r="N2406" s="52">
        <f>IF(OR(A2406="",NOT(ISNUMBER(I2406))),"",IF(G2406=Lists!$B$5,I2406/2,IF(G2406=Lists!$B$7,I2406,0)))</f>
        <v/>
      </c>
      <c r="O2406" s="53">
        <f>IF(COUNTA(A2406:K2406)=0,"",IF(OR(A2406="",B2406="",C2406="",D2406="",E2406="",F2406="",G2406="",NOT(ISNUMBER(I2406))),"Incomplete",IF(COUNTIF(Lists!$H$4:$AA$4,C2406)=0,"Check category",IF(COUNTIF(INDEX(Lists!$H$6:$AA$45,0,MATCH(C2406,Lists!$H$4:$AA$4,0)),D2406)=0,"Check sub-category","OK"))))</f>
        <v/>
      </c>
      <c r="P2406">
        <f>IF(ISNUMBER(I2406),I2406+ROW()/10000000,"")</f>
        <v/>
      </c>
      <c r="Q2406">
        <f>IF(AND(ISNUMBER(P2406),ISNUMBER(A2406)),IF(AND(A2406&gt;=Dashboard!$Q$3,A2406&lt;=Dashboard!$Q$4,OR(J2406&lt;&gt;"Yes",Dashboard!$Q$15="Yes")),P2406,""),"")</f>
        <v/>
      </c>
    </row>
    <row r="2407">
      <c r="A2407" s="47" t="n"/>
      <c r="B2407" s="48" t="n"/>
      <c r="C2407" s="48" t="n"/>
      <c r="D2407" s="48" t="n"/>
      <c r="E2407" s="48" t="n"/>
      <c r="F2407" s="48" t="n"/>
      <c r="G2407" s="48" t="n"/>
      <c r="H2407" s="48" t="n"/>
      <c r="I2407" s="49" t="n"/>
      <c r="J2407" s="50" t="n"/>
      <c r="K2407" s="48" t="n"/>
      <c r="L2407" s="51">
        <f>IF(A2407="","",DATE(YEAR(A2407),MONTH(A2407),1))</f>
        <v/>
      </c>
      <c r="M2407" s="52">
        <f>IF(OR(A2407="",NOT(ISNUMBER(I2407))),"",IF(G2407=Lists!$B$5,I2407/2,IF(G2407=Lists!$B$6,I2407,0)))</f>
        <v/>
      </c>
      <c r="N2407" s="52">
        <f>IF(OR(A2407="",NOT(ISNUMBER(I2407))),"",IF(G2407=Lists!$B$5,I2407/2,IF(G2407=Lists!$B$7,I2407,0)))</f>
        <v/>
      </c>
      <c r="O2407" s="53">
        <f>IF(COUNTA(A2407:K2407)=0,"",IF(OR(A2407="",B2407="",C2407="",D2407="",E2407="",F2407="",G2407="",NOT(ISNUMBER(I2407))),"Incomplete",IF(COUNTIF(Lists!$H$4:$AA$4,C2407)=0,"Check category",IF(COUNTIF(INDEX(Lists!$H$6:$AA$45,0,MATCH(C2407,Lists!$H$4:$AA$4,0)),D2407)=0,"Check sub-category","OK"))))</f>
        <v/>
      </c>
      <c r="P2407">
        <f>IF(ISNUMBER(I2407),I2407+ROW()/10000000,"")</f>
        <v/>
      </c>
      <c r="Q2407">
        <f>IF(AND(ISNUMBER(P2407),ISNUMBER(A2407)),IF(AND(A2407&gt;=Dashboard!$Q$3,A2407&lt;=Dashboard!$Q$4,OR(J2407&lt;&gt;"Yes",Dashboard!$Q$15="Yes")),P2407,""),"")</f>
        <v/>
      </c>
    </row>
    <row r="2408">
      <c r="A2408" s="47" t="n"/>
      <c r="B2408" s="48" t="n"/>
      <c r="C2408" s="48" t="n"/>
      <c r="D2408" s="48" t="n"/>
      <c r="E2408" s="48" t="n"/>
      <c r="F2408" s="48" t="n"/>
      <c r="G2408" s="48" t="n"/>
      <c r="H2408" s="48" t="n"/>
      <c r="I2408" s="49" t="n"/>
      <c r="J2408" s="50" t="n"/>
      <c r="K2408" s="48" t="n"/>
      <c r="L2408" s="51">
        <f>IF(A2408="","",DATE(YEAR(A2408),MONTH(A2408),1))</f>
        <v/>
      </c>
      <c r="M2408" s="52">
        <f>IF(OR(A2408="",NOT(ISNUMBER(I2408))),"",IF(G2408=Lists!$B$5,I2408/2,IF(G2408=Lists!$B$6,I2408,0)))</f>
        <v/>
      </c>
      <c r="N2408" s="52">
        <f>IF(OR(A2408="",NOT(ISNUMBER(I2408))),"",IF(G2408=Lists!$B$5,I2408/2,IF(G2408=Lists!$B$7,I2408,0)))</f>
        <v/>
      </c>
      <c r="O2408" s="53">
        <f>IF(COUNTA(A2408:K2408)=0,"",IF(OR(A2408="",B2408="",C2408="",D2408="",E2408="",F2408="",G2408="",NOT(ISNUMBER(I2408))),"Incomplete",IF(COUNTIF(Lists!$H$4:$AA$4,C2408)=0,"Check category",IF(COUNTIF(INDEX(Lists!$H$6:$AA$45,0,MATCH(C2408,Lists!$H$4:$AA$4,0)),D2408)=0,"Check sub-category","OK"))))</f>
        <v/>
      </c>
      <c r="P2408">
        <f>IF(ISNUMBER(I2408),I2408+ROW()/10000000,"")</f>
        <v/>
      </c>
      <c r="Q2408">
        <f>IF(AND(ISNUMBER(P2408),ISNUMBER(A2408)),IF(AND(A2408&gt;=Dashboard!$Q$3,A2408&lt;=Dashboard!$Q$4,OR(J2408&lt;&gt;"Yes",Dashboard!$Q$15="Yes")),P2408,""),"")</f>
        <v/>
      </c>
    </row>
    <row r="2409">
      <c r="A2409" s="47" t="n"/>
      <c r="B2409" s="48" t="n"/>
      <c r="C2409" s="48" t="n"/>
      <c r="D2409" s="48" t="n"/>
      <c r="E2409" s="48" t="n"/>
      <c r="F2409" s="48" t="n"/>
      <c r="G2409" s="48" t="n"/>
      <c r="H2409" s="48" t="n"/>
      <c r="I2409" s="49" t="n"/>
      <c r="J2409" s="50" t="n"/>
      <c r="K2409" s="48" t="n"/>
      <c r="L2409" s="51">
        <f>IF(A2409="","",DATE(YEAR(A2409),MONTH(A2409),1))</f>
        <v/>
      </c>
      <c r="M2409" s="52">
        <f>IF(OR(A2409="",NOT(ISNUMBER(I2409))),"",IF(G2409=Lists!$B$5,I2409/2,IF(G2409=Lists!$B$6,I2409,0)))</f>
        <v/>
      </c>
      <c r="N2409" s="52">
        <f>IF(OR(A2409="",NOT(ISNUMBER(I2409))),"",IF(G2409=Lists!$B$5,I2409/2,IF(G2409=Lists!$B$7,I2409,0)))</f>
        <v/>
      </c>
      <c r="O2409" s="53">
        <f>IF(COUNTA(A2409:K2409)=0,"",IF(OR(A2409="",B2409="",C2409="",D2409="",E2409="",F2409="",G2409="",NOT(ISNUMBER(I2409))),"Incomplete",IF(COUNTIF(Lists!$H$4:$AA$4,C2409)=0,"Check category",IF(COUNTIF(INDEX(Lists!$H$6:$AA$45,0,MATCH(C2409,Lists!$H$4:$AA$4,0)),D2409)=0,"Check sub-category","OK"))))</f>
        <v/>
      </c>
      <c r="P2409">
        <f>IF(ISNUMBER(I2409),I2409+ROW()/10000000,"")</f>
        <v/>
      </c>
      <c r="Q2409">
        <f>IF(AND(ISNUMBER(P2409),ISNUMBER(A2409)),IF(AND(A2409&gt;=Dashboard!$Q$3,A2409&lt;=Dashboard!$Q$4,OR(J2409&lt;&gt;"Yes",Dashboard!$Q$15="Yes")),P2409,""),"")</f>
        <v/>
      </c>
    </row>
    <row r="2410">
      <c r="A2410" s="47" t="n"/>
      <c r="B2410" s="48" t="n"/>
      <c r="C2410" s="48" t="n"/>
      <c r="D2410" s="48" t="n"/>
      <c r="E2410" s="48" t="n"/>
      <c r="F2410" s="48" t="n"/>
      <c r="G2410" s="48" t="n"/>
      <c r="H2410" s="48" t="n"/>
      <c r="I2410" s="49" t="n"/>
      <c r="J2410" s="50" t="n"/>
      <c r="K2410" s="48" t="n"/>
      <c r="L2410" s="51">
        <f>IF(A2410="","",DATE(YEAR(A2410),MONTH(A2410),1))</f>
        <v/>
      </c>
      <c r="M2410" s="52">
        <f>IF(OR(A2410="",NOT(ISNUMBER(I2410))),"",IF(G2410=Lists!$B$5,I2410/2,IF(G2410=Lists!$B$6,I2410,0)))</f>
        <v/>
      </c>
      <c r="N2410" s="52">
        <f>IF(OR(A2410="",NOT(ISNUMBER(I2410))),"",IF(G2410=Lists!$B$5,I2410/2,IF(G2410=Lists!$B$7,I2410,0)))</f>
        <v/>
      </c>
      <c r="O2410" s="53">
        <f>IF(COUNTA(A2410:K2410)=0,"",IF(OR(A2410="",B2410="",C2410="",D2410="",E2410="",F2410="",G2410="",NOT(ISNUMBER(I2410))),"Incomplete",IF(COUNTIF(Lists!$H$4:$AA$4,C2410)=0,"Check category",IF(COUNTIF(INDEX(Lists!$H$6:$AA$45,0,MATCH(C2410,Lists!$H$4:$AA$4,0)),D2410)=0,"Check sub-category","OK"))))</f>
        <v/>
      </c>
      <c r="P2410">
        <f>IF(ISNUMBER(I2410),I2410+ROW()/10000000,"")</f>
        <v/>
      </c>
      <c r="Q2410">
        <f>IF(AND(ISNUMBER(P2410),ISNUMBER(A2410)),IF(AND(A2410&gt;=Dashboard!$Q$3,A2410&lt;=Dashboard!$Q$4,OR(J2410&lt;&gt;"Yes",Dashboard!$Q$15="Yes")),P2410,""),"")</f>
        <v/>
      </c>
    </row>
    <row r="2411">
      <c r="A2411" s="47" t="n"/>
      <c r="B2411" s="48" t="n"/>
      <c r="C2411" s="48" t="n"/>
      <c r="D2411" s="48" t="n"/>
      <c r="E2411" s="48" t="n"/>
      <c r="F2411" s="48" t="n"/>
      <c r="G2411" s="48" t="n"/>
      <c r="H2411" s="48" t="n"/>
      <c r="I2411" s="49" t="n"/>
      <c r="J2411" s="50" t="n"/>
      <c r="K2411" s="48" t="n"/>
      <c r="L2411" s="51">
        <f>IF(A2411="","",DATE(YEAR(A2411),MONTH(A2411),1))</f>
        <v/>
      </c>
      <c r="M2411" s="52">
        <f>IF(OR(A2411="",NOT(ISNUMBER(I2411))),"",IF(G2411=Lists!$B$5,I2411/2,IF(G2411=Lists!$B$6,I2411,0)))</f>
        <v/>
      </c>
      <c r="N2411" s="52">
        <f>IF(OR(A2411="",NOT(ISNUMBER(I2411))),"",IF(G2411=Lists!$B$5,I2411/2,IF(G2411=Lists!$B$7,I2411,0)))</f>
        <v/>
      </c>
      <c r="O2411" s="53">
        <f>IF(COUNTA(A2411:K2411)=0,"",IF(OR(A2411="",B2411="",C2411="",D2411="",E2411="",F2411="",G2411="",NOT(ISNUMBER(I2411))),"Incomplete",IF(COUNTIF(Lists!$H$4:$AA$4,C2411)=0,"Check category",IF(COUNTIF(INDEX(Lists!$H$6:$AA$45,0,MATCH(C2411,Lists!$H$4:$AA$4,0)),D2411)=0,"Check sub-category","OK"))))</f>
        <v/>
      </c>
      <c r="P2411">
        <f>IF(ISNUMBER(I2411),I2411+ROW()/10000000,"")</f>
        <v/>
      </c>
      <c r="Q2411">
        <f>IF(AND(ISNUMBER(P2411),ISNUMBER(A2411)),IF(AND(A2411&gt;=Dashboard!$Q$3,A2411&lt;=Dashboard!$Q$4,OR(J2411&lt;&gt;"Yes",Dashboard!$Q$15="Yes")),P2411,""),"")</f>
        <v/>
      </c>
    </row>
    <row r="2412">
      <c r="A2412" s="47" t="n"/>
      <c r="B2412" s="48" t="n"/>
      <c r="C2412" s="48" t="n"/>
      <c r="D2412" s="48" t="n"/>
      <c r="E2412" s="48" t="n"/>
      <c r="F2412" s="48" t="n"/>
      <c r="G2412" s="48" t="n"/>
      <c r="H2412" s="48" t="n"/>
      <c r="I2412" s="49" t="n"/>
      <c r="J2412" s="50" t="n"/>
      <c r="K2412" s="48" t="n"/>
      <c r="L2412" s="51">
        <f>IF(A2412="","",DATE(YEAR(A2412),MONTH(A2412),1))</f>
        <v/>
      </c>
      <c r="M2412" s="52">
        <f>IF(OR(A2412="",NOT(ISNUMBER(I2412))),"",IF(G2412=Lists!$B$5,I2412/2,IF(G2412=Lists!$B$6,I2412,0)))</f>
        <v/>
      </c>
      <c r="N2412" s="52">
        <f>IF(OR(A2412="",NOT(ISNUMBER(I2412))),"",IF(G2412=Lists!$B$5,I2412/2,IF(G2412=Lists!$B$7,I2412,0)))</f>
        <v/>
      </c>
      <c r="O2412" s="53">
        <f>IF(COUNTA(A2412:K2412)=0,"",IF(OR(A2412="",B2412="",C2412="",D2412="",E2412="",F2412="",G2412="",NOT(ISNUMBER(I2412))),"Incomplete",IF(COUNTIF(Lists!$H$4:$AA$4,C2412)=0,"Check category",IF(COUNTIF(INDEX(Lists!$H$6:$AA$45,0,MATCH(C2412,Lists!$H$4:$AA$4,0)),D2412)=0,"Check sub-category","OK"))))</f>
        <v/>
      </c>
      <c r="P2412">
        <f>IF(ISNUMBER(I2412),I2412+ROW()/10000000,"")</f>
        <v/>
      </c>
      <c r="Q2412">
        <f>IF(AND(ISNUMBER(P2412),ISNUMBER(A2412)),IF(AND(A2412&gt;=Dashboard!$Q$3,A2412&lt;=Dashboard!$Q$4,OR(J2412&lt;&gt;"Yes",Dashboard!$Q$15="Yes")),P2412,""),"")</f>
        <v/>
      </c>
    </row>
    <row r="2413">
      <c r="A2413" s="47" t="n"/>
      <c r="B2413" s="48" t="n"/>
      <c r="C2413" s="48" t="n"/>
      <c r="D2413" s="48" t="n"/>
      <c r="E2413" s="48" t="n"/>
      <c r="F2413" s="48" t="n"/>
      <c r="G2413" s="48" t="n"/>
      <c r="H2413" s="48" t="n"/>
      <c r="I2413" s="49" t="n"/>
      <c r="J2413" s="50" t="n"/>
      <c r="K2413" s="48" t="n"/>
      <c r="L2413" s="51">
        <f>IF(A2413="","",DATE(YEAR(A2413),MONTH(A2413),1))</f>
        <v/>
      </c>
      <c r="M2413" s="52">
        <f>IF(OR(A2413="",NOT(ISNUMBER(I2413))),"",IF(G2413=Lists!$B$5,I2413/2,IF(G2413=Lists!$B$6,I2413,0)))</f>
        <v/>
      </c>
      <c r="N2413" s="52">
        <f>IF(OR(A2413="",NOT(ISNUMBER(I2413))),"",IF(G2413=Lists!$B$5,I2413/2,IF(G2413=Lists!$B$7,I2413,0)))</f>
        <v/>
      </c>
      <c r="O2413" s="53">
        <f>IF(COUNTA(A2413:K2413)=0,"",IF(OR(A2413="",B2413="",C2413="",D2413="",E2413="",F2413="",G2413="",NOT(ISNUMBER(I2413))),"Incomplete",IF(COUNTIF(Lists!$H$4:$AA$4,C2413)=0,"Check category",IF(COUNTIF(INDEX(Lists!$H$6:$AA$45,0,MATCH(C2413,Lists!$H$4:$AA$4,0)),D2413)=0,"Check sub-category","OK"))))</f>
        <v/>
      </c>
      <c r="P2413">
        <f>IF(ISNUMBER(I2413),I2413+ROW()/10000000,"")</f>
        <v/>
      </c>
      <c r="Q2413">
        <f>IF(AND(ISNUMBER(P2413),ISNUMBER(A2413)),IF(AND(A2413&gt;=Dashboard!$Q$3,A2413&lt;=Dashboard!$Q$4,OR(J2413&lt;&gt;"Yes",Dashboard!$Q$15="Yes")),P2413,""),"")</f>
        <v/>
      </c>
    </row>
    <row r="2414">
      <c r="A2414" s="47" t="n"/>
      <c r="B2414" s="48" t="n"/>
      <c r="C2414" s="48" t="n"/>
      <c r="D2414" s="48" t="n"/>
      <c r="E2414" s="48" t="n"/>
      <c r="F2414" s="48" t="n"/>
      <c r="G2414" s="48" t="n"/>
      <c r="H2414" s="48" t="n"/>
      <c r="I2414" s="49" t="n"/>
      <c r="J2414" s="50" t="n"/>
      <c r="K2414" s="48" t="n"/>
      <c r="L2414" s="51">
        <f>IF(A2414="","",DATE(YEAR(A2414),MONTH(A2414),1))</f>
        <v/>
      </c>
      <c r="M2414" s="52">
        <f>IF(OR(A2414="",NOT(ISNUMBER(I2414))),"",IF(G2414=Lists!$B$5,I2414/2,IF(G2414=Lists!$B$6,I2414,0)))</f>
        <v/>
      </c>
      <c r="N2414" s="52">
        <f>IF(OR(A2414="",NOT(ISNUMBER(I2414))),"",IF(G2414=Lists!$B$5,I2414/2,IF(G2414=Lists!$B$7,I2414,0)))</f>
        <v/>
      </c>
      <c r="O2414" s="53">
        <f>IF(COUNTA(A2414:K2414)=0,"",IF(OR(A2414="",B2414="",C2414="",D2414="",E2414="",F2414="",G2414="",NOT(ISNUMBER(I2414))),"Incomplete",IF(COUNTIF(Lists!$H$4:$AA$4,C2414)=0,"Check category",IF(COUNTIF(INDEX(Lists!$H$6:$AA$45,0,MATCH(C2414,Lists!$H$4:$AA$4,0)),D2414)=0,"Check sub-category","OK"))))</f>
        <v/>
      </c>
      <c r="P2414">
        <f>IF(ISNUMBER(I2414),I2414+ROW()/10000000,"")</f>
        <v/>
      </c>
      <c r="Q2414">
        <f>IF(AND(ISNUMBER(P2414),ISNUMBER(A2414)),IF(AND(A2414&gt;=Dashboard!$Q$3,A2414&lt;=Dashboard!$Q$4,OR(J2414&lt;&gt;"Yes",Dashboard!$Q$15="Yes")),P2414,""),"")</f>
        <v/>
      </c>
    </row>
    <row r="2415">
      <c r="A2415" s="47" t="n"/>
      <c r="B2415" s="48" t="n"/>
      <c r="C2415" s="48" t="n"/>
      <c r="D2415" s="48" t="n"/>
      <c r="E2415" s="48" t="n"/>
      <c r="F2415" s="48" t="n"/>
      <c r="G2415" s="48" t="n"/>
      <c r="H2415" s="48" t="n"/>
      <c r="I2415" s="49" t="n"/>
      <c r="J2415" s="50" t="n"/>
      <c r="K2415" s="48" t="n"/>
      <c r="L2415" s="51">
        <f>IF(A2415="","",DATE(YEAR(A2415),MONTH(A2415),1))</f>
        <v/>
      </c>
      <c r="M2415" s="52">
        <f>IF(OR(A2415="",NOT(ISNUMBER(I2415))),"",IF(G2415=Lists!$B$5,I2415/2,IF(G2415=Lists!$B$6,I2415,0)))</f>
        <v/>
      </c>
      <c r="N2415" s="52">
        <f>IF(OR(A2415="",NOT(ISNUMBER(I2415))),"",IF(G2415=Lists!$B$5,I2415/2,IF(G2415=Lists!$B$7,I2415,0)))</f>
        <v/>
      </c>
      <c r="O2415" s="53">
        <f>IF(COUNTA(A2415:K2415)=0,"",IF(OR(A2415="",B2415="",C2415="",D2415="",E2415="",F2415="",G2415="",NOT(ISNUMBER(I2415))),"Incomplete",IF(COUNTIF(Lists!$H$4:$AA$4,C2415)=0,"Check category",IF(COUNTIF(INDEX(Lists!$H$6:$AA$45,0,MATCH(C2415,Lists!$H$4:$AA$4,0)),D2415)=0,"Check sub-category","OK"))))</f>
        <v/>
      </c>
      <c r="P2415">
        <f>IF(ISNUMBER(I2415),I2415+ROW()/10000000,"")</f>
        <v/>
      </c>
      <c r="Q2415">
        <f>IF(AND(ISNUMBER(P2415),ISNUMBER(A2415)),IF(AND(A2415&gt;=Dashboard!$Q$3,A2415&lt;=Dashboard!$Q$4,OR(J2415&lt;&gt;"Yes",Dashboard!$Q$15="Yes")),P2415,""),"")</f>
        <v/>
      </c>
    </row>
    <row r="2416">
      <c r="A2416" s="47" t="n"/>
      <c r="B2416" s="48" t="n"/>
      <c r="C2416" s="48" t="n"/>
      <c r="D2416" s="48" t="n"/>
      <c r="E2416" s="48" t="n"/>
      <c r="F2416" s="48" t="n"/>
      <c r="G2416" s="48" t="n"/>
      <c r="H2416" s="48" t="n"/>
      <c r="I2416" s="49" t="n"/>
      <c r="J2416" s="50" t="n"/>
      <c r="K2416" s="48" t="n"/>
      <c r="L2416" s="51">
        <f>IF(A2416="","",DATE(YEAR(A2416),MONTH(A2416),1))</f>
        <v/>
      </c>
      <c r="M2416" s="52">
        <f>IF(OR(A2416="",NOT(ISNUMBER(I2416))),"",IF(G2416=Lists!$B$5,I2416/2,IF(G2416=Lists!$B$6,I2416,0)))</f>
        <v/>
      </c>
      <c r="N2416" s="52">
        <f>IF(OR(A2416="",NOT(ISNUMBER(I2416))),"",IF(G2416=Lists!$B$5,I2416/2,IF(G2416=Lists!$B$7,I2416,0)))</f>
        <v/>
      </c>
      <c r="O2416" s="53">
        <f>IF(COUNTA(A2416:K2416)=0,"",IF(OR(A2416="",B2416="",C2416="",D2416="",E2416="",F2416="",G2416="",NOT(ISNUMBER(I2416))),"Incomplete",IF(COUNTIF(Lists!$H$4:$AA$4,C2416)=0,"Check category",IF(COUNTIF(INDEX(Lists!$H$6:$AA$45,0,MATCH(C2416,Lists!$H$4:$AA$4,0)),D2416)=0,"Check sub-category","OK"))))</f>
        <v/>
      </c>
      <c r="P2416">
        <f>IF(ISNUMBER(I2416),I2416+ROW()/10000000,"")</f>
        <v/>
      </c>
      <c r="Q2416">
        <f>IF(AND(ISNUMBER(P2416),ISNUMBER(A2416)),IF(AND(A2416&gt;=Dashboard!$Q$3,A2416&lt;=Dashboard!$Q$4,OR(J2416&lt;&gt;"Yes",Dashboard!$Q$15="Yes")),P2416,""),"")</f>
        <v/>
      </c>
    </row>
    <row r="2417">
      <c r="A2417" s="47" t="n"/>
      <c r="B2417" s="48" t="n"/>
      <c r="C2417" s="48" t="n"/>
      <c r="D2417" s="48" t="n"/>
      <c r="E2417" s="48" t="n"/>
      <c r="F2417" s="48" t="n"/>
      <c r="G2417" s="48" t="n"/>
      <c r="H2417" s="48" t="n"/>
      <c r="I2417" s="49" t="n"/>
      <c r="J2417" s="50" t="n"/>
      <c r="K2417" s="48" t="n"/>
      <c r="L2417" s="51">
        <f>IF(A2417="","",DATE(YEAR(A2417),MONTH(A2417),1))</f>
        <v/>
      </c>
      <c r="M2417" s="52">
        <f>IF(OR(A2417="",NOT(ISNUMBER(I2417))),"",IF(G2417=Lists!$B$5,I2417/2,IF(G2417=Lists!$B$6,I2417,0)))</f>
        <v/>
      </c>
      <c r="N2417" s="52">
        <f>IF(OR(A2417="",NOT(ISNUMBER(I2417))),"",IF(G2417=Lists!$B$5,I2417/2,IF(G2417=Lists!$B$7,I2417,0)))</f>
        <v/>
      </c>
      <c r="O2417" s="53">
        <f>IF(COUNTA(A2417:K2417)=0,"",IF(OR(A2417="",B2417="",C2417="",D2417="",E2417="",F2417="",G2417="",NOT(ISNUMBER(I2417))),"Incomplete",IF(COUNTIF(Lists!$H$4:$AA$4,C2417)=0,"Check category",IF(COUNTIF(INDEX(Lists!$H$6:$AA$45,0,MATCH(C2417,Lists!$H$4:$AA$4,0)),D2417)=0,"Check sub-category","OK"))))</f>
        <v/>
      </c>
      <c r="P2417">
        <f>IF(ISNUMBER(I2417),I2417+ROW()/10000000,"")</f>
        <v/>
      </c>
      <c r="Q2417">
        <f>IF(AND(ISNUMBER(P2417),ISNUMBER(A2417)),IF(AND(A2417&gt;=Dashboard!$Q$3,A2417&lt;=Dashboard!$Q$4,OR(J2417&lt;&gt;"Yes",Dashboard!$Q$15="Yes")),P2417,""),"")</f>
        <v/>
      </c>
    </row>
    <row r="2418">
      <c r="A2418" s="47" t="n"/>
      <c r="B2418" s="48" t="n"/>
      <c r="C2418" s="48" t="n"/>
      <c r="D2418" s="48" t="n"/>
      <c r="E2418" s="48" t="n"/>
      <c r="F2418" s="48" t="n"/>
      <c r="G2418" s="48" t="n"/>
      <c r="H2418" s="48" t="n"/>
      <c r="I2418" s="49" t="n"/>
      <c r="J2418" s="50" t="n"/>
      <c r="K2418" s="48" t="n"/>
      <c r="L2418" s="51">
        <f>IF(A2418="","",DATE(YEAR(A2418),MONTH(A2418),1))</f>
        <v/>
      </c>
      <c r="M2418" s="52">
        <f>IF(OR(A2418="",NOT(ISNUMBER(I2418))),"",IF(G2418=Lists!$B$5,I2418/2,IF(G2418=Lists!$B$6,I2418,0)))</f>
        <v/>
      </c>
      <c r="N2418" s="52">
        <f>IF(OR(A2418="",NOT(ISNUMBER(I2418))),"",IF(G2418=Lists!$B$5,I2418/2,IF(G2418=Lists!$B$7,I2418,0)))</f>
        <v/>
      </c>
      <c r="O2418" s="53">
        <f>IF(COUNTA(A2418:K2418)=0,"",IF(OR(A2418="",B2418="",C2418="",D2418="",E2418="",F2418="",G2418="",NOT(ISNUMBER(I2418))),"Incomplete",IF(COUNTIF(Lists!$H$4:$AA$4,C2418)=0,"Check category",IF(COUNTIF(INDEX(Lists!$H$6:$AA$45,0,MATCH(C2418,Lists!$H$4:$AA$4,0)),D2418)=0,"Check sub-category","OK"))))</f>
        <v/>
      </c>
      <c r="P2418">
        <f>IF(ISNUMBER(I2418),I2418+ROW()/10000000,"")</f>
        <v/>
      </c>
      <c r="Q2418">
        <f>IF(AND(ISNUMBER(P2418),ISNUMBER(A2418)),IF(AND(A2418&gt;=Dashboard!$Q$3,A2418&lt;=Dashboard!$Q$4,OR(J2418&lt;&gt;"Yes",Dashboard!$Q$15="Yes")),P2418,""),"")</f>
        <v/>
      </c>
    </row>
    <row r="2419">
      <c r="A2419" s="47" t="n"/>
      <c r="B2419" s="48" t="n"/>
      <c r="C2419" s="48" t="n"/>
      <c r="D2419" s="48" t="n"/>
      <c r="E2419" s="48" t="n"/>
      <c r="F2419" s="48" t="n"/>
      <c r="G2419" s="48" t="n"/>
      <c r="H2419" s="48" t="n"/>
      <c r="I2419" s="49" t="n"/>
      <c r="J2419" s="50" t="n"/>
      <c r="K2419" s="48" t="n"/>
      <c r="L2419" s="51">
        <f>IF(A2419="","",DATE(YEAR(A2419),MONTH(A2419),1))</f>
        <v/>
      </c>
      <c r="M2419" s="52">
        <f>IF(OR(A2419="",NOT(ISNUMBER(I2419))),"",IF(G2419=Lists!$B$5,I2419/2,IF(G2419=Lists!$B$6,I2419,0)))</f>
        <v/>
      </c>
      <c r="N2419" s="52">
        <f>IF(OR(A2419="",NOT(ISNUMBER(I2419))),"",IF(G2419=Lists!$B$5,I2419/2,IF(G2419=Lists!$B$7,I2419,0)))</f>
        <v/>
      </c>
      <c r="O2419" s="53">
        <f>IF(COUNTA(A2419:K2419)=0,"",IF(OR(A2419="",B2419="",C2419="",D2419="",E2419="",F2419="",G2419="",NOT(ISNUMBER(I2419))),"Incomplete",IF(COUNTIF(Lists!$H$4:$AA$4,C2419)=0,"Check category",IF(COUNTIF(INDEX(Lists!$H$6:$AA$45,0,MATCH(C2419,Lists!$H$4:$AA$4,0)),D2419)=0,"Check sub-category","OK"))))</f>
        <v/>
      </c>
      <c r="P2419">
        <f>IF(ISNUMBER(I2419),I2419+ROW()/10000000,"")</f>
        <v/>
      </c>
      <c r="Q2419">
        <f>IF(AND(ISNUMBER(P2419),ISNUMBER(A2419)),IF(AND(A2419&gt;=Dashboard!$Q$3,A2419&lt;=Dashboard!$Q$4,OR(J2419&lt;&gt;"Yes",Dashboard!$Q$15="Yes")),P2419,""),"")</f>
        <v/>
      </c>
    </row>
    <row r="2420">
      <c r="A2420" s="47" t="n"/>
      <c r="B2420" s="48" t="n"/>
      <c r="C2420" s="48" t="n"/>
      <c r="D2420" s="48" t="n"/>
      <c r="E2420" s="48" t="n"/>
      <c r="F2420" s="48" t="n"/>
      <c r="G2420" s="48" t="n"/>
      <c r="H2420" s="48" t="n"/>
      <c r="I2420" s="49" t="n"/>
      <c r="J2420" s="50" t="n"/>
      <c r="K2420" s="48" t="n"/>
      <c r="L2420" s="51">
        <f>IF(A2420="","",DATE(YEAR(A2420),MONTH(A2420),1))</f>
        <v/>
      </c>
      <c r="M2420" s="52">
        <f>IF(OR(A2420="",NOT(ISNUMBER(I2420))),"",IF(G2420=Lists!$B$5,I2420/2,IF(G2420=Lists!$B$6,I2420,0)))</f>
        <v/>
      </c>
      <c r="N2420" s="52">
        <f>IF(OR(A2420="",NOT(ISNUMBER(I2420))),"",IF(G2420=Lists!$B$5,I2420/2,IF(G2420=Lists!$B$7,I2420,0)))</f>
        <v/>
      </c>
      <c r="O2420" s="53">
        <f>IF(COUNTA(A2420:K2420)=0,"",IF(OR(A2420="",B2420="",C2420="",D2420="",E2420="",F2420="",G2420="",NOT(ISNUMBER(I2420))),"Incomplete",IF(COUNTIF(Lists!$H$4:$AA$4,C2420)=0,"Check category",IF(COUNTIF(INDEX(Lists!$H$6:$AA$45,0,MATCH(C2420,Lists!$H$4:$AA$4,0)),D2420)=0,"Check sub-category","OK"))))</f>
        <v/>
      </c>
      <c r="P2420">
        <f>IF(ISNUMBER(I2420),I2420+ROW()/10000000,"")</f>
        <v/>
      </c>
      <c r="Q2420">
        <f>IF(AND(ISNUMBER(P2420),ISNUMBER(A2420)),IF(AND(A2420&gt;=Dashboard!$Q$3,A2420&lt;=Dashboard!$Q$4,OR(J2420&lt;&gt;"Yes",Dashboard!$Q$15="Yes")),P2420,""),"")</f>
        <v/>
      </c>
    </row>
    <row r="2421">
      <c r="A2421" s="47" t="n"/>
      <c r="B2421" s="48" t="n"/>
      <c r="C2421" s="48" t="n"/>
      <c r="D2421" s="48" t="n"/>
      <c r="E2421" s="48" t="n"/>
      <c r="F2421" s="48" t="n"/>
      <c r="G2421" s="48" t="n"/>
      <c r="H2421" s="48" t="n"/>
      <c r="I2421" s="49" t="n"/>
      <c r="J2421" s="50" t="n"/>
      <c r="K2421" s="48" t="n"/>
      <c r="L2421" s="51">
        <f>IF(A2421="","",DATE(YEAR(A2421),MONTH(A2421),1))</f>
        <v/>
      </c>
      <c r="M2421" s="52">
        <f>IF(OR(A2421="",NOT(ISNUMBER(I2421))),"",IF(G2421=Lists!$B$5,I2421/2,IF(G2421=Lists!$B$6,I2421,0)))</f>
        <v/>
      </c>
      <c r="N2421" s="52">
        <f>IF(OR(A2421="",NOT(ISNUMBER(I2421))),"",IF(G2421=Lists!$B$5,I2421/2,IF(G2421=Lists!$B$7,I2421,0)))</f>
        <v/>
      </c>
      <c r="O2421" s="53">
        <f>IF(COUNTA(A2421:K2421)=0,"",IF(OR(A2421="",B2421="",C2421="",D2421="",E2421="",F2421="",G2421="",NOT(ISNUMBER(I2421))),"Incomplete",IF(COUNTIF(Lists!$H$4:$AA$4,C2421)=0,"Check category",IF(COUNTIF(INDEX(Lists!$H$6:$AA$45,0,MATCH(C2421,Lists!$H$4:$AA$4,0)),D2421)=0,"Check sub-category","OK"))))</f>
        <v/>
      </c>
      <c r="P2421">
        <f>IF(ISNUMBER(I2421),I2421+ROW()/10000000,"")</f>
        <v/>
      </c>
      <c r="Q2421">
        <f>IF(AND(ISNUMBER(P2421),ISNUMBER(A2421)),IF(AND(A2421&gt;=Dashboard!$Q$3,A2421&lt;=Dashboard!$Q$4,OR(J2421&lt;&gt;"Yes",Dashboard!$Q$15="Yes")),P2421,""),"")</f>
        <v/>
      </c>
    </row>
    <row r="2422">
      <c r="A2422" s="47" t="n"/>
      <c r="B2422" s="48" t="n"/>
      <c r="C2422" s="48" t="n"/>
      <c r="D2422" s="48" t="n"/>
      <c r="E2422" s="48" t="n"/>
      <c r="F2422" s="48" t="n"/>
      <c r="G2422" s="48" t="n"/>
      <c r="H2422" s="48" t="n"/>
      <c r="I2422" s="49" t="n"/>
      <c r="J2422" s="50" t="n"/>
      <c r="K2422" s="48" t="n"/>
      <c r="L2422" s="51">
        <f>IF(A2422="","",DATE(YEAR(A2422),MONTH(A2422),1))</f>
        <v/>
      </c>
      <c r="M2422" s="52">
        <f>IF(OR(A2422="",NOT(ISNUMBER(I2422))),"",IF(G2422=Lists!$B$5,I2422/2,IF(G2422=Lists!$B$6,I2422,0)))</f>
        <v/>
      </c>
      <c r="N2422" s="52">
        <f>IF(OR(A2422="",NOT(ISNUMBER(I2422))),"",IF(G2422=Lists!$B$5,I2422/2,IF(G2422=Lists!$B$7,I2422,0)))</f>
        <v/>
      </c>
      <c r="O2422" s="53">
        <f>IF(COUNTA(A2422:K2422)=0,"",IF(OR(A2422="",B2422="",C2422="",D2422="",E2422="",F2422="",G2422="",NOT(ISNUMBER(I2422))),"Incomplete",IF(COUNTIF(Lists!$H$4:$AA$4,C2422)=0,"Check category",IF(COUNTIF(INDEX(Lists!$H$6:$AA$45,0,MATCH(C2422,Lists!$H$4:$AA$4,0)),D2422)=0,"Check sub-category","OK"))))</f>
        <v/>
      </c>
      <c r="P2422">
        <f>IF(ISNUMBER(I2422),I2422+ROW()/10000000,"")</f>
        <v/>
      </c>
      <c r="Q2422">
        <f>IF(AND(ISNUMBER(P2422),ISNUMBER(A2422)),IF(AND(A2422&gt;=Dashboard!$Q$3,A2422&lt;=Dashboard!$Q$4,OR(J2422&lt;&gt;"Yes",Dashboard!$Q$15="Yes")),P2422,""),"")</f>
        <v/>
      </c>
    </row>
    <row r="2423">
      <c r="A2423" s="47" t="n"/>
      <c r="B2423" s="48" t="n"/>
      <c r="C2423" s="48" t="n"/>
      <c r="D2423" s="48" t="n"/>
      <c r="E2423" s="48" t="n"/>
      <c r="F2423" s="48" t="n"/>
      <c r="G2423" s="48" t="n"/>
      <c r="H2423" s="48" t="n"/>
      <c r="I2423" s="49" t="n"/>
      <c r="J2423" s="50" t="n"/>
      <c r="K2423" s="48" t="n"/>
      <c r="L2423" s="51">
        <f>IF(A2423="","",DATE(YEAR(A2423),MONTH(A2423),1))</f>
        <v/>
      </c>
      <c r="M2423" s="52">
        <f>IF(OR(A2423="",NOT(ISNUMBER(I2423))),"",IF(G2423=Lists!$B$5,I2423/2,IF(G2423=Lists!$B$6,I2423,0)))</f>
        <v/>
      </c>
      <c r="N2423" s="52">
        <f>IF(OR(A2423="",NOT(ISNUMBER(I2423))),"",IF(G2423=Lists!$B$5,I2423/2,IF(G2423=Lists!$B$7,I2423,0)))</f>
        <v/>
      </c>
      <c r="O2423" s="53">
        <f>IF(COUNTA(A2423:K2423)=0,"",IF(OR(A2423="",B2423="",C2423="",D2423="",E2423="",F2423="",G2423="",NOT(ISNUMBER(I2423))),"Incomplete",IF(COUNTIF(Lists!$H$4:$AA$4,C2423)=0,"Check category",IF(COUNTIF(INDEX(Lists!$H$6:$AA$45,0,MATCH(C2423,Lists!$H$4:$AA$4,0)),D2423)=0,"Check sub-category","OK"))))</f>
        <v/>
      </c>
      <c r="P2423">
        <f>IF(ISNUMBER(I2423),I2423+ROW()/10000000,"")</f>
        <v/>
      </c>
      <c r="Q2423">
        <f>IF(AND(ISNUMBER(P2423),ISNUMBER(A2423)),IF(AND(A2423&gt;=Dashboard!$Q$3,A2423&lt;=Dashboard!$Q$4,OR(J2423&lt;&gt;"Yes",Dashboard!$Q$15="Yes")),P2423,""),"")</f>
        <v/>
      </c>
    </row>
    <row r="2424">
      <c r="A2424" s="47" t="n"/>
      <c r="B2424" s="48" t="n"/>
      <c r="C2424" s="48" t="n"/>
      <c r="D2424" s="48" t="n"/>
      <c r="E2424" s="48" t="n"/>
      <c r="F2424" s="48" t="n"/>
      <c r="G2424" s="48" t="n"/>
      <c r="H2424" s="48" t="n"/>
      <c r="I2424" s="49" t="n"/>
      <c r="J2424" s="50" t="n"/>
      <c r="K2424" s="48" t="n"/>
      <c r="L2424" s="51">
        <f>IF(A2424="","",DATE(YEAR(A2424),MONTH(A2424),1))</f>
        <v/>
      </c>
      <c r="M2424" s="52">
        <f>IF(OR(A2424="",NOT(ISNUMBER(I2424))),"",IF(G2424=Lists!$B$5,I2424/2,IF(G2424=Lists!$B$6,I2424,0)))</f>
        <v/>
      </c>
      <c r="N2424" s="52">
        <f>IF(OR(A2424="",NOT(ISNUMBER(I2424))),"",IF(G2424=Lists!$B$5,I2424/2,IF(G2424=Lists!$B$7,I2424,0)))</f>
        <v/>
      </c>
      <c r="O2424" s="53">
        <f>IF(COUNTA(A2424:K2424)=0,"",IF(OR(A2424="",B2424="",C2424="",D2424="",E2424="",F2424="",G2424="",NOT(ISNUMBER(I2424))),"Incomplete",IF(COUNTIF(Lists!$H$4:$AA$4,C2424)=0,"Check category",IF(COUNTIF(INDEX(Lists!$H$6:$AA$45,0,MATCH(C2424,Lists!$H$4:$AA$4,0)),D2424)=0,"Check sub-category","OK"))))</f>
        <v/>
      </c>
      <c r="P2424">
        <f>IF(ISNUMBER(I2424),I2424+ROW()/10000000,"")</f>
        <v/>
      </c>
      <c r="Q2424">
        <f>IF(AND(ISNUMBER(P2424),ISNUMBER(A2424)),IF(AND(A2424&gt;=Dashboard!$Q$3,A2424&lt;=Dashboard!$Q$4,OR(J2424&lt;&gt;"Yes",Dashboard!$Q$15="Yes")),P2424,""),"")</f>
        <v/>
      </c>
    </row>
    <row r="2425">
      <c r="A2425" s="47" t="n"/>
      <c r="B2425" s="48" t="n"/>
      <c r="C2425" s="48" t="n"/>
      <c r="D2425" s="48" t="n"/>
      <c r="E2425" s="48" t="n"/>
      <c r="F2425" s="48" t="n"/>
      <c r="G2425" s="48" t="n"/>
      <c r="H2425" s="48" t="n"/>
      <c r="I2425" s="49" t="n"/>
      <c r="J2425" s="50" t="n"/>
      <c r="K2425" s="48" t="n"/>
      <c r="L2425" s="51">
        <f>IF(A2425="","",DATE(YEAR(A2425),MONTH(A2425),1))</f>
        <v/>
      </c>
      <c r="M2425" s="52">
        <f>IF(OR(A2425="",NOT(ISNUMBER(I2425))),"",IF(G2425=Lists!$B$5,I2425/2,IF(G2425=Lists!$B$6,I2425,0)))</f>
        <v/>
      </c>
      <c r="N2425" s="52">
        <f>IF(OR(A2425="",NOT(ISNUMBER(I2425))),"",IF(G2425=Lists!$B$5,I2425/2,IF(G2425=Lists!$B$7,I2425,0)))</f>
        <v/>
      </c>
      <c r="O2425" s="53">
        <f>IF(COUNTA(A2425:K2425)=0,"",IF(OR(A2425="",B2425="",C2425="",D2425="",E2425="",F2425="",G2425="",NOT(ISNUMBER(I2425))),"Incomplete",IF(COUNTIF(Lists!$H$4:$AA$4,C2425)=0,"Check category",IF(COUNTIF(INDEX(Lists!$H$6:$AA$45,0,MATCH(C2425,Lists!$H$4:$AA$4,0)),D2425)=0,"Check sub-category","OK"))))</f>
        <v/>
      </c>
      <c r="P2425">
        <f>IF(ISNUMBER(I2425),I2425+ROW()/10000000,"")</f>
        <v/>
      </c>
      <c r="Q2425">
        <f>IF(AND(ISNUMBER(P2425),ISNUMBER(A2425)),IF(AND(A2425&gt;=Dashboard!$Q$3,A2425&lt;=Dashboard!$Q$4,OR(J2425&lt;&gt;"Yes",Dashboard!$Q$15="Yes")),P2425,""),"")</f>
        <v/>
      </c>
    </row>
    <row r="2426">
      <c r="A2426" s="47" t="n"/>
      <c r="B2426" s="48" t="n"/>
      <c r="C2426" s="48" t="n"/>
      <c r="D2426" s="48" t="n"/>
      <c r="E2426" s="48" t="n"/>
      <c r="F2426" s="48" t="n"/>
      <c r="G2426" s="48" t="n"/>
      <c r="H2426" s="48" t="n"/>
      <c r="I2426" s="49" t="n"/>
      <c r="J2426" s="50" t="n"/>
      <c r="K2426" s="48" t="n"/>
      <c r="L2426" s="51">
        <f>IF(A2426="","",DATE(YEAR(A2426),MONTH(A2426),1))</f>
        <v/>
      </c>
      <c r="M2426" s="52">
        <f>IF(OR(A2426="",NOT(ISNUMBER(I2426))),"",IF(G2426=Lists!$B$5,I2426/2,IF(G2426=Lists!$B$6,I2426,0)))</f>
        <v/>
      </c>
      <c r="N2426" s="52">
        <f>IF(OR(A2426="",NOT(ISNUMBER(I2426))),"",IF(G2426=Lists!$B$5,I2426/2,IF(G2426=Lists!$B$7,I2426,0)))</f>
        <v/>
      </c>
      <c r="O2426" s="53">
        <f>IF(COUNTA(A2426:K2426)=0,"",IF(OR(A2426="",B2426="",C2426="",D2426="",E2426="",F2426="",G2426="",NOT(ISNUMBER(I2426))),"Incomplete",IF(COUNTIF(Lists!$H$4:$AA$4,C2426)=0,"Check category",IF(COUNTIF(INDEX(Lists!$H$6:$AA$45,0,MATCH(C2426,Lists!$H$4:$AA$4,0)),D2426)=0,"Check sub-category","OK"))))</f>
        <v/>
      </c>
      <c r="P2426">
        <f>IF(ISNUMBER(I2426),I2426+ROW()/10000000,"")</f>
        <v/>
      </c>
      <c r="Q2426">
        <f>IF(AND(ISNUMBER(P2426),ISNUMBER(A2426)),IF(AND(A2426&gt;=Dashboard!$Q$3,A2426&lt;=Dashboard!$Q$4,OR(J2426&lt;&gt;"Yes",Dashboard!$Q$15="Yes")),P2426,""),"")</f>
        <v/>
      </c>
    </row>
    <row r="2427">
      <c r="A2427" s="47" t="n"/>
      <c r="B2427" s="48" t="n"/>
      <c r="C2427" s="48" t="n"/>
      <c r="D2427" s="48" t="n"/>
      <c r="E2427" s="48" t="n"/>
      <c r="F2427" s="48" t="n"/>
      <c r="G2427" s="48" t="n"/>
      <c r="H2427" s="48" t="n"/>
      <c r="I2427" s="49" t="n"/>
      <c r="J2427" s="50" t="n"/>
      <c r="K2427" s="48" t="n"/>
      <c r="L2427" s="51">
        <f>IF(A2427="","",DATE(YEAR(A2427),MONTH(A2427),1))</f>
        <v/>
      </c>
      <c r="M2427" s="52">
        <f>IF(OR(A2427="",NOT(ISNUMBER(I2427))),"",IF(G2427=Lists!$B$5,I2427/2,IF(G2427=Lists!$B$6,I2427,0)))</f>
        <v/>
      </c>
      <c r="N2427" s="52">
        <f>IF(OR(A2427="",NOT(ISNUMBER(I2427))),"",IF(G2427=Lists!$B$5,I2427/2,IF(G2427=Lists!$B$7,I2427,0)))</f>
        <v/>
      </c>
      <c r="O2427" s="53">
        <f>IF(COUNTA(A2427:K2427)=0,"",IF(OR(A2427="",B2427="",C2427="",D2427="",E2427="",F2427="",G2427="",NOT(ISNUMBER(I2427))),"Incomplete",IF(COUNTIF(Lists!$H$4:$AA$4,C2427)=0,"Check category",IF(COUNTIF(INDEX(Lists!$H$6:$AA$45,0,MATCH(C2427,Lists!$H$4:$AA$4,0)),D2427)=0,"Check sub-category","OK"))))</f>
        <v/>
      </c>
      <c r="P2427">
        <f>IF(ISNUMBER(I2427),I2427+ROW()/10000000,"")</f>
        <v/>
      </c>
      <c r="Q2427">
        <f>IF(AND(ISNUMBER(P2427),ISNUMBER(A2427)),IF(AND(A2427&gt;=Dashboard!$Q$3,A2427&lt;=Dashboard!$Q$4,OR(J2427&lt;&gt;"Yes",Dashboard!$Q$15="Yes")),P2427,""),"")</f>
        <v/>
      </c>
    </row>
    <row r="2428">
      <c r="A2428" s="47" t="n"/>
      <c r="B2428" s="48" t="n"/>
      <c r="C2428" s="48" t="n"/>
      <c r="D2428" s="48" t="n"/>
      <c r="E2428" s="48" t="n"/>
      <c r="F2428" s="48" t="n"/>
      <c r="G2428" s="48" t="n"/>
      <c r="H2428" s="48" t="n"/>
      <c r="I2428" s="49" t="n"/>
      <c r="J2428" s="50" t="n"/>
      <c r="K2428" s="48" t="n"/>
      <c r="L2428" s="51">
        <f>IF(A2428="","",DATE(YEAR(A2428),MONTH(A2428),1))</f>
        <v/>
      </c>
      <c r="M2428" s="52">
        <f>IF(OR(A2428="",NOT(ISNUMBER(I2428))),"",IF(G2428=Lists!$B$5,I2428/2,IF(G2428=Lists!$B$6,I2428,0)))</f>
        <v/>
      </c>
      <c r="N2428" s="52">
        <f>IF(OR(A2428="",NOT(ISNUMBER(I2428))),"",IF(G2428=Lists!$B$5,I2428/2,IF(G2428=Lists!$B$7,I2428,0)))</f>
        <v/>
      </c>
      <c r="O2428" s="53">
        <f>IF(COUNTA(A2428:K2428)=0,"",IF(OR(A2428="",B2428="",C2428="",D2428="",E2428="",F2428="",G2428="",NOT(ISNUMBER(I2428))),"Incomplete",IF(COUNTIF(Lists!$H$4:$AA$4,C2428)=0,"Check category",IF(COUNTIF(INDEX(Lists!$H$6:$AA$45,0,MATCH(C2428,Lists!$H$4:$AA$4,0)),D2428)=0,"Check sub-category","OK"))))</f>
        <v/>
      </c>
      <c r="P2428">
        <f>IF(ISNUMBER(I2428),I2428+ROW()/10000000,"")</f>
        <v/>
      </c>
      <c r="Q2428">
        <f>IF(AND(ISNUMBER(P2428),ISNUMBER(A2428)),IF(AND(A2428&gt;=Dashboard!$Q$3,A2428&lt;=Dashboard!$Q$4,OR(J2428&lt;&gt;"Yes",Dashboard!$Q$15="Yes")),P2428,""),"")</f>
        <v/>
      </c>
    </row>
    <row r="2429">
      <c r="A2429" s="47" t="n"/>
      <c r="B2429" s="48" t="n"/>
      <c r="C2429" s="48" t="n"/>
      <c r="D2429" s="48" t="n"/>
      <c r="E2429" s="48" t="n"/>
      <c r="F2429" s="48" t="n"/>
      <c r="G2429" s="48" t="n"/>
      <c r="H2429" s="48" t="n"/>
      <c r="I2429" s="49" t="n"/>
      <c r="J2429" s="50" t="n"/>
      <c r="K2429" s="48" t="n"/>
      <c r="L2429" s="51">
        <f>IF(A2429="","",DATE(YEAR(A2429),MONTH(A2429),1))</f>
        <v/>
      </c>
      <c r="M2429" s="52">
        <f>IF(OR(A2429="",NOT(ISNUMBER(I2429))),"",IF(G2429=Lists!$B$5,I2429/2,IF(G2429=Lists!$B$6,I2429,0)))</f>
        <v/>
      </c>
      <c r="N2429" s="52">
        <f>IF(OR(A2429="",NOT(ISNUMBER(I2429))),"",IF(G2429=Lists!$B$5,I2429/2,IF(G2429=Lists!$B$7,I2429,0)))</f>
        <v/>
      </c>
      <c r="O2429" s="53">
        <f>IF(COUNTA(A2429:K2429)=0,"",IF(OR(A2429="",B2429="",C2429="",D2429="",E2429="",F2429="",G2429="",NOT(ISNUMBER(I2429))),"Incomplete",IF(COUNTIF(Lists!$H$4:$AA$4,C2429)=0,"Check category",IF(COUNTIF(INDEX(Lists!$H$6:$AA$45,0,MATCH(C2429,Lists!$H$4:$AA$4,0)),D2429)=0,"Check sub-category","OK"))))</f>
        <v/>
      </c>
      <c r="P2429">
        <f>IF(ISNUMBER(I2429),I2429+ROW()/10000000,"")</f>
        <v/>
      </c>
      <c r="Q2429">
        <f>IF(AND(ISNUMBER(P2429),ISNUMBER(A2429)),IF(AND(A2429&gt;=Dashboard!$Q$3,A2429&lt;=Dashboard!$Q$4,OR(J2429&lt;&gt;"Yes",Dashboard!$Q$15="Yes")),P2429,""),"")</f>
        <v/>
      </c>
    </row>
    <row r="2430">
      <c r="A2430" s="47" t="n"/>
      <c r="B2430" s="48" t="n"/>
      <c r="C2430" s="48" t="n"/>
      <c r="D2430" s="48" t="n"/>
      <c r="E2430" s="48" t="n"/>
      <c r="F2430" s="48" t="n"/>
      <c r="G2430" s="48" t="n"/>
      <c r="H2430" s="48" t="n"/>
      <c r="I2430" s="49" t="n"/>
      <c r="J2430" s="50" t="n"/>
      <c r="K2430" s="48" t="n"/>
      <c r="L2430" s="51">
        <f>IF(A2430="","",DATE(YEAR(A2430),MONTH(A2430),1))</f>
        <v/>
      </c>
      <c r="M2430" s="52">
        <f>IF(OR(A2430="",NOT(ISNUMBER(I2430))),"",IF(G2430=Lists!$B$5,I2430/2,IF(G2430=Lists!$B$6,I2430,0)))</f>
        <v/>
      </c>
      <c r="N2430" s="52">
        <f>IF(OR(A2430="",NOT(ISNUMBER(I2430))),"",IF(G2430=Lists!$B$5,I2430/2,IF(G2430=Lists!$B$7,I2430,0)))</f>
        <v/>
      </c>
      <c r="O2430" s="53">
        <f>IF(COUNTA(A2430:K2430)=0,"",IF(OR(A2430="",B2430="",C2430="",D2430="",E2430="",F2430="",G2430="",NOT(ISNUMBER(I2430))),"Incomplete",IF(COUNTIF(Lists!$H$4:$AA$4,C2430)=0,"Check category",IF(COUNTIF(INDEX(Lists!$H$6:$AA$45,0,MATCH(C2430,Lists!$H$4:$AA$4,0)),D2430)=0,"Check sub-category","OK"))))</f>
        <v/>
      </c>
      <c r="P2430">
        <f>IF(ISNUMBER(I2430),I2430+ROW()/10000000,"")</f>
        <v/>
      </c>
      <c r="Q2430">
        <f>IF(AND(ISNUMBER(P2430),ISNUMBER(A2430)),IF(AND(A2430&gt;=Dashboard!$Q$3,A2430&lt;=Dashboard!$Q$4,OR(J2430&lt;&gt;"Yes",Dashboard!$Q$15="Yes")),P2430,""),"")</f>
        <v/>
      </c>
    </row>
    <row r="2431">
      <c r="A2431" s="47" t="n"/>
      <c r="B2431" s="48" t="n"/>
      <c r="C2431" s="48" t="n"/>
      <c r="D2431" s="48" t="n"/>
      <c r="E2431" s="48" t="n"/>
      <c r="F2431" s="48" t="n"/>
      <c r="G2431" s="48" t="n"/>
      <c r="H2431" s="48" t="n"/>
      <c r="I2431" s="49" t="n"/>
      <c r="J2431" s="50" t="n"/>
      <c r="K2431" s="48" t="n"/>
      <c r="L2431" s="51">
        <f>IF(A2431="","",DATE(YEAR(A2431),MONTH(A2431),1))</f>
        <v/>
      </c>
      <c r="M2431" s="52">
        <f>IF(OR(A2431="",NOT(ISNUMBER(I2431))),"",IF(G2431=Lists!$B$5,I2431/2,IF(G2431=Lists!$B$6,I2431,0)))</f>
        <v/>
      </c>
      <c r="N2431" s="52">
        <f>IF(OR(A2431="",NOT(ISNUMBER(I2431))),"",IF(G2431=Lists!$B$5,I2431/2,IF(G2431=Lists!$B$7,I2431,0)))</f>
        <v/>
      </c>
      <c r="O2431" s="53">
        <f>IF(COUNTA(A2431:K2431)=0,"",IF(OR(A2431="",B2431="",C2431="",D2431="",E2431="",F2431="",G2431="",NOT(ISNUMBER(I2431))),"Incomplete",IF(COUNTIF(Lists!$H$4:$AA$4,C2431)=0,"Check category",IF(COUNTIF(INDEX(Lists!$H$6:$AA$45,0,MATCH(C2431,Lists!$H$4:$AA$4,0)),D2431)=0,"Check sub-category","OK"))))</f>
        <v/>
      </c>
      <c r="P2431">
        <f>IF(ISNUMBER(I2431),I2431+ROW()/10000000,"")</f>
        <v/>
      </c>
      <c r="Q2431">
        <f>IF(AND(ISNUMBER(P2431),ISNUMBER(A2431)),IF(AND(A2431&gt;=Dashboard!$Q$3,A2431&lt;=Dashboard!$Q$4,OR(J2431&lt;&gt;"Yes",Dashboard!$Q$15="Yes")),P2431,""),"")</f>
        <v/>
      </c>
    </row>
    <row r="2432">
      <c r="A2432" s="47" t="n"/>
      <c r="B2432" s="48" t="n"/>
      <c r="C2432" s="48" t="n"/>
      <c r="D2432" s="48" t="n"/>
      <c r="E2432" s="48" t="n"/>
      <c r="F2432" s="48" t="n"/>
      <c r="G2432" s="48" t="n"/>
      <c r="H2432" s="48" t="n"/>
      <c r="I2432" s="49" t="n"/>
      <c r="J2432" s="50" t="n"/>
      <c r="K2432" s="48" t="n"/>
      <c r="L2432" s="51">
        <f>IF(A2432="","",DATE(YEAR(A2432),MONTH(A2432),1))</f>
        <v/>
      </c>
      <c r="M2432" s="52">
        <f>IF(OR(A2432="",NOT(ISNUMBER(I2432))),"",IF(G2432=Lists!$B$5,I2432/2,IF(G2432=Lists!$B$6,I2432,0)))</f>
        <v/>
      </c>
      <c r="N2432" s="52">
        <f>IF(OR(A2432="",NOT(ISNUMBER(I2432))),"",IF(G2432=Lists!$B$5,I2432/2,IF(G2432=Lists!$B$7,I2432,0)))</f>
        <v/>
      </c>
      <c r="O2432" s="53">
        <f>IF(COUNTA(A2432:K2432)=0,"",IF(OR(A2432="",B2432="",C2432="",D2432="",E2432="",F2432="",G2432="",NOT(ISNUMBER(I2432))),"Incomplete",IF(COUNTIF(Lists!$H$4:$AA$4,C2432)=0,"Check category",IF(COUNTIF(INDEX(Lists!$H$6:$AA$45,0,MATCH(C2432,Lists!$H$4:$AA$4,0)),D2432)=0,"Check sub-category","OK"))))</f>
        <v/>
      </c>
      <c r="P2432">
        <f>IF(ISNUMBER(I2432),I2432+ROW()/10000000,"")</f>
        <v/>
      </c>
      <c r="Q2432">
        <f>IF(AND(ISNUMBER(P2432),ISNUMBER(A2432)),IF(AND(A2432&gt;=Dashboard!$Q$3,A2432&lt;=Dashboard!$Q$4,OR(J2432&lt;&gt;"Yes",Dashboard!$Q$15="Yes")),P2432,""),"")</f>
        <v/>
      </c>
    </row>
    <row r="2433">
      <c r="A2433" s="47" t="n"/>
      <c r="B2433" s="48" t="n"/>
      <c r="C2433" s="48" t="n"/>
      <c r="D2433" s="48" t="n"/>
      <c r="E2433" s="48" t="n"/>
      <c r="F2433" s="48" t="n"/>
      <c r="G2433" s="48" t="n"/>
      <c r="H2433" s="48" t="n"/>
      <c r="I2433" s="49" t="n"/>
      <c r="J2433" s="50" t="n"/>
      <c r="K2433" s="48" t="n"/>
      <c r="L2433" s="51">
        <f>IF(A2433="","",DATE(YEAR(A2433),MONTH(A2433),1))</f>
        <v/>
      </c>
      <c r="M2433" s="52">
        <f>IF(OR(A2433="",NOT(ISNUMBER(I2433))),"",IF(G2433=Lists!$B$5,I2433/2,IF(G2433=Lists!$B$6,I2433,0)))</f>
        <v/>
      </c>
      <c r="N2433" s="52">
        <f>IF(OR(A2433="",NOT(ISNUMBER(I2433))),"",IF(G2433=Lists!$B$5,I2433/2,IF(G2433=Lists!$B$7,I2433,0)))</f>
        <v/>
      </c>
      <c r="O2433" s="53">
        <f>IF(COUNTA(A2433:K2433)=0,"",IF(OR(A2433="",B2433="",C2433="",D2433="",E2433="",F2433="",G2433="",NOT(ISNUMBER(I2433))),"Incomplete",IF(COUNTIF(Lists!$H$4:$AA$4,C2433)=0,"Check category",IF(COUNTIF(INDEX(Lists!$H$6:$AA$45,0,MATCH(C2433,Lists!$H$4:$AA$4,0)),D2433)=0,"Check sub-category","OK"))))</f>
        <v/>
      </c>
      <c r="P2433">
        <f>IF(ISNUMBER(I2433),I2433+ROW()/10000000,"")</f>
        <v/>
      </c>
      <c r="Q2433">
        <f>IF(AND(ISNUMBER(P2433),ISNUMBER(A2433)),IF(AND(A2433&gt;=Dashboard!$Q$3,A2433&lt;=Dashboard!$Q$4,OR(J2433&lt;&gt;"Yes",Dashboard!$Q$15="Yes")),P2433,""),"")</f>
        <v/>
      </c>
    </row>
    <row r="2434">
      <c r="A2434" s="47" t="n"/>
      <c r="B2434" s="48" t="n"/>
      <c r="C2434" s="48" t="n"/>
      <c r="D2434" s="48" t="n"/>
      <c r="E2434" s="48" t="n"/>
      <c r="F2434" s="48" t="n"/>
      <c r="G2434" s="48" t="n"/>
      <c r="H2434" s="48" t="n"/>
      <c r="I2434" s="49" t="n"/>
      <c r="J2434" s="50" t="n"/>
      <c r="K2434" s="48" t="n"/>
      <c r="L2434" s="51">
        <f>IF(A2434="","",DATE(YEAR(A2434),MONTH(A2434),1))</f>
        <v/>
      </c>
      <c r="M2434" s="52">
        <f>IF(OR(A2434="",NOT(ISNUMBER(I2434))),"",IF(G2434=Lists!$B$5,I2434/2,IF(G2434=Lists!$B$6,I2434,0)))</f>
        <v/>
      </c>
      <c r="N2434" s="52">
        <f>IF(OR(A2434="",NOT(ISNUMBER(I2434))),"",IF(G2434=Lists!$B$5,I2434/2,IF(G2434=Lists!$B$7,I2434,0)))</f>
        <v/>
      </c>
      <c r="O2434" s="53">
        <f>IF(COUNTA(A2434:K2434)=0,"",IF(OR(A2434="",B2434="",C2434="",D2434="",E2434="",F2434="",G2434="",NOT(ISNUMBER(I2434))),"Incomplete",IF(COUNTIF(Lists!$H$4:$AA$4,C2434)=0,"Check category",IF(COUNTIF(INDEX(Lists!$H$6:$AA$45,0,MATCH(C2434,Lists!$H$4:$AA$4,0)),D2434)=0,"Check sub-category","OK"))))</f>
        <v/>
      </c>
      <c r="P2434">
        <f>IF(ISNUMBER(I2434),I2434+ROW()/10000000,"")</f>
        <v/>
      </c>
      <c r="Q2434">
        <f>IF(AND(ISNUMBER(P2434),ISNUMBER(A2434)),IF(AND(A2434&gt;=Dashboard!$Q$3,A2434&lt;=Dashboard!$Q$4,OR(J2434&lt;&gt;"Yes",Dashboard!$Q$15="Yes")),P2434,""),"")</f>
        <v/>
      </c>
    </row>
    <row r="2435">
      <c r="A2435" s="47" t="n"/>
      <c r="B2435" s="48" t="n"/>
      <c r="C2435" s="48" t="n"/>
      <c r="D2435" s="48" t="n"/>
      <c r="E2435" s="48" t="n"/>
      <c r="F2435" s="48" t="n"/>
      <c r="G2435" s="48" t="n"/>
      <c r="H2435" s="48" t="n"/>
      <c r="I2435" s="49" t="n"/>
      <c r="J2435" s="50" t="n"/>
      <c r="K2435" s="48" t="n"/>
      <c r="L2435" s="51">
        <f>IF(A2435="","",DATE(YEAR(A2435),MONTH(A2435),1))</f>
        <v/>
      </c>
      <c r="M2435" s="52">
        <f>IF(OR(A2435="",NOT(ISNUMBER(I2435))),"",IF(G2435=Lists!$B$5,I2435/2,IF(G2435=Lists!$B$6,I2435,0)))</f>
        <v/>
      </c>
      <c r="N2435" s="52">
        <f>IF(OR(A2435="",NOT(ISNUMBER(I2435))),"",IF(G2435=Lists!$B$5,I2435/2,IF(G2435=Lists!$B$7,I2435,0)))</f>
        <v/>
      </c>
      <c r="O2435" s="53">
        <f>IF(COUNTA(A2435:K2435)=0,"",IF(OR(A2435="",B2435="",C2435="",D2435="",E2435="",F2435="",G2435="",NOT(ISNUMBER(I2435))),"Incomplete",IF(COUNTIF(Lists!$H$4:$AA$4,C2435)=0,"Check category",IF(COUNTIF(INDEX(Lists!$H$6:$AA$45,0,MATCH(C2435,Lists!$H$4:$AA$4,0)),D2435)=0,"Check sub-category","OK"))))</f>
        <v/>
      </c>
      <c r="P2435">
        <f>IF(ISNUMBER(I2435),I2435+ROW()/10000000,"")</f>
        <v/>
      </c>
      <c r="Q2435">
        <f>IF(AND(ISNUMBER(P2435),ISNUMBER(A2435)),IF(AND(A2435&gt;=Dashboard!$Q$3,A2435&lt;=Dashboard!$Q$4,OR(J2435&lt;&gt;"Yes",Dashboard!$Q$15="Yes")),P2435,""),"")</f>
        <v/>
      </c>
    </row>
    <row r="2436">
      <c r="A2436" s="47" t="n"/>
      <c r="B2436" s="48" t="n"/>
      <c r="C2436" s="48" t="n"/>
      <c r="D2436" s="48" t="n"/>
      <c r="E2436" s="48" t="n"/>
      <c r="F2436" s="48" t="n"/>
      <c r="G2436" s="48" t="n"/>
      <c r="H2436" s="48" t="n"/>
      <c r="I2436" s="49" t="n"/>
      <c r="J2436" s="50" t="n"/>
      <c r="K2436" s="48" t="n"/>
      <c r="L2436" s="51">
        <f>IF(A2436="","",DATE(YEAR(A2436),MONTH(A2436),1))</f>
        <v/>
      </c>
      <c r="M2436" s="52">
        <f>IF(OR(A2436="",NOT(ISNUMBER(I2436))),"",IF(G2436=Lists!$B$5,I2436/2,IF(G2436=Lists!$B$6,I2436,0)))</f>
        <v/>
      </c>
      <c r="N2436" s="52">
        <f>IF(OR(A2436="",NOT(ISNUMBER(I2436))),"",IF(G2436=Lists!$B$5,I2436/2,IF(G2436=Lists!$B$7,I2436,0)))</f>
        <v/>
      </c>
      <c r="O2436" s="53">
        <f>IF(COUNTA(A2436:K2436)=0,"",IF(OR(A2436="",B2436="",C2436="",D2436="",E2436="",F2436="",G2436="",NOT(ISNUMBER(I2436))),"Incomplete",IF(COUNTIF(Lists!$H$4:$AA$4,C2436)=0,"Check category",IF(COUNTIF(INDEX(Lists!$H$6:$AA$45,0,MATCH(C2436,Lists!$H$4:$AA$4,0)),D2436)=0,"Check sub-category","OK"))))</f>
        <v/>
      </c>
      <c r="P2436">
        <f>IF(ISNUMBER(I2436),I2436+ROW()/10000000,"")</f>
        <v/>
      </c>
      <c r="Q2436">
        <f>IF(AND(ISNUMBER(P2436),ISNUMBER(A2436)),IF(AND(A2436&gt;=Dashboard!$Q$3,A2436&lt;=Dashboard!$Q$4,OR(J2436&lt;&gt;"Yes",Dashboard!$Q$15="Yes")),P2436,""),"")</f>
        <v/>
      </c>
    </row>
    <row r="2437">
      <c r="A2437" s="47" t="n"/>
      <c r="B2437" s="48" t="n"/>
      <c r="C2437" s="48" t="n"/>
      <c r="D2437" s="48" t="n"/>
      <c r="E2437" s="48" t="n"/>
      <c r="F2437" s="48" t="n"/>
      <c r="G2437" s="48" t="n"/>
      <c r="H2437" s="48" t="n"/>
      <c r="I2437" s="49" t="n"/>
      <c r="J2437" s="50" t="n"/>
      <c r="K2437" s="48" t="n"/>
      <c r="L2437" s="51">
        <f>IF(A2437="","",DATE(YEAR(A2437),MONTH(A2437),1))</f>
        <v/>
      </c>
      <c r="M2437" s="52">
        <f>IF(OR(A2437="",NOT(ISNUMBER(I2437))),"",IF(G2437=Lists!$B$5,I2437/2,IF(G2437=Lists!$B$6,I2437,0)))</f>
        <v/>
      </c>
      <c r="N2437" s="52">
        <f>IF(OR(A2437="",NOT(ISNUMBER(I2437))),"",IF(G2437=Lists!$B$5,I2437/2,IF(G2437=Lists!$B$7,I2437,0)))</f>
        <v/>
      </c>
      <c r="O2437" s="53">
        <f>IF(COUNTA(A2437:K2437)=0,"",IF(OR(A2437="",B2437="",C2437="",D2437="",E2437="",F2437="",G2437="",NOT(ISNUMBER(I2437))),"Incomplete",IF(COUNTIF(Lists!$H$4:$AA$4,C2437)=0,"Check category",IF(COUNTIF(INDEX(Lists!$H$6:$AA$45,0,MATCH(C2437,Lists!$H$4:$AA$4,0)),D2437)=0,"Check sub-category","OK"))))</f>
        <v/>
      </c>
      <c r="P2437">
        <f>IF(ISNUMBER(I2437),I2437+ROW()/10000000,"")</f>
        <v/>
      </c>
      <c r="Q2437">
        <f>IF(AND(ISNUMBER(P2437),ISNUMBER(A2437)),IF(AND(A2437&gt;=Dashboard!$Q$3,A2437&lt;=Dashboard!$Q$4,OR(J2437&lt;&gt;"Yes",Dashboard!$Q$15="Yes")),P2437,""),"")</f>
        <v/>
      </c>
    </row>
    <row r="2438">
      <c r="A2438" s="47" t="n"/>
      <c r="B2438" s="48" t="n"/>
      <c r="C2438" s="48" t="n"/>
      <c r="D2438" s="48" t="n"/>
      <c r="E2438" s="48" t="n"/>
      <c r="F2438" s="48" t="n"/>
      <c r="G2438" s="48" t="n"/>
      <c r="H2438" s="48" t="n"/>
      <c r="I2438" s="49" t="n"/>
      <c r="J2438" s="50" t="n"/>
      <c r="K2438" s="48" t="n"/>
      <c r="L2438" s="51">
        <f>IF(A2438="","",DATE(YEAR(A2438),MONTH(A2438),1))</f>
        <v/>
      </c>
      <c r="M2438" s="52">
        <f>IF(OR(A2438="",NOT(ISNUMBER(I2438))),"",IF(G2438=Lists!$B$5,I2438/2,IF(G2438=Lists!$B$6,I2438,0)))</f>
        <v/>
      </c>
      <c r="N2438" s="52">
        <f>IF(OR(A2438="",NOT(ISNUMBER(I2438))),"",IF(G2438=Lists!$B$5,I2438/2,IF(G2438=Lists!$B$7,I2438,0)))</f>
        <v/>
      </c>
      <c r="O2438" s="53">
        <f>IF(COUNTA(A2438:K2438)=0,"",IF(OR(A2438="",B2438="",C2438="",D2438="",E2438="",F2438="",G2438="",NOT(ISNUMBER(I2438))),"Incomplete",IF(COUNTIF(Lists!$H$4:$AA$4,C2438)=0,"Check category",IF(COUNTIF(INDEX(Lists!$H$6:$AA$45,0,MATCH(C2438,Lists!$H$4:$AA$4,0)),D2438)=0,"Check sub-category","OK"))))</f>
        <v/>
      </c>
      <c r="P2438">
        <f>IF(ISNUMBER(I2438),I2438+ROW()/10000000,"")</f>
        <v/>
      </c>
      <c r="Q2438">
        <f>IF(AND(ISNUMBER(P2438),ISNUMBER(A2438)),IF(AND(A2438&gt;=Dashboard!$Q$3,A2438&lt;=Dashboard!$Q$4,OR(J2438&lt;&gt;"Yes",Dashboard!$Q$15="Yes")),P2438,""),"")</f>
        <v/>
      </c>
    </row>
    <row r="2439">
      <c r="A2439" s="47" t="n"/>
      <c r="B2439" s="48" t="n"/>
      <c r="C2439" s="48" t="n"/>
      <c r="D2439" s="48" t="n"/>
      <c r="E2439" s="48" t="n"/>
      <c r="F2439" s="48" t="n"/>
      <c r="G2439" s="48" t="n"/>
      <c r="H2439" s="48" t="n"/>
      <c r="I2439" s="49" t="n"/>
      <c r="J2439" s="50" t="n"/>
      <c r="K2439" s="48" t="n"/>
      <c r="L2439" s="51">
        <f>IF(A2439="","",DATE(YEAR(A2439),MONTH(A2439),1))</f>
        <v/>
      </c>
      <c r="M2439" s="52">
        <f>IF(OR(A2439="",NOT(ISNUMBER(I2439))),"",IF(G2439=Lists!$B$5,I2439/2,IF(G2439=Lists!$B$6,I2439,0)))</f>
        <v/>
      </c>
      <c r="N2439" s="52">
        <f>IF(OR(A2439="",NOT(ISNUMBER(I2439))),"",IF(G2439=Lists!$B$5,I2439/2,IF(G2439=Lists!$B$7,I2439,0)))</f>
        <v/>
      </c>
      <c r="O2439" s="53">
        <f>IF(COUNTA(A2439:K2439)=0,"",IF(OR(A2439="",B2439="",C2439="",D2439="",E2439="",F2439="",G2439="",NOT(ISNUMBER(I2439))),"Incomplete",IF(COUNTIF(Lists!$H$4:$AA$4,C2439)=0,"Check category",IF(COUNTIF(INDEX(Lists!$H$6:$AA$45,0,MATCH(C2439,Lists!$H$4:$AA$4,0)),D2439)=0,"Check sub-category","OK"))))</f>
        <v/>
      </c>
      <c r="P2439">
        <f>IF(ISNUMBER(I2439),I2439+ROW()/10000000,"")</f>
        <v/>
      </c>
      <c r="Q2439">
        <f>IF(AND(ISNUMBER(P2439),ISNUMBER(A2439)),IF(AND(A2439&gt;=Dashboard!$Q$3,A2439&lt;=Dashboard!$Q$4,OR(J2439&lt;&gt;"Yes",Dashboard!$Q$15="Yes")),P2439,""),"")</f>
        <v/>
      </c>
    </row>
    <row r="2440">
      <c r="A2440" s="47" t="n"/>
      <c r="B2440" s="48" t="n"/>
      <c r="C2440" s="48" t="n"/>
      <c r="D2440" s="48" t="n"/>
      <c r="E2440" s="48" t="n"/>
      <c r="F2440" s="48" t="n"/>
      <c r="G2440" s="48" t="n"/>
      <c r="H2440" s="48" t="n"/>
      <c r="I2440" s="49" t="n"/>
      <c r="J2440" s="50" t="n"/>
      <c r="K2440" s="48" t="n"/>
      <c r="L2440" s="51">
        <f>IF(A2440="","",DATE(YEAR(A2440),MONTH(A2440),1))</f>
        <v/>
      </c>
      <c r="M2440" s="52">
        <f>IF(OR(A2440="",NOT(ISNUMBER(I2440))),"",IF(G2440=Lists!$B$5,I2440/2,IF(G2440=Lists!$B$6,I2440,0)))</f>
        <v/>
      </c>
      <c r="N2440" s="52">
        <f>IF(OR(A2440="",NOT(ISNUMBER(I2440))),"",IF(G2440=Lists!$B$5,I2440/2,IF(G2440=Lists!$B$7,I2440,0)))</f>
        <v/>
      </c>
      <c r="O2440" s="53">
        <f>IF(COUNTA(A2440:K2440)=0,"",IF(OR(A2440="",B2440="",C2440="",D2440="",E2440="",F2440="",G2440="",NOT(ISNUMBER(I2440))),"Incomplete",IF(COUNTIF(Lists!$H$4:$AA$4,C2440)=0,"Check category",IF(COUNTIF(INDEX(Lists!$H$6:$AA$45,0,MATCH(C2440,Lists!$H$4:$AA$4,0)),D2440)=0,"Check sub-category","OK"))))</f>
        <v/>
      </c>
      <c r="P2440">
        <f>IF(ISNUMBER(I2440),I2440+ROW()/10000000,"")</f>
        <v/>
      </c>
      <c r="Q2440">
        <f>IF(AND(ISNUMBER(P2440),ISNUMBER(A2440)),IF(AND(A2440&gt;=Dashboard!$Q$3,A2440&lt;=Dashboard!$Q$4,OR(J2440&lt;&gt;"Yes",Dashboard!$Q$15="Yes")),P2440,""),"")</f>
        <v/>
      </c>
    </row>
    <row r="2441">
      <c r="A2441" s="47" t="n"/>
      <c r="B2441" s="48" t="n"/>
      <c r="C2441" s="48" t="n"/>
      <c r="D2441" s="48" t="n"/>
      <c r="E2441" s="48" t="n"/>
      <c r="F2441" s="48" t="n"/>
      <c r="G2441" s="48" t="n"/>
      <c r="H2441" s="48" t="n"/>
      <c r="I2441" s="49" t="n"/>
      <c r="J2441" s="50" t="n"/>
      <c r="K2441" s="48" t="n"/>
      <c r="L2441" s="51">
        <f>IF(A2441="","",DATE(YEAR(A2441),MONTH(A2441),1))</f>
        <v/>
      </c>
      <c r="M2441" s="52">
        <f>IF(OR(A2441="",NOT(ISNUMBER(I2441))),"",IF(G2441=Lists!$B$5,I2441/2,IF(G2441=Lists!$B$6,I2441,0)))</f>
        <v/>
      </c>
      <c r="N2441" s="52">
        <f>IF(OR(A2441="",NOT(ISNUMBER(I2441))),"",IF(G2441=Lists!$B$5,I2441/2,IF(G2441=Lists!$B$7,I2441,0)))</f>
        <v/>
      </c>
      <c r="O2441" s="53">
        <f>IF(COUNTA(A2441:K2441)=0,"",IF(OR(A2441="",B2441="",C2441="",D2441="",E2441="",F2441="",G2441="",NOT(ISNUMBER(I2441))),"Incomplete",IF(COUNTIF(Lists!$H$4:$AA$4,C2441)=0,"Check category",IF(COUNTIF(INDEX(Lists!$H$6:$AA$45,0,MATCH(C2441,Lists!$H$4:$AA$4,0)),D2441)=0,"Check sub-category","OK"))))</f>
        <v/>
      </c>
      <c r="P2441">
        <f>IF(ISNUMBER(I2441),I2441+ROW()/10000000,"")</f>
        <v/>
      </c>
      <c r="Q2441">
        <f>IF(AND(ISNUMBER(P2441),ISNUMBER(A2441)),IF(AND(A2441&gt;=Dashboard!$Q$3,A2441&lt;=Dashboard!$Q$4,OR(J2441&lt;&gt;"Yes",Dashboard!$Q$15="Yes")),P2441,""),"")</f>
        <v/>
      </c>
    </row>
    <row r="2442">
      <c r="A2442" s="47" t="n"/>
      <c r="B2442" s="48" t="n"/>
      <c r="C2442" s="48" t="n"/>
      <c r="D2442" s="48" t="n"/>
      <c r="E2442" s="48" t="n"/>
      <c r="F2442" s="48" t="n"/>
      <c r="G2442" s="48" t="n"/>
      <c r="H2442" s="48" t="n"/>
      <c r="I2442" s="49" t="n"/>
      <c r="J2442" s="50" t="n"/>
      <c r="K2442" s="48" t="n"/>
      <c r="L2442" s="51">
        <f>IF(A2442="","",DATE(YEAR(A2442),MONTH(A2442),1))</f>
        <v/>
      </c>
      <c r="M2442" s="52">
        <f>IF(OR(A2442="",NOT(ISNUMBER(I2442))),"",IF(G2442=Lists!$B$5,I2442/2,IF(G2442=Lists!$B$6,I2442,0)))</f>
        <v/>
      </c>
      <c r="N2442" s="52">
        <f>IF(OR(A2442="",NOT(ISNUMBER(I2442))),"",IF(G2442=Lists!$B$5,I2442/2,IF(G2442=Lists!$B$7,I2442,0)))</f>
        <v/>
      </c>
      <c r="O2442" s="53">
        <f>IF(COUNTA(A2442:K2442)=0,"",IF(OR(A2442="",B2442="",C2442="",D2442="",E2442="",F2442="",G2442="",NOT(ISNUMBER(I2442))),"Incomplete",IF(COUNTIF(Lists!$H$4:$AA$4,C2442)=0,"Check category",IF(COUNTIF(INDEX(Lists!$H$6:$AA$45,0,MATCH(C2442,Lists!$H$4:$AA$4,0)),D2442)=0,"Check sub-category","OK"))))</f>
        <v/>
      </c>
      <c r="P2442">
        <f>IF(ISNUMBER(I2442),I2442+ROW()/10000000,"")</f>
        <v/>
      </c>
      <c r="Q2442">
        <f>IF(AND(ISNUMBER(P2442),ISNUMBER(A2442)),IF(AND(A2442&gt;=Dashboard!$Q$3,A2442&lt;=Dashboard!$Q$4,OR(J2442&lt;&gt;"Yes",Dashboard!$Q$15="Yes")),P2442,""),"")</f>
        <v/>
      </c>
    </row>
    <row r="2443">
      <c r="A2443" s="47" t="n"/>
      <c r="B2443" s="48" t="n"/>
      <c r="C2443" s="48" t="n"/>
      <c r="D2443" s="48" t="n"/>
      <c r="E2443" s="48" t="n"/>
      <c r="F2443" s="48" t="n"/>
      <c r="G2443" s="48" t="n"/>
      <c r="H2443" s="48" t="n"/>
      <c r="I2443" s="49" t="n"/>
      <c r="J2443" s="50" t="n"/>
      <c r="K2443" s="48" t="n"/>
      <c r="L2443" s="51">
        <f>IF(A2443="","",DATE(YEAR(A2443),MONTH(A2443),1))</f>
        <v/>
      </c>
      <c r="M2443" s="52">
        <f>IF(OR(A2443="",NOT(ISNUMBER(I2443))),"",IF(G2443=Lists!$B$5,I2443/2,IF(G2443=Lists!$B$6,I2443,0)))</f>
        <v/>
      </c>
      <c r="N2443" s="52">
        <f>IF(OR(A2443="",NOT(ISNUMBER(I2443))),"",IF(G2443=Lists!$B$5,I2443/2,IF(G2443=Lists!$B$7,I2443,0)))</f>
        <v/>
      </c>
      <c r="O2443" s="53">
        <f>IF(COUNTA(A2443:K2443)=0,"",IF(OR(A2443="",B2443="",C2443="",D2443="",E2443="",F2443="",G2443="",NOT(ISNUMBER(I2443))),"Incomplete",IF(COUNTIF(Lists!$H$4:$AA$4,C2443)=0,"Check category",IF(COUNTIF(INDEX(Lists!$H$6:$AA$45,0,MATCH(C2443,Lists!$H$4:$AA$4,0)),D2443)=0,"Check sub-category","OK"))))</f>
        <v/>
      </c>
      <c r="P2443">
        <f>IF(ISNUMBER(I2443),I2443+ROW()/10000000,"")</f>
        <v/>
      </c>
      <c r="Q2443">
        <f>IF(AND(ISNUMBER(P2443),ISNUMBER(A2443)),IF(AND(A2443&gt;=Dashboard!$Q$3,A2443&lt;=Dashboard!$Q$4,OR(J2443&lt;&gt;"Yes",Dashboard!$Q$15="Yes")),P2443,""),"")</f>
        <v/>
      </c>
    </row>
    <row r="2444">
      <c r="A2444" s="47" t="n"/>
      <c r="B2444" s="48" t="n"/>
      <c r="C2444" s="48" t="n"/>
      <c r="D2444" s="48" t="n"/>
      <c r="E2444" s="48" t="n"/>
      <c r="F2444" s="48" t="n"/>
      <c r="G2444" s="48" t="n"/>
      <c r="H2444" s="48" t="n"/>
      <c r="I2444" s="49" t="n"/>
      <c r="J2444" s="50" t="n"/>
      <c r="K2444" s="48" t="n"/>
      <c r="L2444" s="51">
        <f>IF(A2444="","",DATE(YEAR(A2444),MONTH(A2444),1))</f>
        <v/>
      </c>
      <c r="M2444" s="52">
        <f>IF(OR(A2444="",NOT(ISNUMBER(I2444))),"",IF(G2444=Lists!$B$5,I2444/2,IF(G2444=Lists!$B$6,I2444,0)))</f>
        <v/>
      </c>
      <c r="N2444" s="52">
        <f>IF(OR(A2444="",NOT(ISNUMBER(I2444))),"",IF(G2444=Lists!$B$5,I2444/2,IF(G2444=Lists!$B$7,I2444,0)))</f>
        <v/>
      </c>
      <c r="O2444" s="53">
        <f>IF(COUNTA(A2444:K2444)=0,"",IF(OR(A2444="",B2444="",C2444="",D2444="",E2444="",F2444="",G2444="",NOT(ISNUMBER(I2444))),"Incomplete",IF(COUNTIF(Lists!$H$4:$AA$4,C2444)=0,"Check category",IF(COUNTIF(INDEX(Lists!$H$6:$AA$45,0,MATCH(C2444,Lists!$H$4:$AA$4,0)),D2444)=0,"Check sub-category","OK"))))</f>
        <v/>
      </c>
      <c r="P2444">
        <f>IF(ISNUMBER(I2444),I2444+ROW()/10000000,"")</f>
        <v/>
      </c>
      <c r="Q2444">
        <f>IF(AND(ISNUMBER(P2444),ISNUMBER(A2444)),IF(AND(A2444&gt;=Dashboard!$Q$3,A2444&lt;=Dashboard!$Q$4,OR(J2444&lt;&gt;"Yes",Dashboard!$Q$15="Yes")),P2444,""),"")</f>
        <v/>
      </c>
    </row>
    <row r="2445">
      <c r="A2445" s="47" t="n"/>
      <c r="B2445" s="48" t="n"/>
      <c r="C2445" s="48" t="n"/>
      <c r="D2445" s="48" t="n"/>
      <c r="E2445" s="48" t="n"/>
      <c r="F2445" s="48" t="n"/>
      <c r="G2445" s="48" t="n"/>
      <c r="H2445" s="48" t="n"/>
      <c r="I2445" s="49" t="n"/>
      <c r="J2445" s="50" t="n"/>
      <c r="K2445" s="48" t="n"/>
      <c r="L2445" s="51">
        <f>IF(A2445="","",DATE(YEAR(A2445),MONTH(A2445),1))</f>
        <v/>
      </c>
      <c r="M2445" s="52">
        <f>IF(OR(A2445="",NOT(ISNUMBER(I2445))),"",IF(G2445=Lists!$B$5,I2445/2,IF(G2445=Lists!$B$6,I2445,0)))</f>
        <v/>
      </c>
      <c r="N2445" s="52">
        <f>IF(OR(A2445="",NOT(ISNUMBER(I2445))),"",IF(G2445=Lists!$B$5,I2445/2,IF(G2445=Lists!$B$7,I2445,0)))</f>
        <v/>
      </c>
      <c r="O2445" s="53">
        <f>IF(COUNTA(A2445:K2445)=0,"",IF(OR(A2445="",B2445="",C2445="",D2445="",E2445="",F2445="",G2445="",NOT(ISNUMBER(I2445))),"Incomplete",IF(COUNTIF(Lists!$H$4:$AA$4,C2445)=0,"Check category",IF(COUNTIF(INDEX(Lists!$H$6:$AA$45,0,MATCH(C2445,Lists!$H$4:$AA$4,0)),D2445)=0,"Check sub-category","OK"))))</f>
        <v/>
      </c>
      <c r="P2445">
        <f>IF(ISNUMBER(I2445),I2445+ROW()/10000000,"")</f>
        <v/>
      </c>
      <c r="Q2445">
        <f>IF(AND(ISNUMBER(P2445),ISNUMBER(A2445)),IF(AND(A2445&gt;=Dashboard!$Q$3,A2445&lt;=Dashboard!$Q$4,OR(J2445&lt;&gt;"Yes",Dashboard!$Q$15="Yes")),P2445,""),"")</f>
        <v/>
      </c>
    </row>
    <row r="2446">
      <c r="A2446" s="47" t="n"/>
      <c r="B2446" s="48" t="n"/>
      <c r="C2446" s="48" t="n"/>
      <c r="D2446" s="48" t="n"/>
      <c r="E2446" s="48" t="n"/>
      <c r="F2446" s="48" t="n"/>
      <c r="G2446" s="48" t="n"/>
      <c r="H2446" s="48" t="n"/>
      <c r="I2446" s="49" t="n"/>
      <c r="J2446" s="50" t="n"/>
      <c r="K2446" s="48" t="n"/>
      <c r="L2446" s="51">
        <f>IF(A2446="","",DATE(YEAR(A2446),MONTH(A2446),1))</f>
        <v/>
      </c>
      <c r="M2446" s="52">
        <f>IF(OR(A2446="",NOT(ISNUMBER(I2446))),"",IF(G2446=Lists!$B$5,I2446/2,IF(G2446=Lists!$B$6,I2446,0)))</f>
        <v/>
      </c>
      <c r="N2446" s="52">
        <f>IF(OR(A2446="",NOT(ISNUMBER(I2446))),"",IF(G2446=Lists!$B$5,I2446/2,IF(G2446=Lists!$B$7,I2446,0)))</f>
        <v/>
      </c>
      <c r="O2446" s="53">
        <f>IF(COUNTA(A2446:K2446)=0,"",IF(OR(A2446="",B2446="",C2446="",D2446="",E2446="",F2446="",G2446="",NOT(ISNUMBER(I2446))),"Incomplete",IF(COUNTIF(Lists!$H$4:$AA$4,C2446)=0,"Check category",IF(COUNTIF(INDEX(Lists!$H$6:$AA$45,0,MATCH(C2446,Lists!$H$4:$AA$4,0)),D2446)=0,"Check sub-category","OK"))))</f>
        <v/>
      </c>
      <c r="P2446">
        <f>IF(ISNUMBER(I2446),I2446+ROW()/10000000,"")</f>
        <v/>
      </c>
      <c r="Q2446">
        <f>IF(AND(ISNUMBER(P2446),ISNUMBER(A2446)),IF(AND(A2446&gt;=Dashboard!$Q$3,A2446&lt;=Dashboard!$Q$4,OR(J2446&lt;&gt;"Yes",Dashboard!$Q$15="Yes")),P2446,""),"")</f>
        <v/>
      </c>
    </row>
    <row r="2447">
      <c r="A2447" s="47" t="n"/>
      <c r="B2447" s="48" t="n"/>
      <c r="C2447" s="48" t="n"/>
      <c r="D2447" s="48" t="n"/>
      <c r="E2447" s="48" t="n"/>
      <c r="F2447" s="48" t="n"/>
      <c r="G2447" s="48" t="n"/>
      <c r="H2447" s="48" t="n"/>
      <c r="I2447" s="49" t="n"/>
      <c r="J2447" s="50" t="n"/>
      <c r="K2447" s="48" t="n"/>
      <c r="L2447" s="51">
        <f>IF(A2447="","",DATE(YEAR(A2447),MONTH(A2447),1))</f>
        <v/>
      </c>
      <c r="M2447" s="52">
        <f>IF(OR(A2447="",NOT(ISNUMBER(I2447))),"",IF(G2447=Lists!$B$5,I2447/2,IF(G2447=Lists!$B$6,I2447,0)))</f>
        <v/>
      </c>
      <c r="N2447" s="52">
        <f>IF(OR(A2447="",NOT(ISNUMBER(I2447))),"",IF(G2447=Lists!$B$5,I2447/2,IF(G2447=Lists!$B$7,I2447,0)))</f>
        <v/>
      </c>
      <c r="O2447" s="53">
        <f>IF(COUNTA(A2447:K2447)=0,"",IF(OR(A2447="",B2447="",C2447="",D2447="",E2447="",F2447="",G2447="",NOT(ISNUMBER(I2447))),"Incomplete",IF(COUNTIF(Lists!$H$4:$AA$4,C2447)=0,"Check category",IF(COUNTIF(INDEX(Lists!$H$6:$AA$45,0,MATCH(C2447,Lists!$H$4:$AA$4,0)),D2447)=0,"Check sub-category","OK"))))</f>
        <v/>
      </c>
      <c r="P2447">
        <f>IF(ISNUMBER(I2447),I2447+ROW()/10000000,"")</f>
        <v/>
      </c>
      <c r="Q2447">
        <f>IF(AND(ISNUMBER(P2447),ISNUMBER(A2447)),IF(AND(A2447&gt;=Dashboard!$Q$3,A2447&lt;=Dashboard!$Q$4,OR(J2447&lt;&gt;"Yes",Dashboard!$Q$15="Yes")),P2447,""),"")</f>
        <v/>
      </c>
    </row>
    <row r="2448">
      <c r="A2448" s="47" t="n"/>
      <c r="B2448" s="48" t="n"/>
      <c r="C2448" s="48" t="n"/>
      <c r="D2448" s="48" t="n"/>
      <c r="E2448" s="48" t="n"/>
      <c r="F2448" s="48" t="n"/>
      <c r="G2448" s="48" t="n"/>
      <c r="H2448" s="48" t="n"/>
      <c r="I2448" s="49" t="n"/>
      <c r="J2448" s="50" t="n"/>
      <c r="K2448" s="48" t="n"/>
      <c r="L2448" s="51">
        <f>IF(A2448="","",DATE(YEAR(A2448),MONTH(A2448),1))</f>
        <v/>
      </c>
      <c r="M2448" s="52">
        <f>IF(OR(A2448="",NOT(ISNUMBER(I2448))),"",IF(G2448=Lists!$B$5,I2448/2,IF(G2448=Lists!$B$6,I2448,0)))</f>
        <v/>
      </c>
      <c r="N2448" s="52">
        <f>IF(OR(A2448="",NOT(ISNUMBER(I2448))),"",IF(G2448=Lists!$B$5,I2448/2,IF(G2448=Lists!$B$7,I2448,0)))</f>
        <v/>
      </c>
      <c r="O2448" s="53">
        <f>IF(COUNTA(A2448:K2448)=0,"",IF(OR(A2448="",B2448="",C2448="",D2448="",E2448="",F2448="",G2448="",NOT(ISNUMBER(I2448))),"Incomplete",IF(COUNTIF(Lists!$H$4:$AA$4,C2448)=0,"Check category",IF(COUNTIF(INDEX(Lists!$H$6:$AA$45,0,MATCH(C2448,Lists!$H$4:$AA$4,0)),D2448)=0,"Check sub-category","OK"))))</f>
        <v/>
      </c>
      <c r="P2448">
        <f>IF(ISNUMBER(I2448),I2448+ROW()/10000000,"")</f>
        <v/>
      </c>
      <c r="Q2448">
        <f>IF(AND(ISNUMBER(P2448),ISNUMBER(A2448)),IF(AND(A2448&gt;=Dashboard!$Q$3,A2448&lt;=Dashboard!$Q$4,OR(J2448&lt;&gt;"Yes",Dashboard!$Q$15="Yes")),P2448,""),"")</f>
        <v/>
      </c>
    </row>
    <row r="2449">
      <c r="A2449" s="47" t="n"/>
      <c r="B2449" s="48" t="n"/>
      <c r="C2449" s="48" t="n"/>
      <c r="D2449" s="48" t="n"/>
      <c r="E2449" s="48" t="n"/>
      <c r="F2449" s="48" t="n"/>
      <c r="G2449" s="48" t="n"/>
      <c r="H2449" s="48" t="n"/>
      <c r="I2449" s="49" t="n"/>
      <c r="J2449" s="50" t="n"/>
      <c r="K2449" s="48" t="n"/>
      <c r="L2449" s="51">
        <f>IF(A2449="","",DATE(YEAR(A2449),MONTH(A2449),1))</f>
        <v/>
      </c>
      <c r="M2449" s="52">
        <f>IF(OR(A2449="",NOT(ISNUMBER(I2449))),"",IF(G2449=Lists!$B$5,I2449/2,IF(G2449=Lists!$B$6,I2449,0)))</f>
        <v/>
      </c>
      <c r="N2449" s="52">
        <f>IF(OR(A2449="",NOT(ISNUMBER(I2449))),"",IF(G2449=Lists!$B$5,I2449/2,IF(G2449=Lists!$B$7,I2449,0)))</f>
        <v/>
      </c>
      <c r="O2449" s="53">
        <f>IF(COUNTA(A2449:K2449)=0,"",IF(OR(A2449="",B2449="",C2449="",D2449="",E2449="",F2449="",G2449="",NOT(ISNUMBER(I2449))),"Incomplete",IF(COUNTIF(Lists!$H$4:$AA$4,C2449)=0,"Check category",IF(COUNTIF(INDEX(Lists!$H$6:$AA$45,0,MATCH(C2449,Lists!$H$4:$AA$4,0)),D2449)=0,"Check sub-category","OK"))))</f>
        <v/>
      </c>
      <c r="P2449">
        <f>IF(ISNUMBER(I2449),I2449+ROW()/10000000,"")</f>
        <v/>
      </c>
      <c r="Q2449">
        <f>IF(AND(ISNUMBER(P2449),ISNUMBER(A2449)),IF(AND(A2449&gt;=Dashboard!$Q$3,A2449&lt;=Dashboard!$Q$4,OR(J2449&lt;&gt;"Yes",Dashboard!$Q$15="Yes")),P2449,""),"")</f>
        <v/>
      </c>
    </row>
    <row r="2450">
      <c r="A2450" s="47" t="n"/>
      <c r="B2450" s="48" t="n"/>
      <c r="C2450" s="48" t="n"/>
      <c r="D2450" s="48" t="n"/>
      <c r="E2450" s="48" t="n"/>
      <c r="F2450" s="48" t="n"/>
      <c r="G2450" s="48" t="n"/>
      <c r="H2450" s="48" t="n"/>
      <c r="I2450" s="49" t="n"/>
      <c r="J2450" s="50" t="n"/>
      <c r="K2450" s="48" t="n"/>
      <c r="L2450" s="51">
        <f>IF(A2450="","",DATE(YEAR(A2450),MONTH(A2450),1))</f>
        <v/>
      </c>
      <c r="M2450" s="52">
        <f>IF(OR(A2450="",NOT(ISNUMBER(I2450))),"",IF(G2450=Lists!$B$5,I2450/2,IF(G2450=Lists!$B$6,I2450,0)))</f>
        <v/>
      </c>
      <c r="N2450" s="52">
        <f>IF(OR(A2450="",NOT(ISNUMBER(I2450))),"",IF(G2450=Lists!$B$5,I2450/2,IF(G2450=Lists!$B$7,I2450,0)))</f>
        <v/>
      </c>
      <c r="O2450" s="53">
        <f>IF(COUNTA(A2450:K2450)=0,"",IF(OR(A2450="",B2450="",C2450="",D2450="",E2450="",F2450="",G2450="",NOT(ISNUMBER(I2450))),"Incomplete",IF(COUNTIF(Lists!$H$4:$AA$4,C2450)=0,"Check category",IF(COUNTIF(INDEX(Lists!$H$6:$AA$45,0,MATCH(C2450,Lists!$H$4:$AA$4,0)),D2450)=0,"Check sub-category","OK"))))</f>
        <v/>
      </c>
      <c r="P2450">
        <f>IF(ISNUMBER(I2450),I2450+ROW()/10000000,"")</f>
        <v/>
      </c>
      <c r="Q2450">
        <f>IF(AND(ISNUMBER(P2450),ISNUMBER(A2450)),IF(AND(A2450&gt;=Dashboard!$Q$3,A2450&lt;=Dashboard!$Q$4,OR(J2450&lt;&gt;"Yes",Dashboard!$Q$15="Yes")),P2450,""),"")</f>
        <v/>
      </c>
    </row>
    <row r="2451">
      <c r="A2451" s="47" t="n"/>
      <c r="B2451" s="48" t="n"/>
      <c r="C2451" s="48" t="n"/>
      <c r="D2451" s="48" t="n"/>
      <c r="E2451" s="48" t="n"/>
      <c r="F2451" s="48" t="n"/>
      <c r="G2451" s="48" t="n"/>
      <c r="H2451" s="48" t="n"/>
      <c r="I2451" s="49" t="n"/>
      <c r="J2451" s="50" t="n"/>
      <c r="K2451" s="48" t="n"/>
      <c r="L2451" s="51">
        <f>IF(A2451="","",DATE(YEAR(A2451),MONTH(A2451),1))</f>
        <v/>
      </c>
      <c r="M2451" s="52">
        <f>IF(OR(A2451="",NOT(ISNUMBER(I2451))),"",IF(G2451=Lists!$B$5,I2451/2,IF(G2451=Lists!$B$6,I2451,0)))</f>
        <v/>
      </c>
      <c r="N2451" s="52">
        <f>IF(OR(A2451="",NOT(ISNUMBER(I2451))),"",IF(G2451=Lists!$B$5,I2451/2,IF(G2451=Lists!$B$7,I2451,0)))</f>
        <v/>
      </c>
      <c r="O2451" s="53">
        <f>IF(COUNTA(A2451:K2451)=0,"",IF(OR(A2451="",B2451="",C2451="",D2451="",E2451="",F2451="",G2451="",NOT(ISNUMBER(I2451))),"Incomplete",IF(COUNTIF(Lists!$H$4:$AA$4,C2451)=0,"Check category",IF(COUNTIF(INDEX(Lists!$H$6:$AA$45,0,MATCH(C2451,Lists!$H$4:$AA$4,0)),D2451)=0,"Check sub-category","OK"))))</f>
        <v/>
      </c>
      <c r="P2451">
        <f>IF(ISNUMBER(I2451),I2451+ROW()/10000000,"")</f>
        <v/>
      </c>
      <c r="Q2451">
        <f>IF(AND(ISNUMBER(P2451),ISNUMBER(A2451)),IF(AND(A2451&gt;=Dashboard!$Q$3,A2451&lt;=Dashboard!$Q$4,OR(J2451&lt;&gt;"Yes",Dashboard!$Q$15="Yes")),P2451,""),"")</f>
        <v/>
      </c>
    </row>
    <row r="2452">
      <c r="A2452" s="47" t="n"/>
      <c r="B2452" s="48" t="n"/>
      <c r="C2452" s="48" t="n"/>
      <c r="D2452" s="48" t="n"/>
      <c r="E2452" s="48" t="n"/>
      <c r="F2452" s="48" t="n"/>
      <c r="G2452" s="48" t="n"/>
      <c r="H2452" s="48" t="n"/>
      <c r="I2452" s="49" t="n"/>
      <c r="J2452" s="50" t="n"/>
      <c r="K2452" s="48" t="n"/>
      <c r="L2452" s="51">
        <f>IF(A2452="","",DATE(YEAR(A2452),MONTH(A2452),1))</f>
        <v/>
      </c>
      <c r="M2452" s="52">
        <f>IF(OR(A2452="",NOT(ISNUMBER(I2452))),"",IF(G2452=Lists!$B$5,I2452/2,IF(G2452=Lists!$B$6,I2452,0)))</f>
        <v/>
      </c>
      <c r="N2452" s="52">
        <f>IF(OR(A2452="",NOT(ISNUMBER(I2452))),"",IF(G2452=Lists!$B$5,I2452/2,IF(G2452=Lists!$B$7,I2452,0)))</f>
        <v/>
      </c>
      <c r="O2452" s="53">
        <f>IF(COUNTA(A2452:K2452)=0,"",IF(OR(A2452="",B2452="",C2452="",D2452="",E2452="",F2452="",G2452="",NOT(ISNUMBER(I2452))),"Incomplete",IF(COUNTIF(Lists!$H$4:$AA$4,C2452)=0,"Check category",IF(COUNTIF(INDEX(Lists!$H$6:$AA$45,0,MATCH(C2452,Lists!$H$4:$AA$4,0)),D2452)=0,"Check sub-category","OK"))))</f>
        <v/>
      </c>
      <c r="P2452">
        <f>IF(ISNUMBER(I2452),I2452+ROW()/10000000,"")</f>
        <v/>
      </c>
      <c r="Q2452">
        <f>IF(AND(ISNUMBER(P2452),ISNUMBER(A2452)),IF(AND(A2452&gt;=Dashboard!$Q$3,A2452&lt;=Dashboard!$Q$4,OR(J2452&lt;&gt;"Yes",Dashboard!$Q$15="Yes")),P2452,""),"")</f>
        <v/>
      </c>
    </row>
    <row r="2453">
      <c r="A2453" s="47" t="n"/>
      <c r="B2453" s="48" t="n"/>
      <c r="C2453" s="48" t="n"/>
      <c r="D2453" s="48" t="n"/>
      <c r="E2453" s="48" t="n"/>
      <c r="F2453" s="48" t="n"/>
      <c r="G2453" s="48" t="n"/>
      <c r="H2453" s="48" t="n"/>
      <c r="I2453" s="49" t="n"/>
      <c r="J2453" s="50" t="n"/>
      <c r="K2453" s="48" t="n"/>
      <c r="L2453" s="51">
        <f>IF(A2453="","",DATE(YEAR(A2453),MONTH(A2453),1))</f>
        <v/>
      </c>
      <c r="M2453" s="52">
        <f>IF(OR(A2453="",NOT(ISNUMBER(I2453))),"",IF(G2453=Lists!$B$5,I2453/2,IF(G2453=Lists!$B$6,I2453,0)))</f>
        <v/>
      </c>
      <c r="N2453" s="52">
        <f>IF(OR(A2453="",NOT(ISNUMBER(I2453))),"",IF(G2453=Lists!$B$5,I2453/2,IF(G2453=Lists!$B$7,I2453,0)))</f>
        <v/>
      </c>
      <c r="O2453" s="53">
        <f>IF(COUNTA(A2453:K2453)=0,"",IF(OR(A2453="",B2453="",C2453="",D2453="",E2453="",F2453="",G2453="",NOT(ISNUMBER(I2453))),"Incomplete",IF(COUNTIF(Lists!$H$4:$AA$4,C2453)=0,"Check category",IF(COUNTIF(INDEX(Lists!$H$6:$AA$45,0,MATCH(C2453,Lists!$H$4:$AA$4,0)),D2453)=0,"Check sub-category","OK"))))</f>
        <v/>
      </c>
      <c r="P2453">
        <f>IF(ISNUMBER(I2453),I2453+ROW()/10000000,"")</f>
        <v/>
      </c>
      <c r="Q2453">
        <f>IF(AND(ISNUMBER(P2453),ISNUMBER(A2453)),IF(AND(A2453&gt;=Dashboard!$Q$3,A2453&lt;=Dashboard!$Q$4,OR(J2453&lt;&gt;"Yes",Dashboard!$Q$15="Yes")),P2453,""),"")</f>
        <v/>
      </c>
    </row>
    <row r="2454">
      <c r="A2454" s="47" t="n"/>
      <c r="B2454" s="48" t="n"/>
      <c r="C2454" s="48" t="n"/>
      <c r="D2454" s="48" t="n"/>
      <c r="E2454" s="48" t="n"/>
      <c r="F2454" s="48" t="n"/>
      <c r="G2454" s="48" t="n"/>
      <c r="H2454" s="48" t="n"/>
      <c r="I2454" s="49" t="n"/>
      <c r="J2454" s="50" t="n"/>
      <c r="K2454" s="48" t="n"/>
      <c r="L2454" s="51">
        <f>IF(A2454="","",DATE(YEAR(A2454),MONTH(A2454),1))</f>
        <v/>
      </c>
      <c r="M2454" s="52">
        <f>IF(OR(A2454="",NOT(ISNUMBER(I2454))),"",IF(G2454=Lists!$B$5,I2454/2,IF(G2454=Lists!$B$6,I2454,0)))</f>
        <v/>
      </c>
      <c r="N2454" s="52">
        <f>IF(OR(A2454="",NOT(ISNUMBER(I2454))),"",IF(G2454=Lists!$B$5,I2454/2,IF(G2454=Lists!$B$7,I2454,0)))</f>
        <v/>
      </c>
      <c r="O2454" s="53">
        <f>IF(COUNTA(A2454:K2454)=0,"",IF(OR(A2454="",B2454="",C2454="",D2454="",E2454="",F2454="",G2454="",NOT(ISNUMBER(I2454))),"Incomplete",IF(COUNTIF(Lists!$H$4:$AA$4,C2454)=0,"Check category",IF(COUNTIF(INDEX(Lists!$H$6:$AA$45,0,MATCH(C2454,Lists!$H$4:$AA$4,0)),D2454)=0,"Check sub-category","OK"))))</f>
        <v/>
      </c>
      <c r="P2454">
        <f>IF(ISNUMBER(I2454),I2454+ROW()/10000000,"")</f>
        <v/>
      </c>
      <c r="Q2454">
        <f>IF(AND(ISNUMBER(P2454),ISNUMBER(A2454)),IF(AND(A2454&gt;=Dashboard!$Q$3,A2454&lt;=Dashboard!$Q$4,OR(J2454&lt;&gt;"Yes",Dashboard!$Q$15="Yes")),P2454,""),"")</f>
        <v/>
      </c>
    </row>
    <row r="2455">
      <c r="A2455" s="47" t="n"/>
      <c r="B2455" s="48" t="n"/>
      <c r="C2455" s="48" t="n"/>
      <c r="D2455" s="48" t="n"/>
      <c r="E2455" s="48" t="n"/>
      <c r="F2455" s="48" t="n"/>
      <c r="G2455" s="48" t="n"/>
      <c r="H2455" s="48" t="n"/>
      <c r="I2455" s="49" t="n"/>
      <c r="J2455" s="50" t="n"/>
      <c r="K2455" s="48" t="n"/>
      <c r="L2455" s="51">
        <f>IF(A2455="","",DATE(YEAR(A2455),MONTH(A2455),1))</f>
        <v/>
      </c>
      <c r="M2455" s="52">
        <f>IF(OR(A2455="",NOT(ISNUMBER(I2455))),"",IF(G2455=Lists!$B$5,I2455/2,IF(G2455=Lists!$B$6,I2455,0)))</f>
        <v/>
      </c>
      <c r="N2455" s="52">
        <f>IF(OR(A2455="",NOT(ISNUMBER(I2455))),"",IF(G2455=Lists!$B$5,I2455/2,IF(G2455=Lists!$B$7,I2455,0)))</f>
        <v/>
      </c>
      <c r="O2455" s="53">
        <f>IF(COUNTA(A2455:K2455)=0,"",IF(OR(A2455="",B2455="",C2455="",D2455="",E2455="",F2455="",G2455="",NOT(ISNUMBER(I2455))),"Incomplete",IF(COUNTIF(Lists!$H$4:$AA$4,C2455)=0,"Check category",IF(COUNTIF(INDEX(Lists!$H$6:$AA$45,0,MATCH(C2455,Lists!$H$4:$AA$4,0)),D2455)=0,"Check sub-category","OK"))))</f>
        <v/>
      </c>
      <c r="P2455">
        <f>IF(ISNUMBER(I2455),I2455+ROW()/10000000,"")</f>
        <v/>
      </c>
      <c r="Q2455">
        <f>IF(AND(ISNUMBER(P2455),ISNUMBER(A2455)),IF(AND(A2455&gt;=Dashboard!$Q$3,A2455&lt;=Dashboard!$Q$4,OR(J2455&lt;&gt;"Yes",Dashboard!$Q$15="Yes")),P2455,""),"")</f>
        <v/>
      </c>
    </row>
    <row r="2456">
      <c r="A2456" s="47" t="n"/>
      <c r="B2456" s="48" t="n"/>
      <c r="C2456" s="48" t="n"/>
      <c r="D2456" s="48" t="n"/>
      <c r="E2456" s="48" t="n"/>
      <c r="F2456" s="48" t="n"/>
      <c r="G2456" s="48" t="n"/>
      <c r="H2456" s="48" t="n"/>
      <c r="I2456" s="49" t="n"/>
      <c r="J2456" s="50" t="n"/>
      <c r="K2456" s="48" t="n"/>
      <c r="L2456" s="51">
        <f>IF(A2456="","",DATE(YEAR(A2456),MONTH(A2456),1))</f>
        <v/>
      </c>
      <c r="M2456" s="52">
        <f>IF(OR(A2456="",NOT(ISNUMBER(I2456))),"",IF(G2456=Lists!$B$5,I2456/2,IF(G2456=Lists!$B$6,I2456,0)))</f>
        <v/>
      </c>
      <c r="N2456" s="52">
        <f>IF(OR(A2456="",NOT(ISNUMBER(I2456))),"",IF(G2456=Lists!$B$5,I2456/2,IF(G2456=Lists!$B$7,I2456,0)))</f>
        <v/>
      </c>
      <c r="O2456" s="53">
        <f>IF(COUNTA(A2456:K2456)=0,"",IF(OR(A2456="",B2456="",C2456="",D2456="",E2456="",F2456="",G2456="",NOT(ISNUMBER(I2456))),"Incomplete",IF(COUNTIF(Lists!$H$4:$AA$4,C2456)=0,"Check category",IF(COUNTIF(INDEX(Lists!$H$6:$AA$45,0,MATCH(C2456,Lists!$H$4:$AA$4,0)),D2456)=0,"Check sub-category","OK"))))</f>
        <v/>
      </c>
      <c r="P2456">
        <f>IF(ISNUMBER(I2456),I2456+ROW()/10000000,"")</f>
        <v/>
      </c>
      <c r="Q2456">
        <f>IF(AND(ISNUMBER(P2456),ISNUMBER(A2456)),IF(AND(A2456&gt;=Dashboard!$Q$3,A2456&lt;=Dashboard!$Q$4,OR(J2456&lt;&gt;"Yes",Dashboard!$Q$15="Yes")),P2456,""),"")</f>
        <v/>
      </c>
    </row>
    <row r="2457">
      <c r="A2457" s="47" t="n"/>
      <c r="B2457" s="48" t="n"/>
      <c r="C2457" s="48" t="n"/>
      <c r="D2457" s="48" t="n"/>
      <c r="E2457" s="48" t="n"/>
      <c r="F2457" s="48" t="n"/>
      <c r="G2457" s="48" t="n"/>
      <c r="H2457" s="48" t="n"/>
      <c r="I2457" s="49" t="n"/>
      <c r="J2457" s="50" t="n"/>
      <c r="K2457" s="48" t="n"/>
      <c r="L2457" s="51">
        <f>IF(A2457="","",DATE(YEAR(A2457),MONTH(A2457),1))</f>
        <v/>
      </c>
      <c r="M2457" s="52">
        <f>IF(OR(A2457="",NOT(ISNUMBER(I2457))),"",IF(G2457=Lists!$B$5,I2457/2,IF(G2457=Lists!$B$6,I2457,0)))</f>
        <v/>
      </c>
      <c r="N2457" s="52">
        <f>IF(OR(A2457="",NOT(ISNUMBER(I2457))),"",IF(G2457=Lists!$B$5,I2457/2,IF(G2457=Lists!$B$7,I2457,0)))</f>
        <v/>
      </c>
      <c r="O2457" s="53">
        <f>IF(COUNTA(A2457:K2457)=0,"",IF(OR(A2457="",B2457="",C2457="",D2457="",E2457="",F2457="",G2457="",NOT(ISNUMBER(I2457))),"Incomplete",IF(COUNTIF(Lists!$H$4:$AA$4,C2457)=0,"Check category",IF(COUNTIF(INDEX(Lists!$H$6:$AA$45,0,MATCH(C2457,Lists!$H$4:$AA$4,0)),D2457)=0,"Check sub-category","OK"))))</f>
        <v/>
      </c>
      <c r="P2457">
        <f>IF(ISNUMBER(I2457),I2457+ROW()/10000000,"")</f>
        <v/>
      </c>
      <c r="Q2457">
        <f>IF(AND(ISNUMBER(P2457),ISNUMBER(A2457)),IF(AND(A2457&gt;=Dashboard!$Q$3,A2457&lt;=Dashboard!$Q$4,OR(J2457&lt;&gt;"Yes",Dashboard!$Q$15="Yes")),P2457,""),"")</f>
        <v/>
      </c>
    </row>
    <row r="2458">
      <c r="A2458" s="47" t="n"/>
      <c r="B2458" s="48" t="n"/>
      <c r="C2458" s="48" t="n"/>
      <c r="D2458" s="48" t="n"/>
      <c r="E2458" s="48" t="n"/>
      <c r="F2458" s="48" t="n"/>
      <c r="G2458" s="48" t="n"/>
      <c r="H2458" s="48" t="n"/>
      <c r="I2458" s="49" t="n"/>
      <c r="J2458" s="50" t="n"/>
      <c r="K2458" s="48" t="n"/>
      <c r="L2458" s="51">
        <f>IF(A2458="","",DATE(YEAR(A2458),MONTH(A2458),1))</f>
        <v/>
      </c>
      <c r="M2458" s="52">
        <f>IF(OR(A2458="",NOT(ISNUMBER(I2458))),"",IF(G2458=Lists!$B$5,I2458/2,IF(G2458=Lists!$B$6,I2458,0)))</f>
        <v/>
      </c>
      <c r="N2458" s="52">
        <f>IF(OR(A2458="",NOT(ISNUMBER(I2458))),"",IF(G2458=Lists!$B$5,I2458/2,IF(G2458=Lists!$B$7,I2458,0)))</f>
        <v/>
      </c>
      <c r="O2458" s="53">
        <f>IF(COUNTA(A2458:K2458)=0,"",IF(OR(A2458="",B2458="",C2458="",D2458="",E2458="",F2458="",G2458="",NOT(ISNUMBER(I2458))),"Incomplete",IF(COUNTIF(Lists!$H$4:$AA$4,C2458)=0,"Check category",IF(COUNTIF(INDEX(Lists!$H$6:$AA$45,0,MATCH(C2458,Lists!$H$4:$AA$4,0)),D2458)=0,"Check sub-category","OK"))))</f>
        <v/>
      </c>
      <c r="P2458">
        <f>IF(ISNUMBER(I2458),I2458+ROW()/10000000,"")</f>
        <v/>
      </c>
      <c r="Q2458">
        <f>IF(AND(ISNUMBER(P2458),ISNUMBER(A2458)),IF(AND(A2458&gt;=Dashboard!$Q$3,A2458&lt;=Dashboard!$Q$4,OR(J2458&lt;&gt;"Yes",Dashboard!$Q$15="Yes")),P2458,""),"")</f>
        <v/>
      </c>
    </row>
    <row r="2459">
      <c r="A2459" s="47" t="n"/>
      <c r="B2459" s="48" t="n"/>
      <c r="C2459" s="48" t="n"/>
      <c r="D2459" s="48" t="n"/>
      <c r="E2459" s="48" t="n"/>
      <c r="F2459" s="48" t="n"/>
      <c r="G2459" s="48" t="n"/>
      <c r="H2459" s="48" t="n"/>
      <c r="I2459" s="49" t="n"/>
      <c r="J2459" s="50" t="n"/>
      <c r="K2459" s="48" t="n"/>
      <c r="L2459" s="51">
        <f>IF(A2459="","",DATE(YEAR(A2459),MONTH(A2459),1))</f>
        <v/>
      </c>
      <c r="M2459" s="52">
        <f>IF(OR(A2459="",NOT(ISNUMBER(I2459))),"",IF(G2459=Lists!$B$5,I2459/2,IF(G2459=Lists!$B$6,I2459,0)))</f>
        <v/>
      </c>
      <c r="N2459" s="52">
        <f>IF(OR(A2459="",NOT(ISNUMBER(I2459))),"",IF(G2459=Lists!$B$5,I2459/2,IF(G2459=Lists!$B$7,I2459,0)))</f>
        <v/>
      </c>
      <c r="O2459" s="53">
        <f>IF(COUNTA(A2459:K2459)=0,"",IF(OR(A2459="",B2459="",C2459="",D2459="",E2459="",F2459="",G2459="",NOT(ISNUMBER(I2459))),"Incomplete",IF(COUNTIF(Lists!$H$4:$AA$4,C2459)=0,"Check category",IF(COUNTIF(INDEX(Lists!$H$6:$AA$45,0,MATCH(C2459,Lists!$H$4:$AA$4,0)),D2459)=0,"Check sub-category","OK"))))</f>
        <v/>
      </c>
      <c r="P2459">
        <f>IF(ISNUMBER(I2459),I2459+ROW()/10000000,"")</f>
        <v/>
      </c>
      <c r="Q2459">
        <f>IF(AND(ISNUMBER(P2459),ISNUMBER(A2459)),IF(AND(A2459&gt;=Dashboard!$Q$3,A2459&lt;=Dashboard!$Q$4,OR(J2459&lt;&gt;"Yes",Dashboard!$Q$15="Yes")),P2459,""),"")</f>
        <v/>
      </c>
    </row>
    <row r="2460">
      <c r="A2460" s="47" t="n"/>
      <c r="B2460" s="48" t="n"/>
      <c r="C2460" s="48" t="n"/>
      <c r="D2460" s="48" t="n"/>
      <c r="E2460" s="48" t="n"/>
      <c r="F2460" s="48" t="n"/>
      <c r="G2460" s="48" t="n"/>
      <c r="H2460" s="48" t="n"/>
      <c r="I2460" s="49" t="n"/>
      <c r="J2460" s="50" t="n"/>
      <c r="K2460" s="48" t="n"/>
      <c r="L2460" s="51">
        <f>IF(A2460="","",DATE(YEAR(A2460),MONTH(A2460),1))</f>
        <v/>
      </c>
      <c r="M2460" s="52">
        <f>IF(OR(A2460="",NOT(ISNUMBER(I2460))),"",IF(G2460=Lists!$B$5,I2460/2,IF(G2460=Lists!$B$6,I2460,0)))</f>
        <v/>
      </c>
      <c r="N2460" s="52">
        <f>IF(OR(A2460="",NOT(ISNUMBER(I2460))),"",IF(G2460=Lists!$B$5,I2460/2,IF(G2460=Lists!$B$7,I2460,0)))</f>
        <v/>
      </c>
      <c r="O2460" s="53">
        <f>IF(COUNTA(A2460:K2460)=0,"",IF(OR(A2460="",B2460="",C2460="",D2460="",E2460="",F2460="",G2460="",NOT(ISNUMBER(I2460))),"Incomplete",IF(COUNTIF(Lists!$H$4:$AA$4,C2460)=0,"Check category",IF(COUNTIF(INDEX(Lists!$H$6:$AA$45,0,MATCH(C2460,Lists!$H$4:$AA$4,0)),D2460)=0,"Check sub-category","OK"))))</f>
        <v/>
      </c>
      <c r="P2460">
        <f>IF(ISNUMBER(I2460),I2460+ROW()/10000000,"")</f>
        <v/>
      </c>
      <c r="Q2460">
        <f>IF(AND(ISNUMBER(P2460),ISNUMBER(A2460)),IF(AND(A2460&gt;=Dashboard!$Q$3,A2460&lt;=Dashboard!$Q$4,OR(J2460&lt;&gt;"Yes",Dashboard!$Q$15="Yes")),P2460,""),"")</f>
        <v/>
      </c>
    </row>
    <row r="2461">
      <c r="A2461" s="47" t="n"/>
      <c r="B2461" s="48" t="n"/>
      <c r="C2461" s="48" t="n"/>
      <c r="D2461" s="48" t="n"/>
      <c r="E2461" s="48" t="n"/>
      <c r="F2461" s="48" t="n"/>
      <c r="G2461" s="48" t="n"/>
      <c r="H2461" s="48" t="n"/>
      <c r="I2461" s="49" t="n"/>
      <c r="J2461" s="50" t="n"/>
      <c r="K2461" s="48" t="n"/>
      <c r="L2461" s="51">
        <f>IF(A2461="","",DATE(YEAR(A2461),MONTH(A2461),1))</f>
        <v/>
      </c>
      <c r="M2461" s="52">
        <f>IF(OR(A2461="",NOT(ISNUMBER(I2461))),"",IF(G2461=Lists!$B$5,I2461/2,IF(G2461=Lists!$B$6,I2461,0)))</f>
        <v/>
      </c>
      <c r="N2461" s="52">
        <f>IF(OR(A2461="",NOT(ISNUMBER(I2461))),"",IF(G2461=Lists!$B$5,I2461/2,IF(G2461=Lists!$B$7,I2461,0)))</f>
        <v/>
      </c>
      <c r="O2461" s="53">
        <f>IF(COUNTA(A2461:K2461)=0,"",IF(OR(A2461="",B2461="",C2461="",D2461="",E2461="",F2461="",G2461="",NOT(ISNUMBER(I2461))),"Incomplete",IF(COUNTIF(Lists!$H$4:$AA$4,C2461)=0,"Check category",IF(COUNTIF(INDEX(Lists!$H$6:$AA$45,0,MATCH(C2461,Lists!$H$4:$AA$4,0)),D2461)=0,"Check sub-category","OK"))))</f>
        <v/>
      </c>
      <c r="P2461">
        <f>IF(ISNUMBER(I2461),I2461+ROW()/10000000,"")</f>
        <v/>
      </c>
      <c r="Q2461">
        <f>IF(AND(ISNUMBER(P2461),ISNUMBER(A2461)),IF(AND(A2461&gt;=Dashboard!$Q$3,A2461&lt;=Dashboard!$Q$4,OR(J2461&lt;&gt;"Yes",Dashboard!$Q$15="Yes")),P2461,""),"")</f>
        <v/>
      </c>
    </row>
    <row r="2462">
      <c r="A2462" s="47" t="n"/>
      <c r="B2462" s="48" t="n"/>
      <c r="C2462" s="48" t="n"/>
      <c r="D2462" s="48" t="n"/>
      <c r="E2462" s="48" t="n"/>
      <c r="F2462" s="48" t="n"/>
      <c r="G2462" s="48" t="n"/>
      <c r="H2462" s="48" t="n"/>
      <c r="I2462" s="49" t="n"/>
      <c r="J2462" s="50" t="n"/>
      <c r="K2462" s="48" t="n"/>
      <c r="L2462" s="51">
        <f>IF(A2462="","",DATE(YEAR(A2462),MONTH(A2462),1))</f>
        <v/>
      </c>
      <c r="M2462" s="52">
        <f>IF(OR(A2462="",NOT(ISNUMBER(I2462))),"",IF(G2462=Lists!$B$5,I2462/2,IF(G2462=Lists!$B$6,I2462,0)))</f>
        <v/>
      </c>
      <c r="N2462" s="52">
        <f>IF(OR(A2462="",NOT(ISNUMBER(I2462))),"",IF(G2462=Lists!$B$5,I2462/2,IF(G2462=Lists!$B$7,I2462,0)))</f>
        <v/>
      </c>
      <c r="O2462" s="53">
        <f>IF(COUNTA(A2462:K2462)=0,"",IF(OR(A2462="",B2462="",C2462="",D2462="",E2462="",F2462="",G2462="",NOT(ISNUMBER(I2462))),"Incomplete",IF(COUNTIF(Lists!$H$4:$AA$4,C2462)=0,"Check category",IF(COUNTIF(INDEX(Lists!$H$6:$AA$45,0,MATCH(C2462,Lists!$H$4:$AA$4,0)),D2462)=0,"Check sub-category","OK"))))</f>
        <v/>
      </c>
      <c r="P2462">
        <f>IF(ISNUMBER(I2462),I2462+ROW()/10000000,"")</f>
        <v/>
      </c>
      <c r="Q2462">
        <f>IF(AND(ISNUMBER(P2462),ISNUMBER(A2462)),IF(AND(A2462&gt;=Dashboard!$Q$3,A2462&lt;=Dashboard!$Q$4,OR(J2462&lt;&gt;"Yes",Dashboard!$Q$15="Yes")),P2462,""),"")</f>
        <v/>
      </c>
    </row>
    <row r="2463">
      <c r="A2463" s="47" t="n"/>
      <c r="B2463" s="48" t="n"/>
      <c r="C2463" s="48" t="n"/>
      <c r="D2463" s="48" t="n"/>
      <c r="E2463" s="48" t="n"/>
      <c r="F2463" s="48" t="n"/>
      <c r="G2463" s="48" t="n"/>
      <c r="H2463" s="48" t="n"/>
      <c r="I2463" s="49" t="n"/>
      <c r="J2463" s="50" t="n"/>
      <c r="K2463" s="48" t="n"/>
      <c r="L2463" s="51">
        <f>IF(A2463="","",DATE(YEAR(A2463),MONTH(A2463),1))</f>
        <v/>
      </c>
      <c r="M2463" s="52">
        <f>IF(OR(A2463="",NOT(ISNUMBER(I2463))),"",IF(G2463=Lists!$B$5,I2463/2,IF(G2463=Lists!$B$6,I2463,0)))</f>
        <v/>
      </c>
      <c r="N2463" s="52">
        <f>IF(OR(A2463="",NOT(ISNUMBER(I2463))),"",IF(G2463=Lists!$B$5,I2463/2,IF(G2463=Lists!$B$7,I2463,0)))</f>
        <v/>
      </c>
      <c r="O2463" s="53">
        <f>IF(COUNTA(A2463:K2463)=0,"",IF(OR(A2463="",B2463="",C2463="",D2463="",E2463="",F2463="",G2463="",NOT(ISNUMBER(I2463))),"Incomplete",IF(COUNTIF(Lists!$H$4:$AA$4,C2463)=0,"Check category",IF(COUNTIF(INDEX(Lists!$H$6:$AA$45,0,MATCH(C2463,Lists!$H$4:$AA$4,0)),D2463)=0,"Check sub-category","OK"))))</f>
        <v/>
      </c>
      <c r="P2463">
        <f>IF(ISNUMBER(I2463),I2463+ROW()/10000000,"")</f>
        <v/>
      </c>
      <c r="Q2463">
        <f>IF(AND(ISNUMBER(P2463),ISNUMBER(A2463)),IF(AND(A2463&gt;=Dashboard!$Q$3,A2463&lt;=Dashboard!$Q$4,OR(J2463&lt;&gt;"Yes",Dashboard!$Q$15="Yes")),P2463,""),"")</f>
        <v/>
      </c>
    </row>
    <row r="2464">
      <c r="A2464" s="47" t="n"/>
      <c r="B2464" s="48" t="n"/>
      <c r="C2464" s="48" t="n"/>
      <c r="D2464" s="48" t="n"/>
      <c r="E2464" s="48" t="n"/>
      <c r="F2464" s="48" t="n"/>
      <c r="G2464" s="48" t="n"/>
      <c r="H2464" s="48" t="n"/>
      <c r="I2464" s="49" t="n"/>
      <c r="J2464" s="50" t="n"/>
      <c r="K2464" s="48" t="n"/>
      <c r="L2464" s="51">
        <f>IF(A2464="","",DATE(YEAR(A2464),MONTH(A2464),1))</f>
        <v/>
      </c>
      <c r="M2464" s="52">
        <f>IF(OR(A2464="",NOT(ISNUMBER(I2464))),"",IF(G2464=Lists!$B$5,I2464/2,IF(G2464=Lists!$B$6,I2464,0)))</f>
        <v/>
      </c>
      <c r="N2464" s="52">
        <f>IF(OR(A2464="",NOT(ISNUMBER(I2464))),"",IF(G2464=Lists!$B$5,I2464/2,IF(G2464=Lists!$B$7,I2464,0)))</f>
        <v/>
      </c>
      <c r="O2464" s="53">
        <f>IF(COUNTA(A2464:K2464)=0,"",IF(OR(A2464="",B2464="",C2464="",D2464="",E2464="",F2464="",G2464="",NOT(ISNUMBER(I2464))),"Incomplete",IF(COUNTIF(Lists!$H$4:$AA$4,C2464)=0,"Check category",IF(COUNTIF(INDEX(Lists!$H$6:$AA$45,0,MATCH(C2464,Lists!$H$4:$AA$4,0)),D2464)=0,"Check sub-category","OK"))))</f>
        <v/>
      </c>
      <c r="P2464">
        <f>IF(ISNUMBER(I2464),I2464+ROW()/10000000,"")</f>
        <v/>
      </c>
      <c r="Q2464">
        <f>IF(AND(ISNUMBER(P2464),ISNUMBER(A2464)),IF(AND(A2464&gt;=Dashboard!$Q$3,A2464&lt;=Dashboard!$Q$4,OR(J2464&lt;&gt;"Yes",Dashboard!$Q$15="Yes")),P2464,""),"")</f>
        <v/>
      </c>
    </row>
    <row r="2465">
      <c r="A2465" s="47" t="n"/>
      <c r="B2465" s="48" t="n"/>
      <c r="C2465" s="48" t="n"/>
      <c r="D2465" s="48" t="n"/>
      <c r="E2465" s="48" t="n"/>
      <c r="F2465" s="48" t="n"/>
      <c r="G2465" s="48" t="n"/>
      <c r="H2465" s="48" t="n"/>
      <c r="I2465" s="49" t="n"/>
      <c r="J2465" s="50" t="n"/>
      <c r="K2465" s="48" t="n"/>
      <c r="L2465" s="51">
        <f>IF(A2465="","",DATE(YEAR(A2465),MONTH(A2465),1))</f>
        <v/>
      </c>
      <c r="M2465" s="52">
        <f>IF(OR(A2465="",NOT(ISNUMBER(I2465))),"",IF(G2465=Lists!$B$5,I2465/2,IF(G2465=Lists!$B$6,I2465,0)))</f>
        <v/>
      </c>
      <c r="N2465" s="52">
        <f>IF(OR(A2465="",NOT(ISNUMBER(I2465))),"",IF(G2465=Lists!$B$5,I2465/2,IF(G2465=Lists!$B$7,I2465,0)))</f>
        <v/>
      </c>
      <c r="O2465" s="53">
        <f>IF(COUNTA(A2465:K2465)=0,"",IF(OR(A2465="",B2465="",C2465="",D2465="",E2465="",F2465="",G2465="",NOT(ISNUMBER(I2465))),"Incomplete",IF(COUNTIF(Lists!$H$4:$AA$4,C2465)=0,"Check category",IF(COUNTIF(INDEX(Lists!$H$6:$AA$45,0,MATCH(C2465,Lists!$H$4:$AA$4,0)),D2465)=0,"Check sub-category","OK"))))</f>
        <v/>
      </c>
      <c r="P2465">
        <f>IF(ISNUMBER(I2465),I2465+ROW()/10000000,"")</f>
        <v/>
      </c>
      <c r="Q2465">
        <f>IF(AND(ISNUMBER(P2465),ISNUMBER(A2465)),IF(AND(A2465&gt;=Dashboard!$Q$3,A2465&lt;=Dashboard!$Q$4,OR(J2465&lt;&gt;"Yes",Dashboard!$Q$15="Yes")),P2465,""),"")</f>
        <v/>
      </c>
    </row>
    <row r="2466">
      <c r="A2466" s="47" t="n"/>
      <c r="B2466" s="48" t="n"/>
      <c r="C2466" s="48" t="n"/>
      <c r="D2466" s="48" t="n"/>
      <c r="E2466" s="48" t="n"/>
      <c r="F2466" s="48" t="n"/>
      <c r="G2466" s="48" t="n"/>
      <c r="H2466" s="48" t="n"/>
      <c r="I2466" s="49" t="n"/>
      <c r="J2466" s="50" t="n"/>
      <c r="K2466" s="48" t="n"/>
      <c r="L2466" s="51">
        <f>IF(A2466="","",DATE(YEAR(A2466),MONTH(A2466),1))</f>
        <v/>
      </c>
      <c r="M2466" s="52">
        <f>IF(OR(A2466="",NOT(ISNUMBER(I2466))),"",IF(G2466=Lists!$B$5,I2466/2,IF(G2466=Lists!$B$6,I2466,0)))</f>
        <v/>
      </c>
      <c r="N2466" s="52">
        <f>IF(OR(A2466="",NOT(ISNUMBER(I2466))),"",IF(G2466=Lists!$B$5,I2466/2,IF(G2466=Lists!$B$7,I2466,0)))</f>
        <v/>
      </c>
      <c r="O2466" s="53">
        <f>IF(COUNTA(A2466:K2466)=0,"",IF(OR(A2466="",B2466="",C2466="",D2466="",E2466="",F2466="",G2466="",NOT(ISNUMBER(I2466))),"Incomplete",IF(COUNTIF(Lists!$H$4:$AA$4,C2466)=0,"Check category",IF(COUNTIF(INDEX(Lists!$H$6:$AA$45,0,MATCH(C2466,Lists!$H$4:$AA$4,0)),D2466)=0,"Check sub-category","OK"))))</f>
        <v/>
      </c>
      <c r="P2466">
        <f>IF(ISNUMBER(I2466),I2466+ROW()/10000000,"")</f>
        <v/>
      </c>
      <c r="Q2466">
        <f>IF(AND(ISNUMBER(P2466),ISNUMBER(A2466)),IF(AND(A2466&gt;=Dashboard!$Q$3,A2466&lt;=Dashboard!$Q$4,OR(J2466&lt;&gt;"Yes",Dashboard!$Q$15="Yes")),P2466,""),"")</f>
        <v/>
      </c>
    </row>
    <row r="2467">
      <c r="A2467" s="47" t="n"/>
      <c r="B2467" s="48" t="n"/>
      <c r="C2467" s="48" t="n"/>
      <c r="D2467" s="48" t="n"/>
      <c r="E2467" s="48" t="n"/>
      <c r="F2467" s="48" t="n"/>
      <c r="G2467" s="48" t="n"/>
      <c r="H2467" s="48" t="n"/>
      <c r="I2467" s="49" t="n"/>
      <c r="J2467" s="50" t="n"/>
      <c r="K2467" s="48" t="n"/>
      <c r="L2467" s="51">
        <f>IF(A2467="","",DATE(YEAR(A2467),MONTH(A2467),1))</f>
        <v/>
      </c>
      <c r="M2467" s="52">
        <f>IF(OR(A2467="",NOT(ISNUMBER(I2467))),"",IF(G2467=Lists!$B$5,I2467/2,IF(G2467=Lists!$B$6,I2467,0)))</f>
        <v/>
      </c>
      <c r="N2467" s="52">
        <f>IF(OR(A2467="",NOT(ISNUMBER(I2467))),"",IF(G2467=Lists!$B$5,I2467/2,IF(G2467=Lists!$B$7,I2467,0)))</f>
        <v/>
      </c>
      <c r="O2467" s="53">
        <f>IF(COUNTA(A2467:K2467)=0,"",IF(OR(A2467="",B2467="",C2467="",D2467="",E2467="",F2467="",G2467="",NOT(ISNUMBER(I2467))),"Incomplete",IF(COUNTIF(Lists!$H$4:$AA$4,C2467)=0,"Check category",IF(COUNTIF(INDEX(Lists!$H$6:$AA$45,0,MATCH(C2467,Lists!$H$4:$AA$4,0)),D2467)=0,"Check sub-category","OK"))))</f>
        <v/>
      </c>
      <c r="P2467">
        <f>IF(ISNUMBER(I2467),I2467+ROW()/10000000,"")</f>
        <v/>
      </c>
      <c r="Q2467">
        <f>IF(AND(ISNUMBER(P2467),ISNUMBER(A2467)),IF(AND(A2467&gt;=Dashboard!$Q$3,A2467&lt;=Dashboard!$Q$4,OR(J2467&lt;&gt;"Yes",Dashboard!$Q$15="Yes")),P2467,""),"")</f>
        <v/>
      </c>
    </row>
    <row r="2468">
      <c r="A2468" s="47" t="n"/>
      <c r="B2468" s="48" t="n"/>
      <c r="C2468" s="48" t="n"/>
      <c r="D2468" s="48" t="n"/>
      <c r="E2468" s="48" t="n"/>
      <c r="F2468" s="48" t="n"/>
      <c r="G2468" s="48" t="n"/>
      <c r="H2468" s="48" t="n"/>
      <c r="I2468" s="49" t="n"/>
      <c r="J2468" s="50" t="n"/>
      <c r="K2468" s="48" t="n"/>
      <c r="L2468" s="51">
        <f>IF(A2468="","",DATE(YEAR(A2468),MONTH(A2468),1))</f>
        <v/>
      </c>
      <c r="M2468" s="52">
        <f>IF(OR(A2468="",NOT(ISNUMBER(I2468))),"",IF(G2468=Lists!$B$5,I2468/2,IF(G2468=Lists!$B$6,I2468,0)))</f>
        <v/>
      </c>
      <c r="N2468" s="52">
        <f>IF(OR(A2468="",NOT(ISNUMBER(I2468))),"",IF(G2468=Lists!$B$5,I2468/2,IF(G2468=Lists!$B$7,I2468,0)))</f>
        <v/>
      </c>
      <c r="O2468" s="53">
        <f>IF(COUNTA(A2468:K2468)=0,"",IF(OR(A2468="",B2468="",C2468="",D2468="",E2468="",F2468="",G2468="",NOT(ISNUMBER(I2468))),"Incomplete",IF(COUNTIF(Lists!$H$4:$AA$4,C2468)=0,"Check category",IF(COUNTIF(INDEX(Lists!$H$6:$AA$45,0,MATCH(C2468,Lists!$H$4:$AA$4,0)),D2468)=0,"Check sub-category","OK"))))</f>
        <v/>
      </c>
      <c r="P2468">
        <f>IF(ISNUMBER(I2468),I2468+ROW()/10000000,"")</f>
        <v/>
      </c>
      <c r="Q2468">
        <f>IF(AND(ISNUMBER(P2468),ISNUMBER(A2468)),IF(AND(A2468&gt;=Dashboard!$Q$3,A2468&lt;=Dashboard!$Q$4,OR(J2468&lt;&gt;"Yes",Dashboard!$Q$15="Yes")),P2468,""),"")</f>
        <v/>
      </c>
    </row>
    <row r="2469">
      <c r="A2469" s="47" t="n"/>
      <c r="B2469" s="48" t="n"/>
      <c r="C2469" s="48" t="n"/>
      <c r="D2469" s="48" t="n"/>
      <c r="E2469" s="48" t="n"/>
      <c r="F2469" s="48" t="n"/>
      <c r="G2469" s="48" t="n"/>
      <c r="H2469" s="48" t="n"/>
      <c r="I2469" s="49" t="n"/>
      <c r="J2469" s="50" t="n"/>
      <c r="K2469" s="48" t="n"/>
      <c r="L2469" s="51">
        <f>IF(A2469="","",DATE(YEAR(A2469),MONTH(A2469),1))</f>
        <v/>
      </c>
      <c r="M2469" s="52">
        <f>IF(OR(A2469="",NOT(ISNUMBER(I2469))),"",IF(G2469=Lists!$B$5,I2469/2,IF(G2469=Lists!$B$6,I2469,0)))</f>
        <v/>
      </c>
      <c r="N2469" s="52">
        <f>IF(OR(A2469="",NOT(ISNUMBER(I2469))),"",IF(G2469=Lists!$B$5,I2469/2,IF(G2469=Lists!$B$7,I2469,0)))</f>
        <v/>
      </c>
      <c r="O2469" s="53">
        <f>IF(COUNTA(A2469:K2469)=0,"",IF(OR(A2469="",B2469="",C2469="",D2469="",E2469="",F2469="",G2469="",NOT(ISNUMBER(I2469))),"Incomplete",IF(COUNTIF(Lists!$H$4:$AA$4,C2469)=0,"Check category",IF(COUNTIF(INDEX(Lists!$H$6:$AA$45,0,MATCH(C2469,Lists!$H$4:$AA$4,0)),D2469)=0,"Check sub-category","OK"))))</f>
        <v/>
      </c>
      <c r="P2469">
        <f>IF(ISNUMBER(I2469),I2469+ROW()/10000000,"")</f>
        <v/>
      </c>
      <c r="Q2469">
        <f>IF(AND(ISNUMBER(P2469),ISNUMBER(A2469)),IF(AND(A2469&gt;=Dashboard!$Q$3,A2469&lt;=Dashboard!$Q$4,OR(J2469&lt;&gt;"Yes",Dashboard!$Q$15="Yes")),P2469,""),"")</f>
        <v/>
      </c>
    </row>
    <row r="2470">
      <c r="A2470" s="47" t="n"/>
      <c r="B2470" s="48" t="n"/>
      <c r="C2470" s="48" t="n"/>
      <c r="D2470" s="48" t="n"/>
      <c r="E2470" s="48" t="n"/>
      <c r="F2470" s="48" t="n"/>
      <c r="G2470" s="48" t="n"/>
      <c r="H2470" s="48" t="n"/>
      <c r="I2470" s="49" t="n"/>
      <c r="J2470" s="50" t="n"/>
      <c r="K2470" s="48" t="n"/>
      <c r="L2470" s="51">
        <f>IF(A2470="","",DATE(YEAR(A2470),MONTH(A2470),1))</f>
        <v/>
      </c>
      <c r="M2470" s="52">
        <f>IF(OR(A2470="",NOT(ISNUMBER(I2470))),"",IF(G2470=Lists!$B$5,I2470/2,IF(G2470=Lists!$B$6,I2470,0)))</f>
        <v/>
      </c>
      <c r="N2470" s="52">
        <f>IF(OR(A2470="",NOT(ISNUMBER(I2470))),"",IF(G2470=Lists!$B$5,I2470/2,IF(G2470=Lists!$B$7,I2470,0)))</f>
        <v/>
      </c>
      <c r="O2470" s="53">
        <f>IF(COUNTA(A2470:K2470)=0,"",IF(OR(A2470="",B2470="",C2470="",D2470="",E2470="",F2470="",G2470="",NOT(ISNUMBER(I2470))),"Incomplete",IF(COUNTIF(Lists!$H$4:$AA$4,C2470)=0,"Check category",IF(COUNTIF(INDEX(Lists!$H$6:$AA$45,0,MATCH(C2470,Lists!$H$4:$AA$4,0)),D2470)=0,"Check sub-category","OK"))))</f>
        <v/>
      </c>
      <c r="P2470">
        <f>IF(ISNUMBER(I2470),I2470+ROW()/10000000,"")</f>
        <v/>
      </c>
      <c r="Q2470">
        <f>IF(AND(ISNUMBER(P2470),ISNUMBER(A2470)),IF(AND(A2470&gt;=Dashboard!$Q$3,A2470&lt;=Dashboard!$Q$4,OR(J2470&lt;&gt;"Yes",Dashboard!$Q$15="Yes")),P2470,""),"")</f>
        <v/>
      </c>
    </row>
    <row r="2471">
      <c r="A2471" s="47" t="n"/>
      <c r="B2471" s="48" t="n"/>
      <c r="C2471" s="48" t="n"/>
      <c r="D2471" s="48" t="n"/>
      <c r="E2471" s="48" t="n"/>
      <c r="F2471" s="48" t="n"/>
      <c r="G2471" s="48" t="n"/>
      <c r="H2471" s="48" t="n"/>
      <c r="I2471" s="49" t="n"/>
      <c r="J2471" s="50" t="n"/>
      <c r="K2471" s="48" t="n"/>
      <c r="L2471" s="51">
        <f>IF(A2471="","",DATE(YEAR(A2471),MONTH(A2471),1))</f>
        <v/>
      </c>
      <c r="M2471" s="52">
        <f>IF(OR(A2471="",NOT(ISNUMBER(I2471))),"",IF(G2471=Lists!$B$5,I2471/2,IF(G2471=Lists!$B$6,I2471,0)))</f>
        <v/>
      </c>
      <c r="N2471" s="52">
        <f>IF(OR(A2471="",NOT(ISNUMBER(I2471))),"",IF(G2471=Lists!$B$5,I2471/2,IF(G2471=Lists!$B$7,I2471,0)))</f>
        <v/>
      </c>
      <c r="O2471" s="53">
        <f>IF(COUNTA(A2471:K2471)=0,"",IF(OR(A2471="",B2471="",C2471="",D2471="",E2471="",F2471="",G2471="",NOT(ISNUMBER(I2471))),"Incomplete",IF(COUNTIF(Lists!$H$4:$AA$4,C2471)=0,"Check category",IF(COUNTIF(INDEX(Lists!$H$6:$AA$45,0,MATCH(C2471,Lists!$H$4:$AA$4,0)),D2471)=0,"Check sub-category","OK"))))</f>
        <v/>
      </c>
      <c r="P2471">
        <f>IF(ISNUMBER(I2471),I2471+ROW()/10000000,"")</f>
        <v/>
      </c>
      <c r="Q2471">
        <f>IF(AND(ISNUMBER(P2471),ISNUMBER(A2471)),IF(AND(A2471&gt;=Dashboard!$Q$3,A2471&lt;=Dashboard!$Q$4,OR(J2471&lt;&gt;"Yes",Dashboard!$Q$15="Yes")),P2471,""),"")</f>
        <v/>
      </c>
    </row>
    <row r="2472">
      <c r="A2472" s="47" t="n"/>
      <c r="B2472" s="48" t="n"/>
      <c r="C2472" s="48" t="n"/>
      <c r="D2472" s="48" t="n"/>
      <c r="E2472" s="48" t="n"/>
      <c r="F2472" s="48" t="n"/>
      <c r="G2472" s="48" t="n"/>
      <c r="H2472" s="48" t="n"/>
      <c r="I2472" s="49" t="n"/>
      <c r="J2472" s="50" t="n"/>
      <c r="K2472" s="48" t="n"/>
      <c r="L2472" s="51">
        <f>IF(A2472="","",DATE(YEAR(A2472),MONTH(A2472),1))</f>
        <v/>
      </c>
      <c r="M2472" s="52">
        <f>IF(OR(A2472="",NOT(ISNUMBER(I2472))),"",IF(G2472=Lists!$B$5,I2472/2,IF(G2472=Lists!$B$6,I2472,0)))</f>
        <v/>
      </c>
      <c r="N2472" s="52">
        <f>IF(OR(A2472="",NOT(ISNUMBER(I2472))),"",IF(G2472=Lists!$B$5,I2472/2,IF(G2472=Lists!$B$7,I2472,0)))</f>
        <v/>
      </c>
      <c r="O2472" s="53">
        <f>IF(COUNTA(A2472:K2472)=0,"",IF(OR(A2472="",B2472="",C2472="",D2472="",E2472="",F2472="",G2472="",NOT(ISNUMBER(I2472))),"Incomplete",IF(COUNTIF(Lists!$H$4:$AA$4,C2472)=0,"Check category",IF(COUNTIF(INDEX(Lists!$H$6:$AA$45,0,MATCH(C2472,Lists!$H$4:$AA$4,0)),D2472)=0,"Check sub-category","OK"))))</f>
        <v/>
      </c>
      <c r="P2472">
        <f>IF(ISNUMBER(I2472),I2472+ROW()/10000000,"")</f>
        <v/>
      </c>
      <c r="Q2472">
        <f>IF(AND(ISNUMBER(P2472),ISNUMBER(A2472)),IF(AND(A2472&gt;=Dashboard!$Q$3,A2472&lt;=Dashboard!$Q$4,OR(J2472&lt;&gt;"Yes",Dashboard!$Q$15="Yes")),P2472,""),"")</f>
        <v/>
      </c>
    </row>
    <row r="2473">
      <c r="A2473" s="47" t="n"/>
      <c r="B2473" s="48" t="n"/>
      <c r="C2473" s="48" t="n"/>
      <c r="D2473" s="48" t="n"/>
      <c r="E2473" s="48" t="n"/>
      <c r="F2473" s="48" t="n"/>
      <c r="G2473" s="48" t="n"/>
      <c r="H2473" s="48" t="n"/>
      <c r="I2473" s="49" t="n"/>
      <c r="J2473" s="50" t="n"/>
      <c r="K2473" s="48" t="n"/>
      <c r="L2473" s="51">
        <f>IF(A2473="","",DATE(YEAR(A2473),MONTH(A2473),1))</f>
        <v/>
      </c>
      <c r="M2473" s="52">
        <f>IF(OR(A2473="",NOT(ISNUMBER(I2473))),"",IF(G2473=Lists!$B$5,I2473/2,IF(G2473=Lists!$B$6,I2473,0)))</f>
        <v/>
      </c>
      <c r="N2473" s="52">
        <f>IF(OR(A2473="",NOT(ISNUMBER(I2473))),"",IF(G2473=Lists!$B$5,I2473/2,IF(G2473=Lists!$B$7,I2473,0)))</f>
        <v/>
      </c>
      <c r="O2473" s="53">
        <f>IF(COUNTA(A2473:K2473)=0,"",IF(OR(A2473="",B2473="",C2473="",D2473="",E2473="",F2473="",G2473="",NOT(ISNUMBER(I2473))),"Incomplete",IF(COUNTIF(Lists!$H$4:$AA$4,C2473)=0,"Check category",IF(COUNTIF(INDEX(Lists!$H$6:$AA$45,0,MATCH(C2473,Lists!$H$4:$AA$4,0)),D2473)=0,"Check sub-category","OK"))))</f>
        <v/>
      </c>
      <c r="P2473">
        <f>IF(ISNUMBER(I2473),I2473+ROW()/10000000,"")</f>
        <v/>
      </c>
      <c r="Q2473">
        <f>IF(AND(ISNUMBER(P2473),ISNUMBER(A2473)),IF(AND(A2473&gt;=Dashboard!$Q$3,A2473&lt;=Dashboard!$Q$4,OR(J2473&lt;&gt;"Yes",Dashboard!$Q$15="Yes")),P2473,""),"")</f>
        <v/>
      </c>
    </row>
    <row r="2474">
      <c r="A2474" s="47" t="n"/>
      <c r="B2474" s="48" t="n"/>
      <c r="C2474" s="48" t="n"/>
      <c r="D2474" s="48" t="n"/>
      <c r="E2474" s="48" t="n"/>
      <c r="F2474" s="48" t="n"/>
      <c r="G2474" s="48" t="n"/>
      <c r="H2474" s="48" t="n"/>
      <c r="I2474" s="49" t="n"/>
      <c r="J2474" s="50" t="n"/>
      <c r="K2474" s="48" t="n"/>
      <c r="L2474" s="51">
        <f>IF(A2474="","",DATE(YEAR(A2474),MONTH(A2474),1))</f>
        <v/>
      </c>
      <c r="M2474" s="52">
        <f>IF(OR(A2474="",NOT(ISNUMBER(I2474))),"",IF(G2474=Lists!$B$5,I2474/2,IF(G2474=Lists!$B$6,I2474,0)))</f>
        <v/>
      </c>
      <c r="N2474" s="52">
        <f>IF(OR(A2474="",NOT(ISNUMBER(I2474))),"",IF(G2474=Lists!$B$5,I2474/2,IF(G2474=Lists!$B$7,I2474,0)))</f>
        <v/>
      </c>
      <c r="O2474" s="53">
        <f>IF(COUNTA(A2474:K2474)=0,"",IF(OR(A2474="",B2474="",C2474="",D2474="",E2474="",F2474="",G2474="",NOT(ISNUMBER(I2474))),"Incomplete",IF(COUNTIF(Lists!$H$4:$AA$4,C2474)=0,"Check category",IF(COUNTIF(INDEX(Lists!$H$6:$AA$45,0,MATCH(C2474,Lists!$H$4:$AA$4,0)),D2474)=0,"Check sub-category","OK"))))</f>
        <v/>
      </c>
      <c r="P2474">
        <f>IF(ISNUMBER(I2474),I2474+ROW()/10000000,"")</f>
        <v/>
      </c>
      <c r="Q2474">
        <f>IF(AND(ISNUMBER(P2474),ISNUMBER(A2474)),IF(AND(A2474&gt;=Dashboard!$Q$3,A2474&lt;=Dashboard!$Q$4,OR(J2474&lt;&gt;"Yes",Dashboard!$Q$15="Yes")),P2474,""),"")</f>
        <v/>
      </c>
    </row>
    <row r="2475">
      <c r="A2475" s="47" t="n"/>
      <c r="B2475" s="48" t="n"/>
      <c r="C2475" s="48" t="n"/>
      <c r="D2475" s="48" t="n"/>
      <c r="E2475" s="48" t="n"/>
      <c r="F2475" s="48" t="n"/>
      <c r="G2475" s="48" t="n"/>
      <c r="H2475" s="48" t="n"/>
      <c r="I2475" s="49" t="n"/>
      <c r="J2475" s="50" t="n"/>
      <c r="K2475" s="48" t="n"/>
      <c r="L2475" s="51">
        <f>IF(A2475="","",DATE(YEAR(A2475),MONTH(A2475),1))</f>
        <v/>
      </c>
      <c r="M2475" s="52">
        <f>IF(OR(A2475="",NOT(ISNUMBER(I2475))),"",IF(G2475=Lists!$B$5,I2475/2,IF(G2475=Lists!$B$6,I2475,0)))</f>
        <v/>
      </c>
      <c r="N2475" s="52">
        <f>IF(OR(A2475="",NOT(ISNUMBER(I2475))),"",IF(G2475=Lists!$B$5,I2475/2,IF(G2475=Lists!$B$7,I2475,0)))</f>
        <v/>
      </c>
      <c r="O2475" s="53">
        <f>IF(COUNTA(A2475:K2475)=0,"",IF(OR(A2475="",B2475="",C2475="",D2475="",E2475="",F2475="",G2475="",NOT(ISNUMBER(I2475))),"Incomplete",IF(COUNTIF(Lists!$H$4:$AA$4,C2475)=0,"Check category",IF(COUNTIF(INDEX(Lists!$H$6:$AA$45,0,MATCH(C2475,Lists!$H$4:$AA$4,0)),D2475)=0,"Check sub-category","OK"))))</f>
        <v/>
      </c>
      <c r="P2475">
        <f>IF(ISNUMBER(I2475),I2475+ROW()/10000000,"")</f>
        <v/>
      </c>
      <c r="Q2475">
        <f>IF(AND(ISNUMBER(P2475),ISNUMBER(A2475)),IF(AND(A2475&gt;=Dashboard!$Q$3,A2475&lt;=Dashboard!$Q$4,OR(J2475&lt;&gt;"Yes",Dashboard!$Q$15="Yes")),P2475,""),"")</f>
        <v/>
      </c>
    </row>
    <row r="2476">
      <c r="A2476" s="47" t="n"/>
      <c r="B2476" s="48" t="n"/>
      <c r="C2476" s="48" t="n"/>
      <c r="D2476" s="48" t="n"/>
      <c r="E2476" s="48" t="n"/>
      <c r="F2476" s="48" t="n"/>
      <c r="G2476" s="48" t="n"/>
      <c r="H2476" s="48" t="n"/>
      <c r="I2476" s="49" t="n"/>
      <c r="J2476" s="50" t="n"/>
      <c r="K2476" s="48" t="n"/>
      <c r="L2476" s="51">
        <f>IF(A2476="","",DATE(YEAR(A2476),MONTH(A2476),1))</f>
        <v/>
      </c>
      <c r="M2476" s="52">
        <f>IF(OR(A2476="",NOT(ISNUMBER(I2476))),"",IF(G2476=Lists!$B$5,I2476/2,IF(G2476=Lists!$B$6,I2476,0)))</f>
        <v/>
      </c>
      <c r="N2476" s="52">
        <f>IF(OR(A2476="",NOT(ISNUMBER(I2476))),"",IF(G2476=Lists!$B$5,I2476/2,IF(G2476=Lists!$B$7,I2476,0)))</f>
        <v/>
      </c>
      <c r="O2476" s="53">
        <f>IF(COUNTA(A2476:K2476)=0,"",IF(OR(A2476="",B2476="",C2476="",D2476="",E2476="",F2476="",G2476="",NOT(ISNUMBER(I2476))),"Incomplete",IF(COUNTIF(Lists!$H$4:$AA$4,C2476)=0,"Check category",IF(COUNTIF(INDEX(Lists!$H$6:$AA$45,0,MATCH(C2476,Lists!$H$4:$AA$4,0)),D2476)=0,"Check sub-category","OK"))))</f>
        <v/>
      </c>
      <c r="P2476">
        <f>IF(ISNUMBER(I2476),I2476+ROW()/10000000,"")</f>
        <v/>
      </c>
      <c r="Q2476">
        <f>IF(AND(ISNUMBER(P2476),ISNUMBER(A2476)),IF(AND(A2476&gt;=Dashboard!$Q$3,A2476&lt;=Dashboard!$Q$4,OR(J2476&lt;&gt;"Yes",Dashboard!$Q$15="Yes")),P2476,""),"")</f>
        <v/>
      </c>
    </row>
    <row r="2477">
      <c r="A2477" s="47" t="n"/>
      <c r="B2477" s="48" t="n"/>
      <c r="C2477" s="48" t="n"/>
      <c r="D2477" s="48" t="n"/>
      <c r="E2477" s="48" t="n"/>
      <c r="F2477" s="48" t="n"/>
      <c r="G2477" s="48" t="n"/>
      <c r="H2477" s="48" t="n"/>
      <c r="I2477" s="49" t="n"/>
      <c r="J2477" s="50" t="n"/>
      <c r="K2477" s="48" t="n"/>
      <c r="L2477" s="51">
        <f>IF(A2477="","",DATE(YEAR(A2477),MONTH(A2477),1))</f>
        <v/>
      </c>
      <c r="M2477" s="52">
        <f>IF(OR(A2477="",NOT(ISNUMBER(I2477))),"",IF(G2477=Lists!$B$5,I2477/2,IF(G2477=Lists!$B$6,I2477,0)))</f>
        <v/>
      </c>
      <c r="N2477" s="52">
        <f>IF(OR(A2477="",NOT(ISNUMBER(I2477))),"",IF(G2477=Lists!$B$5,I2477/2,IF(G2477=Lists!$B$7,I2477,0)))</f>
        <v/>
      </c>
      <c r="O2477" s="53">
        <f>IF(COUNTA(A2477:K2477)=0,"",IF(OR(A2477="",B2477="",C2477="",D2477="",E2477="",F2477="",G2477="",NOT(ISNUMBER(I2477))),"Incomplete",IF(COUNTIF(Lists!$H$4:$AA$4,C2477)=0,"Check category",IF(COUNTIF(INDEX(Lists!$H$6:$AA$45,0,MATCH(C2477,Lists!$H$4:$AA$4,0)),D2477)=0,"Check sub-category","OK"))))</f>
        <v/>
      </c>
      <c r="P2477">
        <f>IF(ISNUMBER(I2477),I2477+ROW()/10000000,"")</f>
        <v/>
      </c>
      <c r="Q2477">
        <f>IF(AND(ISNUMBER(P2477),ISNUMBER(A2477)),IF(AND(A2477&gt;=Dashboard!$Q$3,A2477&lt;=Dashboard!$Q$4,OR(J2477&lt;&gt;"Yes",Dashboard!$Q$15="Yes")),P2477,""),"")</f>
        <v/>
      </c>
    </row>
    <row r="2478">
      <c r="A2478" s="47" t="n"/>
      <c r="B2478" s="48" t="n"/>
      <c r="C2478" s="48" t="n"/>
      <c r="D2478" s="48" t="n"/>
      <c r="E2478" s="48" t="n"/>
      <c r="F2478" s="48" t="n"/>
      <c r="G2478" s="48" t="n"/>
      <c r="H2478" s="48" t="n"/>
      <c r="I2478" s="49" t="n"/>
      <c r="J2478" s="50" t="n"/>
      <c r="K2478" s="48" t="n"/>
      <c r="L2478" s="51">
        <f>IF(A2478="","",DATE(YEAR(A2478),MONTH(A2478),1))</f>
        <v/>
      </c>
      <c r="M2478" s="52">
        <f>IF(OR(A2478="",NOT(ISNUMBER(I2478))),"",IF(G2478=Lists!$B$5,I2478/2,IF(G2478=Lists!$B$6,I2478,0)))</f>
        <v/>
      </c>
      <c r="N2478" s="52">
        <f>IF(OR(A2478="",NOT(ISNUMBER(I2478))),"",IF(G2478=Lists!$B$5,I2478/2,IF(G2478=Lists!$B$7,I2478,0)))</f>
        <v/>
      </c>
      <c r="O2478" s="53">
        <f>IF(COUNTA(A2478:K2478)=0,"",IF(OR(A2478="",B2478="",C2478="",D2478="",E2478="",F2478="",G2478="",NOT(ISNUMBER(I2478))),"Incomplete",IF(COUNTIF(Lists!$H$4:$AA$4,C2478)=0,"Check category",IF(COUNTIF(INDEX(Lists!$H$6:$AA$45,0,MATCH(C2478,Lists!$H$4:$AA$4,0)),D2478)=0,"Check sub-category","OK"))))</f>
        <v/>
      </c>
      <c r="P2478">
        <f>IF(ISNUMBER(I2478),I2478+ROW()/10000000,"")</f>
        <v/>
      </c>
      <c r="Q2478">
        <f>IF(AND(ISNUMBER(P2478),ISNUMBER(A2478)),IF(AND(A2478&gt;=Dashboard!$Q$3,A2478&lt;=Dashboard!$Q$4,OR(J2478&lt;&gt;"Yes",Dashboard!$Q$15="Yes")),P2478,""),"")</f>
        <v/>
      </c>
    </row>
    <row r="2479">
      <c r="A2479" s="47" t="n"/>
      <c r="B2479" s="48" t="n"/>
      <c r="C2479" s="48" t="n"/>
      <c r="D2479" s="48" t="n"/>
      <c r="E2479" s="48" t="n"/>
      <c r="F2479" s="48" t="n"/>
      <c r="G2479" s="48" t="n"/>
      <c r="H2479" s="48" t="n"/>
      <c r="I2479" s="49" t="n"/>
      <c r="J2479" s="50" t="n"/>
      <c r="K2479" s="48" t="n"/>
      <c r="L2479" s="51">
        <f>IF(A2479="","",DATE(YEAR(A2479),MONTH(A2479),1))</f>
        <v/>
      </c>
      <c r="M2479" s="52">
        <f>IF(OR(A2479="",NOT(ISNUMBER(I2479))),"",IF(G2479=Lists!$B$5,I2479/2,IF(G2479=Lists!$B$6,I2479,0)))</f>
        <v/>
      </c>
      <c r="N2479" s="52">
        <f>IF(OR(A2479="",NOT(ISNUMBER(I2479))),"",IF(G2479=Lists!$B$5,I2479/2,IF(G2479=Lists!$B$7,I2479,0)))</f>
        <v/>
      </c>
      <c r="O2479" s="53">
        <f>IF(COUNTA(A2479:K2479)=0,"",IF(OR(A2479="",B2479="",C2479="",D2479="",E2479="",F2479="",G2479="",NOT(ISNUMBER(I2479))),"Incomplete",IF(COUNTIF(Lists!$H$4:$AA$4,C2479)=0,"Check category",IF(COUNTIF(INDEX(Lists!$H$6:$AA$45,0,MATCH(C2479,Lists!$H$4:$AA$4,0)),D2479)=0,"Check sub-category","OK"))))</f>
        <v/>
      </c>
      <c r="P2479">
        <f>IF(ISNUMBER(I2479),I2479+ROW()/10000000,"")</f>
        <v/>
      </c>
      <c r="Q2479">
        <f>IF(AND(ISNUMBER(P2479),ISNUMBER(A2479)),IF(AND(A2479&gt;=Dashboard!$Q$3,A2479&lt;=Dashboard!$Q$4,OR(J2479&lt;&gt;"Yes",Dashboard!$Q$15="Yes")),P2479,""),"")</f>
        <v/>
      </c>
    </row>
    <row r="2480">
      <c r="A2480" s="47" t="n"/>
      <c r="B2480" s="48" t="n"/>
      <c r="C2480" s="48" t="n"/>
      <c r="D2480" s="48" t="n"/>
      <c r="E2480" s="48" t="n"/>
      <c r="F2480" s="48" t="n"/>
      <c r="G2480" s="48" t="n"/>
      <c r="H2480" s="48" t="n"/>
      <c r="I2480" s="49" t="n"/>
      <c r="J2480" s="50" t="n"/>
      <c r="K2480" s="48" t="n"/>
      <c r="L2480" s="51">
        <f>IF(A2480="","",DATE(YEAR(A2480),MONTH(A2480),1))</f>
        <v/>
      </c>
      <c r="M2480" s="52">
        <f>IF(OR(A2480="",NOT(ISNUMBER(I2480))),"",IF(G2480=Lists!$B$5,I2480/2,IF(G2480=Lists!$B$6,I2480,0)))</f>
        <v/>
      </c>
      <c r="N2480" s="52">
        <f>IF(OR(A2480="",NOT(ISNUMBER(I2480))),"",IF(G2480=Lists!$B$5,I2480/2,IF(G2480=Lists!$B$7,I2480,0)))</f>
        <v/>
      </c>
      <c r="O2480" s="53">
        <f>IF(COUNTA(A2480:K2480)=0,"",IF(OR(A2480="",B2480="",C2480="",D2480="",E2480="",F2480="",G2480="",NOT(ISNUMBER(I2480))),"Incomplete",IF(COUNTIF(Lists!$H$4:$AA$4,C2480)=0,"Check category",IF(COUNTIF(INDEX(Lists!$H$6:$AA$45,0,MATCH(C2480,Lists!$H$4:$AA$4,0)),D2480)=0,"Check sub-category","OK"))))</f>
        <v/>
      </c>
      <c r="P2480">
        <f>IF(ISNUMBER(I2480),I2480+ROW()/10000000,"")</f>
        <v/>
      </c>
      <c r="Q2480">
        <f>IF(AND(ISNUMBER(P2480),ISNUMBER(A2480)),IF(AND(A2480&gt;=Dashboard!$Q$3,A2480&lt;=Dashboard!$Q$4,OR(J2480&lt;&gt;"Yes",Dashboard!$Q$15="Yes")),P2480,""),"")</f>
        <v/>
      </c>
    </row>
    <row r="2481">
      <c r="A2481" s="47" t="n"/>
      <c r="B2481" s="48" t="n"/>
      <c r="C2481" s="48" t="n"/>
      <c r="D2481" s="48" t="n"/>
      <c r="E2481" s="48" t="n"/>
      <c r="F2481" s="48" t="n"/>
      <c r="G2481" s="48" t="n"/>
      <c r="H2481" s="48" t="n"/>
      <c r="I2481" s="49" t="n"/>
      <c r="J2481" s="50" t="n"/>
      <c r="K2481" s="48" t="n"/>
      <c r="L2481" s="51">
        <f>IF(A2481="","",DATE(YEAR(A2481),MONTH(A2481),1))</f>
        <v/>
      </c>
      <c r="M2481" s="52">
        <f>IF(OR(A2481="",NOT(ISNUMBER(I2481))),"",IF(G2481=Lists!$B$5,I2481/2,IF(G2481=Lists!$B$6,I2481,0)))</f>
        <v/>
      </c>
      <c r="N2481" s="52">
        <f>IF(OR(A2481="",NOT(ISNUMBER(I2481))),"",IF(G2481=Lists!$B$5,I2481/2,IF(G2481=Lists!$B$7,I2481,0)))</f>
        <v/>
      </c>
      <c r="O2481" s="53">
        <f>IF(COUNTA(A2481:K2481)=0,"",IF(OR(A2481="",B2481="",C2481="",D2481="",E2481="",F2481="",G2481="",NOT(ISNUMBER(I2481))),"Incomplete",IF(COUNTIF(Lists!$H$4:$AA$4,C2481)=0,"Check category",IF(COUNTIF(INDEX(Lists!$H$6:$AA$45,0,MATCH(C2481,Lists!$H$4:$AA$4,0)),D2481)=0,"Check sub-category","OK"))))</f>
        <v/>
      </c>
      <c r="P2481">
        <f>IF(ISNUMBER(I2481),I2481+ROW()/10000000,"")</f>
        <v/>
      </c>
      <c r="Q2481">
        <f>IF(AND(ISNUMBER(P2481),ISNUMBER(A2481)),IF(AND(A2481&gt;=Dashboard!$Q$3,A2481&lt;=Dashboard!$Q$4,OR(J2481&lt;&gt;"Yes",Dashboard!$Q$15="Yes")),P2481,""),"")</f>
        <v/>
      </c>
    </row>
    <row r="2482">
      <c r="A2482" s="47" t="n"/>
      <c r="B2482" s="48" t="n"/>
      <c r="C2482" s="48" t="n"/>
      <c r="D2482" s="48" t="n"/>
      <c r="E2482" s="48" t="n"/>
      <c r="F2482" s="48" t="n"/>
      <c r="G2482" s="48" t="n"/>
      <c r="H2482" s="48" t="n"/>
      <c r="I2482" s="49" t="n"/>
      <c r="J2482" s="50" t="n"/>
      <c r="K2482" s="48" t="n"/>
      <c r="L2482" s="51">
        <f>IF(A2482="","",DATE(YEAR(A2482),MONTH(A2482),1))</f>
        <v/>
      </c>
      <c r="M2482" s="52">
        <f>IF(OR(A2482="",NOT(ISNUMBER(I2482))),"",IF(G2482=Lists!$B$5,I2482/2,IF(G2482=Lists!$B$6,I2482,0)))</f>
        <v/>
      </c>
      <c r="N2482" s="52">
        <f>IF(OR(A2482="",NOT(ISNUMBER(I2482))),"",IF(G2482=Lists!$B$5,I2482/2,IF(G2482=Lists!$B$7,I2482,0)))</f>
        <v/>
      </c>
      <c r="O2482" s="53">
        <f>IF(COUNTA(A2482:K2482)=0,"",IF(OR(A2482="",B2482="",C2482="",D2482="",E2482="",F2482="",G2482="",NOT(ISNUMBER(I2482))),"Incomplete",IF(COUNTIF(Lists!$H$4:$AA$4,C2482)=0,"Check category",IF(COUNTIF(INDEX(Lists!$H$6:$AA$45,0,MATCH(C2482,Lists!$H$4:$AA$4,0)),D2482)=0,"Check sub-category","OK"))))</f>
        <v/>
      </c>
      <c r="P2482">
        <f>IF(ISNUMBER(I2482),I2482+ROW()/10000000,"")</f>
        <v/>
      </c>
      <c r="Q2482">
        <f>IF(AND(ISNUMBER(P2482),ISNUMBER(A2482)),IF(AND(A2482&gt;=Dashboard!$Q$3,A2482&lt;=Dashboard!$Q$4,OR(J2482&lt;&gt;"Yes",Dashboard!$Q$15="Yes")),P2482,""),"")</f>
        <v/>
      </c>
    </row>
    <row r="2483">
      <c r="A2483" s="47" t="n"/>
      <c r="B2483" s="48" t="n"/>
      <c r="C2483" s="48" t="n"/>
      <c r="D2483" s="48" t="n"/>
      <c r="E2483" s="48" t="n"/>
      <c r="F2483" s="48" t="n"/>
      <c r="G2483" s="48" t="n"/>
      <c r="H2483" s="48" t="n"/>
      <c r="I2483" s="49" t="n"/>
      <c r="J2483" s="50" t="n"/>
      <c r="K2483" s="48" t="n"/>
      <c r="L2483" s="51">
        <f>IF(A2483="","",DATE(YEAR(A2483),MONTH(A2483),1))</f>
        <v/>
      </c>
      <c r="M2483" s="52">
        <f>IF(OR(A2483="",NOT(ISNUMBER(I2483))),"",IF(G2483=Lists!$B$5,I2483/2,IF(G2483=Lists!$B$6,I2483,0)))</f>
        <v/>
      </c>
      <c r="N2483" s="52">
        <f>IF(OR(A2483="",NOT(ISNUMBER(I2483))),"",IF(G2483=Lists!$B$5,I2483/2,IF(G2483=Lists!$B$7,I2483,0)))</f>
        <v/>
      </c>
      <c r="O2483" s="53">
        <f>IF(COUNTA(A2483:K2483)=0,"",IF(OR(A2483="",B2483="",C2483="",D2483="",E2483="",F2483="",G2483="",NOT(ISNUMBER(I2483))),"Incomplete",IF(COUNTIF(Lists!$H$4:$AA$4,C2483)=0,"Check category",IF(COUNTIF(INDEX(Lists!$H$6:$AA$45,0,MATCH(C2483,Lists!$H$4:$AA$4,0)),D2483)=0,"Check sub-category","OK"))))</f>
        <v/>
      </c>
      <c r="P2483">
        <f>IF(ISNUMBER(I2483),I2483+ROW()/10000000,"")</f>
        <v/>
      </c>
      <c r="Q2483">
        <f>IF(AND(ISNUMBER(P2483),ISNUMBER(A2483)),IF(AND(A2483&gt;=Dashboard!$Q$3,A2483&lt;=Dashboard!$Q$4,OR(J2483&lt;&gt;"Yes",Dashboard!$Q$15="Yes")),P2483,""),"")</f>
        <v/>
      </c>
    </row>
    <row r="2484">
      <c r="A2484" s="47" t="n"/>
      <c r="B2484" s="48" t="n"/>
      <c r="C2484" s="48" t="n"/>
      <c r="D2484" s="48" t="n"/>
      <c r="E2484" s="48" t="n"/>
      <c r="F2484" s="48" t="n"/>
      <c r="G2484" s="48" t="n"/>
      <c r="H2484" s="48" t="n"/>
      <c r="I2484" s="49" t="n"/>
      <c r="J2484" s="50" t="n"/>
      <c r="K2484" s="48" t="n"/>
      <c r="L2484" s="51">
        <f>IF(A2484="","",DATE(YEAR(A2484),MONTH(A2484),1))</f>
        <v/>
      </c>
      <c r="M2484" s="52">
        <f>IF(OR(A2484="",NOT(ISNUMBER(I2484))),"",IF(G2484=Lists!$B$5,I2484/2,IF(G2484=Lists!$B$6,I2484,0)))</f>
        <v/>
      </c>
      <c r="N2484" s="52">
        <f>IF(OR(A2484="",NOT(ISNUMBER(I2484))),"",IF(G2484=Lists!$B$5,I2484/2,IF(G2484=Lists!$B$7,I2484,0)))</f>
        <v/>
      </c>
      <c r="O2484" s="53">
        <f>IF(COUNTA(A2484:K2484)=0,"",IF(OR(A2484="",B2484="",C2484="",D2484="",E2484="",F2484="",G2484="",NOT(ISNUMBER(I2484))),"Incomplete",IF(COUNTIF(Lists!$H$4:$AA$4,C2484)=0,"Check category",IF(COUNTIF(INDEX(Lists!$H$6:$AA$45,0,MATCH(C2484,Lists!$H$4:$AA$4,0)),D2484)=0,"Check sub-category","OK"))))</f>
        <v/>
      </c>
      <c r="P2484">
        <f>IF(ISNUMBER(I2484),I2484+ROW()/10000000,"")</f>
        <v/>
      </c>
      <c r="Q2484">
        <f>IF(AND(ISNUMBER(P2484),ISNUMBER(A2484)),IF(AND(A2484&gt;=Dashboard!$Q$3,A2484&lt;=Dashboard!$Q$4,OR(J2484&lt;&gt;"Yes",Dashboard!$Q$15="Yes")),P2484,""),"")</f>
        <v/>
      </c>
    </row>
    <row r="2485">
      <c r="A2485" s="47" t="n"/>
      <c r="B2485" s="48" t="n"/>
      <c r="C2485" s="48" t="n"/>
      <c r="D2485" s="48" t="n"/>
      <c r="E2485" s="48" t="n"/>
      <c r="F2485" s="48" t="n"/>
      <c r="G2485" s="48" t="n"/>
      <c r="H2485" s="48" t="n"/>
      <c r="I2485" s="49" t="n"/>
      <c r="J2485" s="50" t="n"/>
      <c r="K2485" s="48" t="n"/>
      <c r="L2485" s="51">
        <f>IF(A2485="","",DATE(YEAR(A2485),MONTH(A2485),1))</f>
        <v/>
      </c>
      <c r="M2485" s="52">
        <f>IF(OR(A2485="",NOT(ISNUMBER(I2485))),"",IF(G2485=Lists!$B$5,I2485/2,IF(G2485=Lists!$B$6,I2485,0)))</f>
        <v/>
      </c>
      <c r="N2485" s="52">
        <f>IF(OR(A2485="",NOT(ISNUMBER(I2485))),"",IF(G2485=Lists!$B$5,I2485/2,IF(G2485=Lists!$B$7,I2485,0)))</f>
        <v/>
      </c>
      <c r="O2485" s="53">
        <f>IF(COUNTA(A2485:K2485)=0,"",IF(OR(A2485="",B2485="",C2485="",D2485="",E2485="",F2485="",G2485="",NOT(ISNUMBER(I2485))),"Incomplete",IF(COUNTIF(Lists!$H$4:$AA$4,C2485)=0,"Check category",IF(COUNTIF(INDEX(Lists!$H$6:$AA$45,0,MATCH(C2485,Lists!$H$4:$AA$4,0)),D2485)=0,"Check sub-category","OK"))))</f>
        <v/>
      </c>
      <c r="P2485">
        <f>IF(ISNUMBER(I2485),I2485+ROW()/10000000,"")</f>
        <v/>
      </c>
      <c r="Q2485">
        <f>IF(AND(ISNUMBER(P2485),ISNUMBER(A2485)),IF(AND(A2485&gt;=Dashboard!$Q$3,A2485&lt;=Dashboard!$Q$4,OR(J2485&lt;&gt;"Yes",Dashboard!$Q$15="Yes")),P2485,""),"")</f>
        <v/>
      </c>
    </row>
    <row r="2486">
      <c r="A2486" s="47" t="n"/>
      <c r="B2486" s="48" t="n"/>
      <c r="C2486" s="48" t="n"/>
      <c r="D2486" s="48" t="n"/>
      <c r="E2486" s="48" t="n"/>
      <c r="F2486" s="48" t="n"/>
      <c r="G2486" s="48" t="n"/>
      <c r="H2486" s="48" t="n"/>
      <c r="I2486" s="49" t="n"/>
      <c r="J2486" s="50" t="n"/>
      <c r="K2486" s="48" t="n"/>
      <c r="L2486" s="51">
        <f>IF(A2486="","",DATE(YEAR(A2486),MONTH(A2486),1))</f>
        <v/>
      </c>
      <c r="M2486" s="52">
        <f>IF(OR(A2486="",NOT(ISNUMBER(I2486))),"",IF(G2486=Lists!$B$5,I2486/2,IF(G2486=Lists!$B$6,I2486,0)))</f>
        <v/>
      </c>
      <c r="N2486" s="52">
        <f>IF(OR(A2486="",NOT(ISNUMBER(I2486))),"",IF(G2486=Lists!$B$5,I2486/2,IF(G2486=Lists!$B$7,I2486,0)))</f>
        <v/>
      </c>
      <c r="O2486" s="53">
        <f>IF(COUNTA(A2486:K2486)=0,"",IF(OR(A2486="",B2486="",C2486="",D2486="",E2486="",F2486="",G2486="",NOT(ISNUMBER(I2486))),"Incomplete",IF(COUNTIF(Lists!$H$4:$AA$4,C2486)=0,"Check category",IF(COUNTIF(INDEX(Lists!$H$6:$AA$45,0,MATCH(C2486,Lists!$H$4:$AA$4,0)),D2486)=0,"Check sub-category","OK"))))</f>
        <v/>
      </c>
      <c r="P2486">
        <f>IF(ISNUMBER(I2486),I2486+ROW()/10000000,"")</f>
        <v/>
      </c>
      <c r="Q2486">
        <f>IF(AND(ISNUMBER(P2486),ISNUMBER(A2486)),IF(AND(A2486&gt;=Dashboard!$Q$3,A2486&lt;=Dashboard!$Q$4,OR(J2486&lt;&gt;"Yes",Dashboard!$Q$15="Yes")),P2486,""),"")</f>
        <v/>
      </c>
    </row>
    <row r="2487">
      <c r="A2487" s="47" t="n"/>
      <c r="B2487" s="48" t="n"/>
      <c r="C2487" s="48" t="n"/>
      <c r="D2487" s="48" t="n"/>
      <c r="E2487" s="48" t="n"/>
      <c r="F2487" s="48" t="n"/>
      <c r="G2487" s="48" t="n"/>
      <c r="H2487" s="48" t="n"/>
      <c r="I2487" s="49" t="n"/>
      <c r="J2487" s="50" t="n"/>
      <c r="K2487" s="48" t="n"/>
      <c r="L2487" s="51">
        <f>IF(A2487="","",DATE(YEAR(A2487),MONTH(A2487),1))</f>
        <v/>
      </c>
      <c r="M2487" s="52">
        <f>IF(OR(A2487="",NOT(ISNUMBER(I2487))),"",IF(G2487=Lists!$B$5,I2487/2,IF(G2487=Lists!$B$6,I2487,0)))</f>
        <v/>
      </c>
      <c r="N2487" s="52">
        <f>IF(OR(A2487="",NOT(ISNUMBER(I2487))),"",IF(G2487=Lists!$B$5,I2487/2,IF(G2487=Lists!$B$7,I2487,0)))</f>
        <v/>
      </c>
      <c r="O2487" s="53">
        <f>IF(COUNTA(A2487:K2487)=0,"",IF(OR(A2487="",B2487="",C2487="",D2487="",E2487="",F2487="",G2487="",NOT(ISNUMBER(I2487))),"Incomplete",IF(COUNTIF(Lists!$H$4:$AA$4,C2487)=0,"Check category",IF(COUNTIF(INDEX(Lists!$H$6:$AA$45,0,MATCH(C2487,Lists!$H$4:$AA$4,0)),D2487)=0,"Check sub-category","OK"))))</f>
        <v/>
      </c>
      <c r="P2487">
        <f>IF(ISNUMBER(I2487),I2487+ROW()/10000000,"")</f>
        <v/>
      </c>
      <c r="Q2487">
        <f>IF(AND(ISNUMBER(P2487),ISNUMBER(A2487)),IF(AND(A2487&gt;=Dashboard!$Q$3,A2487&lt;=Dashboard!$Q$4,OR(J2487&lt;&gt;"Yes",Dashboard!$Q$15="Yes")),P2487,""),"")</f>
        <v/>
      </c>
    </row>
    <row r="2488">
      <c r="A2488" s="47" t="n"/>
      <c r="B2488" s="48" t="n"/>
      <c r="C2488" s="48" t="n"/>
      <c r="D2488" s="48" t="n"/>
      <c r="E2488" s="48" t="n"/>
      <c r="F2488" s="48" t="n"/>
      <c r="G2488" s="48" t="n"/>
      <c r="H2488" s="48" t="n"/>
      <c r="I2488" s="49" t="n"/>
      <c r="J2488" s="50" t="n"/>
      <c r="K2488" s="48" t="n"/>
      <c r="L2488" s="51">
        <f>IF(A2488="","",DATE(YEAR(A2488),MONTH(A2488),1))</f>
        <v/>
      </c>
      <c r="M2488" s="52">
        <f>IF(OR(A2488="",NOT(ISNUMBER(I2488))),"",IF(G2488=Lists!$B$5,I2488/2,IF(G2488=Lists!$B$6,I2488,0)))</f>
        <v/>
      </c>
      <c r="N2488" s="52">
        <f>IF(OR(A2488="",NOT(ISNUMBER(I2488))),"",IF(G2488=Lists!$B$5,I2488/2,IF(G2488=Lists!$B$7,I2488,0)))</f>
        <v/>
      </c>
      <c r="O2488" s="53">
        <f>IF(COUNTA(A2488:K2488)=0,"",IF(OR(A2488="",B2488="",C2488="",D2488="",E2488="",F2488="",G2488="",NOT(ISNUMBER(I2488))),"Incomplete",IF(COUNTIF(Lists!$H$4:$AA$4,C2488)=0,"Check category",IF(COUNTIF(INDEX(Lists!$H$6:$AA$45,0,MATCH(C2488,Lists!$H$4:$AA$4,0)),D2488)=0,"Check sub-category","OK"))))</f>
        <v/>
      </c>
      <c r="P2488">
        <f>IF(ISNUMBER(I2488),I2488+ROW()/10000000,"")</f>
        <v/>
      </c>
      <c r="Q2488">
        <f>IF(AND(ISNUMBER(P2488),ISNUMBER(A2488)),IF(AND(A2488&gt;=Dashboard!$Q$3,A2488&lt;=Dashboard!$Q$4,OR(J2488&lt;&gt;"Yes",Dashboard!$Q$15="Yes")),P2488,""),"")</f>
        <v/>
      </c>
    </row>
    <row r="2489">
      <c r="A2489" s="47" t="n"/>
      <c r="B2489" s="48" t="n"/>
      <c r="C2489" s="48" t="n"/>
      <c r="D2489" s="48" t="n"/>
      <c r="E2489" s="48" t="n"/>
      <c r="F2489" s="48" t="n"/>
      <c r="G2489" s="48" t="n"/>
      <c r="H2489" s="48" t="n"/>
      <c r="I2489" s="49" t="n"/>
      <c r="J2489" s="50" t="n"/>
      <c r="K2489" s="48" t="n"/>
      <c r="L2489" s="51">
        <f>IF(A2489="","",DATE(YEAR(A2489),MONTH(A2489),1))</f>
        <v/>
      </c>
      <c r="M2489" s="52">
        <f>IF(OR(A2489="",NOT(ISNUMBER(I2489))),"",IF(G2489=Lists!$B$5,I2489/2,IF(G2489=Lists!$B$6,I2489,0)))</f>
        <v/>
      </c>
      <c r="N2489" s="52">
        <f>IF(OR(A2489="",NOT(ISNUMBER(I2489))),"",IF(G2489=Lists!$B$5,I2489/2,IF(G2489=Lists!$B$7,I2489,0)))</f>
        <v/>
      </c>
      <c r="O2489" s="53">
        <f>IF(COUNTA(A2489:K2489)=0,"",IF(OR(A2489="",B2489="",C2489="",D2489="",E2489="",F2489="",G2489="",NOT(ISNUMBER(I2489))),"Incomplete",IF(COUNTIF(Lists!$H$4:$AA$4,C2489)=0,"Check category",IF(COUNTIF(INDEX(Lists!$H$6:$AA$45,0,MATCH(C2489,Lists!$H$4:$AA$4,0)),D2489)=0,"Check sub-category","OK"))))</f>
        <v/>
      </c>
      <c r="P2489">
        <f>IF(ISNUMBER(I2489),I2489+ROW()/10000000,"")</f>
        <v/>
      </c>
      <c r="Q2489">
        <f>IF(AND(ISNUMBER(P2489),ISNUMBER(A2489)),IF(AND(A2489&gt;=Dashboard!$Q$3,A2489&lt;=Dashboard!$Q$4,OR(J2489&lt;&gt;"Yes",Dashboard!$Q$15="Yes")),P2489,""),"")</f>
        <v/>
      </c>
    </row>
    <row r="2490">
      <c r="A2490" s="47" t="n"/>
      <c r="B2490" s="48" t="n"/>
      <c r="C2490" s="48" t="n"/>
      <c r="D2490" s="48" t="n"/>
      <c r="E2490" s="48" t="n"/>
      <c r="F2490" s="48" t="n"/>
      <c r="G2490" s="48" t="n"/>
      <c r="H2490" s="48" t="n"/>
      <c r="I2490" s="49" t="n"/>
      <c r="J2490" s="50" t="n"/>
      <c r="K2490" s="48" t="n"/>
      <c r="L2490" s="51">
        <f>IF(A2490="","",DATE(YEAR(A2490),MONTH(A2490),1))</f>
        <v/>
      </c>
      <c r="M2490" s="52">
        <f>IF(OR(A2490="",NOT(ISNUMBER(I2490))),"",IF(G2490=Lists!$B$5,I2490/2,IF(G2490=Lists!$B$6,I2490,0)))</f>
        <v/>
      </c>
      <c r="N2490" s="52">
        <f>IF(OR(A2490="",NOT(ISNUMBER(I2490))),"",IF(G2490=Lists!$B$5,I2490/2,IF(G2490=Lists!$B$7,I2490,0)))</f>
        <v/>
      </c>
      <c r="O2490" s="53">
        <f>IF(COUNTA(A2490:K2490)=0,"",IF(OR(A2490="",B2490="",C2490="",D2490="",E2490="",F2490="",G2490="",NOT(ISNUMBER(I2490))),"Incomplete",IF(COUNTIF(Lists!$H$4:$AA$4,C2490)=0,"Check category",IF(COUNTIF(INDEX(Lists!$H$6:$AA$45,0,MATCH(C2490,Lists!$H$4:$AA$4,0)),D2490)=0,"Check sub-category","OK"))))</f>
        <v/>
      </c>
      <c r="P2490">
        <f>IF(ISNUMBER(I2490),I2490+ROW()/10000000,"")</f>
        <v/>
      </c>
      <c r="Q2490">
        <f>IF(AND(ISNUMBER(P2490),ISNUMBER(A2490)),IF(AND(A2490&gt;=Dashboard!$Q$3,A2490&lt;=Dashboard!$Q$4,OR(J2490&lt;&gt;"Yes",Dashboard!$Q$15="Yes")),P2490,""),"")</f>
        <v/>
      </c>
    </row>
    <row r="2491">
      <c r="A2491" s="47" t="n"/>
      <c r="B2491" s="48" t="n"/>
      <c r="C2491" s="48" t="n"/>
      <c r="D2491" s="48" t="n"/>
      <c r="E2491" s="48" t="n"/>
      <c r="F2491" s="48" t="n"/>
      <c r="G2491" s="48" t="n"/>
      <c r="H2491" s="48" t="n"/>
      <c r="I2491" s="49" t="n"/>
      <c r="J2491" s="50" t="n"/>
      <c r="K2491" s="48" t="n"/>
      <c r="L2491" s="51">
        <f>IF(A2491="","",DATE(YEAR(A2491),MONTH(A2491),1))</f>
        <v/>
      </c>
      <c r="M2491" s="52">
        <f>IF(OR(A2491="",NOT(ISNUMBER(I2491))),"",IF(G2491=Lists!$B$5,I2491/2,IF(G2491=Lists!$B$6,I2491,0)))</f>
        <v/>
      </c>
      <c r="N2491" s="52">
        <f>IF(OR(A2491="",NOT(ISNUMBER(I2491))),"",IF(G2491=Lists!$B$5,I2491/2,IF(G2491=Lists!$B$7,I2491,0)))</f>
        <v/>
      </c>
      <c r="O2491" s="53">
        <f>IF(COUNTA(A2491:K2491)=0,"",IF(OR(A2491="",B2491="",C2491="",D2491="",E2491="",F2491="",G2491="",NOT(ISNUMBER(I2491))),"Incomplete",IF(COUNTIF(Lists!$H$4:$AA$4,C2491)=0,"Check category",IF(COUNTIF(INDEX(Lists!$H$6:$AA$45,0,MATCH(C2491,Lists!$H$4:$AA$4,0)),D2491)=0,"Check sub-category","OK"))))</f>
        <v/>
      </c>
      <c r="P2491">
        <f>IF(ISNUMBER(I2491),I2491+ROW()/10000000,"")</f>
        <v/>
      </c>
      <c r="Q2491">
        <f>IF(AND(ISNUMBER(P2491),ISNUMBER(A2491)),IF(AND(A2491&gt;=Dashboard!$Q$3,A2491&lt;=Dashboard!$Q$4,OR(J2491&lt;&gt;"Yes",Dashboard!$Q$15="Yes")),P2491,""),"")</f>
        <v/>
      </c>
    </row>
    <row r="2492">
      <c r="A2492" s="47" t="n"/>
      <c r="B2492" s="48" t="n"/>
      <c r="C2492" s="48" t="n"/>
      <c r="D2492" s="48" t="n"/>
      <c r="E2492" s="48" t="n"/>
      <c r="F2492" s="48" t="n"/>
      <c r="G2492" s="48" t="n"/>
      <c r="H2492" s="48" t="n"/>
      <c r="I2492" s="49" t="n"/>
      <c r="J2492" s="50" t="n"/>
      <c r="K2492" s="48" t="n"/>
      <c r="L2492" s="51">
        <f>IF(A2492="","",DATE(YEAR(A2492),MONTH(A2492),1))</f>
        <v/>
      </c>
      <c r="M2492" s="52">
        <f>IF(OR(A2492="",NOT(ISNUMBER(I2492))),"",IF(G2492=Lists!$B$5,I2492/2,IF(G2492=Lists!$B$6,I2492,0)))</f>
        <v/>
      </c>
      <c r="N2492" s="52">
        <f>IF(OR(A2492="",NOT(ISNUMBER(I2492))),"",IF(G2492=Lists!$B$5,I2492/2,IF(G2492=Lists!$B$7,I2492,0)))</f>
        <v/>
      </c>
      <c r="O2492" s="53">
        <f>IF(COUNTA(A2492:K2492)=0,"",IF(OR(A2492="",B2492="",C2492="",D2492="",E2492="",F2492="",G2492="",NOT(ISNUMBER(I2492))),"Incomplete",IF(COUNTIF(Lists!$H$4:$AA$4,C2492)=0,"Check category",IF(COUNTIF(INDEX(Lists!$H$6:$AA$45,0,MATCH(C2492,Lists!$H$4:$AA$4,0)),D2492)=0,"Check sub-category","OK"))))</f>
        <v/>
      </c>
      <c r="P2492">
        <f>IF(ISNUMBER(I2492),I2492+ROW()/10000000,"")</f>
        <v/>
      </c>
      <c r="Q2492">
        <f>IF(AND(ISNUMBER(P2492),ISNUMBER(A2492)),IF(AND(A2492&gt;=Dashboard!$Q$3,A2492&lt;=Dashboard!$Q$4,OR(J2492&lt;&gt;"Yes",Dashboard!$Q$15="Yes")),P2492,""),"")</f>
        <v/>
      </c>
    </row>
    <row r="2493">
      <c r="A2493" s="47" t="n"/>
      <c r="B2493" s="48" t="n"/>
      <c r="C2493" s="48" t="n"/>
      <c r="D2493" s="48" t="n"/>
      <c r="E2493" s="48" t="n"/>
      <c r="F2493" s="48" t="n"/>
      <c r="G2493" s="48" t="n"/>
      <c r="H2493" s="48" t="n"/>
      <c r="I2493" s="49" t="n"/>
      <c r="J2493" s="50" t="n"/>
      <c r="K2493" s="48" t="n"/>
      <c r="L2493" s="51">
        <f>IF(A2493="","",DATE(YEAR(A2493),MONTH(A2493),1))</f>
        <v/>
      </c>
      <c r="M2493" s="52">
        <f>IF(OR(A2493="",NOT(ISNUMBER(I2493))),"",IF(G2493=Lists!$B$5,I2493/2,IF(G2493=Lists!$B$6,I2493,0)))</f>
        <v/>
      </c>
      <c r="N2493" s="52">
        <f>IF(OR(A2493="",NOT(ISNUMBER(I2493))),"",IF(G2493=Lists!$B$5,I2493/2,IF(G2493=Lists!$B$7,I2493,0)))</f>
        <v/>
      </c>
      <c r="O2493" s="53">
        <f>IF(COUNTA(A2493:K2493)=0,"",IF(OR(A2493="",B2493="",C2493="",D2493="",E2493="",F2493="",G2493="",NOT(ISNUMBER(I2493))),"Incomplete",IF(COUNTIF(Lists!$H$4:$AA$4,C2493)=0,"Check category",IF(COUNTIF(INDEX(Lists!$H$6:$AA$45,0,MATCH(C2493,Lists!$H$4:$AA$4,0)),D2493)=0,"Check sub-category","OK"))))</f>
        <v/>
      </c>
      <c r="P2493">
        <f>IF(ISNUMBER(I2493),I2493+ROW()/10000000,"")</f>
        <v/>
      </c>
      <c r="Q2493">
        <f>IF(AND(ISNUMBER(P2493),ISNUMBER(A2493)),IF(AND(A2493&gt;=Dashboard!$Q$3,A2493&lt;=Dashboard!$Q$4,OR(J2493&lt;&gt;"Yes",Dashboard!$Q$15="Yes")),P2493,""),"")</f>
        <v/>
      </c>
    </row>
    <row r="2494">
      <c r="A2494" s="47" t="n"/>
      <c r="B2494" s="48" t="n"/>
      <c r="C2494" s="48" t="n"/>
      <c r="D2494" s="48" t="n"/>
      <c r="E2494" s="48" t="n"/>
      <c r="F2494" s="48" t="n"/>
      <c r="G2494" s="48" t="n"/>
      <c r="H2494" s="48" t="n"/>
      <c r="I2494" s="49" t="n"/>
      <c r="J2494" s="50" t="n"/>
      <c r="K2494" s="48" t="n"/>
      <c r="L2494" s="51">
        <f>IF(A2494="","",DATE(YEAR(A2494),MONTH(A2494),1))</f>
        <v/>
      </c>
      <c r="M2494" s="52">
        <f>IF(OR(A2494="",NOT(ISNUMBER(I2494))),"",IF(G2494=Lists!$B$5,I2494/2,IF(G2494=Lists!$B$6,I2494,0)))</f>
        <v/>
      </c>
      <c r="N2494" s="52">
        <f>IF(OR(A2494="",NOT(ISNUMBER(I2494))),"",IF(G2494=Lists!$B$5,I2494/2,IF(G2494=Lists!$B$7,I2494,0)))</f>
        <v/>
      </c>
      <c r="O2494" s="53">
        <f>IF(COUNTA(A2494:K2494)=0,"",IF(OR(A2494="",B2494="",C2494="",D2494="",E2494="",F2494="",G2494="",NOT(ISNUMBER(I2494))),"Incomplete",IF(COUNTIF(Lists!$H$4:$AA$4,C2494)=0,"Check category",IF(COUNTIF(INDEX(Lists!$H$6:$AA$45,0,MATCH(C2494,Lists!$H$4:$AA$4,0)),D2494)=0,"Check sub-category","OK"))))</f>
        <v/>
      </c>
      <c r="P2494">
        <f>IF(ISNUMBER(I2494),I2494+ROW()/10000000,"")</f>
        <v/>
      </c>
      <c r="Q2494">
        <f>IF(AND(ISNUMBER(P2494),ISNUMBER(A2494)),IF(AND(A2494&gt;=Dashboard!$Q$3,A2494&lt;=Dashboard!$Q$4,OR(J2494&lt;&gt;"Yes",Dashboard!$Q$15="Yes")),P2494,""),"")</f>
        <v/>
      </c>
    </row>
    <row r="2495">
      <c r="A2495" s="47" t="n"/>
      <c r="B2495" s="48" t="n"/>
      <c r="C2495" s="48" t="n"/>
      <c r="D2495" s="48" t="n"/>
      <c r="E2495" s="48" t="n"/>
      <c r="F2495" s="48" t="n"/>
      <c r="G2495" s="48" t="n"/>
      <c r="H2495" s="48" t="n"/>
      <c r="I2495" s="49" t="n"/>
      <c r="J2495" s="50" t="n"/>
      <c r="K2495" s="48" t="n"/>
      <c r="L2495" s="51">
        <f>IF(A2495="","",DATE(YEAR(A2495),MONTH(A2495),1))</f>
        <v/>
      </c>
      <c r="M2495" s="52">
        <f>IF(OR(A2495="",NOT(ISNUMBER(I2495))),"",IF(G2495=Lists!$B$5,I2495/2,IF(G2495=Lists!$B$6,I2495,0)))</f>
        <v/>
      </c>
      <c r="N2495" s="52">
        <f>IF(OR(A2495="",NOT(ISNUMBER(I2495))),"",IF(G2495=Lists!$B$5,I2495/2,IF(G2495=Lists!$B$7,I2495,0)))</f>
        <v/>
      </c>
      <c r="O2495" s="53">
        <f>IF(COUNTA(A2495:K2495)=0,"",IF(OR(A2495="",B2495="",C2495="",D2495="",E2495="",F2495="",G2495="",NOT(ISNUMBER(I2495))),"Incomplete",IF(COUNTIF(Lists!$H$4:$AA$4,C2495)=0,"Check category",IF(COUNTIF(INDEX(Lists!$H$6:$AA$45,0,MATCH(C2495,Lists!$H$4:$AA$4,0)),D2495)=0,"Check sub-category","OK"))))</f>
        <v/>
      </c>
      <c r="P2495">
        <f>IF(ISNUMBER(I2495),I2495+ROW()/10000000,"")</f>
        <v/>
      </c>
      <c r="Q2495">
        <f>IF(AND(ISNUMBER(P2495),ISNUMBER(A2495)),IF(AND(A2495&gt;=Dashboard!$Q$3,A2495&lt;=Dashboard!$Q$4,OR(J2495&lt;&gt;"Yes",Dashboard!$Q$15="Yes")),P2495,""),"")</f>
        <v/>
      </c>
    </row>
    <row r="2496">
      <c r="A2496" s="47" t="n"/>
      <c r="B2496" s="48" t="n"/>
      <c r="C2496" s="48" t="n"/>
      <c r="D2496" s="48" t="n"/>
      <c r="E2496" s="48" t="n"/>
      <c r="F2496" s="48" t="n"/>
      <c r="G2496" s="48" t="n"/>
      <c r="H2496" s="48" t="n"/>
      <c r="I2496" s="49" t="n"/>
      <c r="J2496" s="50" t="n"/>
      <c r="K2496" s="48" t="n"/>
      <c r="L2496" s="51">
        <f>IF(A2496="","",DATE(YEAR(A2496),MONTH(A2496),1))</f>
        <v/>
      </c>
      <c r="M2496" s="52">
        <f>IF(OR(A2496="",NOT(ISNUMBER(I2496))),"",IF(G2496=Lists!$B$5,I2496/2,IF(G2496=Lists!$B$6,I2496,0)))</f>
        <v/>
      </c>
      <c r="N2496" s="52">
        <f>IF(OR(A2496="",NOT(ISNUMBER(I2496))),"",IF(G2496=Lists!$B$5,I2496/2,IF(G2496=Lists!$B$7,I2496,0)))</f>
        <v/>
      </c>
      <c r="O2496" s="53">
        <f>IF(COUNTA(A2496:K2496)=0,"",IF(OR(A2496="",B2496="",C2496="",D2496="",E2496="",F2496="",G2496="",NOT(ISNUMBER(I2496))),"Incomplete",IF(COUNTIF(Lists!$H$4:$AA$4,C2496)=0,"Check category",IF(COUNTIF(INDEX(Lists!$H$6:$AA$45,0,MATCH(C2496,Lists!$H$4:$AA$4,0)),D2496)=0,"Check sub-category","OK"))))</f>
        <v/>
      </c>
      <c r="P2496">
        <f>IF(ISNUMBER(I2496),I2496+ROW()/10000000,"")</f>
        <v/>
      </c>
      <c r="Q2496">
        <f>IF(AND(ISNUMBER(P2496),ISNUMBER(A2496)),IF(AND(A2496&gt;=Dashboard!$Q$3,A2496&lt;=Dashboard!$Q$4,OR(J2496&lt;&gt;"Yes",Dashboard!$Q$15="Yes")),P2496,""),"")</f>
        <v/>
      </c>
    </row>
    <row r="2497">
      <c r="A2497" s="47" t="n"/>
      <c r="B2497" s="48" t="n"/>
      <c r="C2497" s="48" t="n"/>
      <c r="D2497" s="48" t="n"/>
      <c r="E2497" s="48" t="n"/>
      <c r="F2497" s="48" t="n"/>
      <c r="G2497" s="48" t="n"/>
      <c r="H2497" s="48" t="n"/>
      <c r="I2497" s="49" t="n"/>
      <c r="J2497" s="50" t="n"/>
      <c r="K2497" s="48" t="n"/>
      <c r="L2497" s="51">
        <f>IF(A2497="","",DATE(YEAR(A2497),MONTH(A2497),1))</f>
        <v/>
      </c>
      <c r="M2497" s="52">
        <f>IF(OR(A2497="",NOT(ISNUMBER(I2497))),"",IF(G2497=Lists!$B$5,I2497/2,IF(G2497=Lists!$B$6,I2497,0)))</f>
        <v/>
      </c>
      <c r="N2497" s="52">
        <f>IF(OR(A2497="",NOT(ISNUMBER(I2497))),"",IF(G2497=Lists!$B$5,I2497/2,IF(G2497=Lists!$B$7,I2497,0)))</f>
        <v/>
      </c>
      <c r="O2497" s="53">
        <f>IF(COUNTA(A2497:K2497)=0,"",IF(OR(A2497="",B2497="",C2497="",D2497="",E2497="",F2497="",G2497="",NOT(ISNUMBER(I2497))),"Incomplete",IF(COUNTIF(Lists!$H$4:$AA$4,C2497)=0,"Check category",IF(COUNTIF(INDEX(Lists!$H$6:$AA$45,0,MATCH(C2497,Lists!$H$4:$AA$4,0)),D2497)=0,"Check sub-category","OK"))))</f>
        <v/>
      </c>
      <c r="P2497">
        <f>IF(ISNUMBER(I2497),I2497+ROW()/10000000,"")</f>
        <v/>
      </c>
      <c r="Q2497">
        <f>IF(AND(ISNUMBER(P2497),ISNUMBER(A2497)),IF(AND(A2497&gt;=Dashboard!$Q$3,A2497&lt;=Dashboard!$Q$4,OR(J2497&lt;&gt;"Yes",Dashboard!$Q$15="Yes")),P2497,""),"")</f>
        <v/>
      </c>
    </row>
    <row r="2498">
      <c r="A2498" s="47" t="n"/>
      <c r="B2498" s="48" t="n"/>
      <c r="C2498" s="48" t="n"/>
      <c r="D2498" s="48" t="n"/>
      <c r="E2498" s="48" t="n"/>
      <c r="F2498" s="48" t="n"/>
      <c r="G2498" s="48" t="n"/>
      <c r="H2498" s="48" t="n"/>
      <c r="I2498" s="49" t="n"/>
      <c r="J2498" s="50" t="n"/>
      <c r="K2498" s="48" t="n"/>
      <c r="L2498" s="51">
        <f>IF(A2498="","",DATE(YEAR(A2498),MONTH(A2498),1))</f>
        <v/>
      </c>
      <c r="M2498" s="52">
        <f>IF(OR(A2498="",NOT(ISNUMBER(I2498))),"",IF(G2498=Lists!$B$5,I2498/2,IF(G2498=Lists!$B$6,I2498,0)))</f>
        <v/>
      </c>
      <c r="N2498" s="52">
        <f>IF(OR(A2498="",NOT(ISNUMBER(I2498))),"",IF(G2498=Lists!$B$5,I2498/2,IF(G2498=Lists!$B$7,I2498,0)))</f>
        <v/>
      </c>
      <c r="O2498" s="53">
        <f>IF(COUNTA(A2498:K2498)=0,"",IF(OR(A2498="",B2498="",C2498="",D2498="",E2498="",F2498="",G2498="",NOT(ISNUMBER(I2498))),"Incomplete",IF(COUNTIF(Lists!$H$4:$AA$4,C2498)=0,"Check category",IF(COUNTIF(INDEX(Lists!$H$6:$AA$45,0,MATCH(C2498,Lists!$H$4:$AA$4,0)),D2498)=0,"Check sub-category","OK"))))</f>
        <v/>
      </c>
      <c r="P2498">
        <f>IF(ISNUMBER(I2498),I2498+ROW()/10000000,"")</f>
        <v/>
      </c>
      <c r="Q2498">
        <f>IF(AND(ISNUMBER(P2498),ISNUMBER(A2498)),IF(AND(A2498&gt;=Dashboard!$Q$3,A2498&lt;=Dashboard!$Q$4,OR(J2498&lt;&gt;"Yes",Dashboard!$Q$15="Yes")),P2498,""),"")</f>
        <v/>
      </c>
    </row>
    <row r="2499">
      <c r="A2499" s="47" t="n"/>
      <c r="B2499" s="48" t="n"/>
      <c r="C2499" s="48" t="n"/>
      <c r="D2499" s="48" t="n"/>
      <c r="E2499" s="48" t="n"/>
      <c r="F2499" s="48" t="n"/>
      <c r="G2499" s="48" t="n"/>
      <c r="H2499" s="48" t="n"/>
      <c r="I2499" s="49" t="n"/>
      <c r="J2499" s="50" t="n"/>
      <c r="K2499" s="48" t="n"/>
      <c r="L2499" s="51">
        <f>IF(A2499="","",DATE(YEAR(A2499),MONTH(A2499),1))</f>
        <v/>
      </c>
      <c r="M2499" s="52">
        <f>IF(OR(A2499="",NOT(ISNUMBER(I2499))),"",IF(G2499=Lists!$B$5,I2499/2,IF(G2499=Lists!$B$6,I2499,0)))</f>
        <v/>
      </c>
      <c r="N2499" s="52">
        <f>IF(OR(A2499="",NOT(ISNUMBER(I2499))),"",IF(G2499=Lists!$B$5,I2499/2,IF(G2499=Lists!$B$7,I2499,0)))</f>
        <v/>
      </c>
      <c r="O2499" s="53">
        <f>IF(COUNTA(A2499:K2499)=0,"",IF(OR(A2499="",B2499="",C2499="",D2499="",E2499="",F2499="",G2499="",NOT(ISNUMBER(I2499))),"Incomplete",IF(COUNTIF(Lists!$H$4:$AA$4,C2499)=0,"Check category",IF(COUNTIF(INDEX(Lists!$H$6:$AA$45,0,MATCH(C2499,Lists!$H$4:$AA$4,0)),D2499)=0,"Check sub-category","OK"))))</f>
        <v/>
      </c>
      <c r="P2499">
        <f>IF(ISNUMBER(I2499),I2499+ROW()/10000000,"")</f>
        <v/>
      </c>
      <c r="Q2499">
        <f>IF(AND(ISNUMBER(P2499),ISNUMBER(A2499)),IF(AND(A2499&gt;=Dashboard!$Q$3,A2499&lt;=Dashboard!$Q$4,OR(J2499&lt;&gt;"Yes",Dashboard!$Q$15="Yes")),P2499,""),"")</f>
        <v/>
      </c>
    </row>
    <row r="2500">
      <c r="A2500" s="47" t="n"/>
      <c r="B2500" s="48" t="n"/>
      <c r="C2500" s="48" t="n"/>
      <c r="D2500" s="48" t="n"/>
      <c r="E2500" s="48" t="n"/>
      <c r="F2500" s="48" t="n"/>
      <c r="G2500" s="48" t="n"/>
      <c r="H2500" s="48" t="n"/>
      <c r="I2500" s="49" t="n"/>
      <c r="J2500" s="50" t="n"/>
      <c r="K2500" s="48" t="n"/>
      <c r="L2500" s="51">
        <f>IF(A2500="","",DATE(YEAR(A2500),MONTH(A2500),1))</f>
        <v/>
      </c>
      <c r="M2500" s="52">
        <f>IF(OR(A2500="",NOT(ISNUMBER(I2500))),"",IF(G2500=Lists!$B$5,I2500/2,IF(G2500=Lists!$B$6,I2500,0)))</f>
        <v/>
      </c>
      <c r="N2500" s="52">
        <f>IF(OR(A2500="",NOT(ISNUMBER(I2500))),"",IF(G2500=Lists!$B$5,I2500/2,IF(G2500=Lists!$B$7,I2500,0)))</f>
        <v/>
      </c>
      <c r="O2500" s="53">
        <f>IF(COUNTA(A2500:K2500)=0,"",IF(OR(A2500="",B2500="",C2500="",D2500="",E2500="",F2500="",G2500="",NOT(ISNUMBER(I2500))),"Incomplete",IF(COUNTIF(Lists!$H$4:$AA$4,C2500)=0,"Check category",IF(COUNTIF(INDEX(Lists!$H$6:$AA$45,0,MATCH(C2500,Lists!$H$4:$AA$4,0)),D2500)=0,"Check sub-category","OK"))))</f>
        <v/>
      </c>
      <c r="P2500">
        <f>IF(ISNUMBER(I2500),I2500+ROW()/10000000,"")</f>
        <v/>
      </c>
      <c r="Q2500">
        <f>IF(AND(ISNUMBER(P2500),ISNUMBER(A2500)),IF(AND(A2500&gt;=Dashboard!$Q$3,A2500&lt;=Dashboard!$Q$4,OR(J2500&lt;&gt;"Yes",Dashboard!$Q$15="Yes")),P2500,""),"")</f>
        <v/>
      </c>
    </row>
    <row r="2501">
      <c r="A2501" s="47" t="n"/>
      <c r="B2501" s="48" t="n"/>
      <c r="C2501" s="48" t="n"/>
      <c r="D2501" s="48" t="n"/>
      <c r="E2501" s="48" t="n"/>
      <c r="F2501" s="48" t="n"/>
      <c r="G2501" s="48" t="n"/>
      <c r="H2501" s="48" t="n"/>
      <c r="I2501" s="49" t="n"/>
      <c r="J2501" s="50" t="n"/>
      <c r="K2501" s="48" t="n"/>
      <c r="L2501" s="51">
        <f>IF(A2501="","",DATE(YEAR(A2501),MONTH(A2501),1))</f>
        <v/>
      </c>
      <c r="M2501" s="52">
        <f>IF(OR(A2501="",NOT(ISNUMBER(I2501))),"",IF(G2501=Lists!$B$5,I2501/2,IF(G2501=Lists!$B$6,I2501,0)))</f>
        <v/>
      </c>
      <c r="N2501" s="52">
        <f>IF(OR(A2501="",NOT(ISNUMBER(I2501))),"",IF(G2501=Lists!$B$5,I2501/2,IF(G2501=Lists!$B$7,I2501,0)))</f>
        <v/>
      </c>
      <c r="O2501" s="53">
        <f>IF(COUNTA(A2501:K2501)=0,"",IF(OR(A2501="",B2501="",C2501="",D2501="",E2501="",F2501="",G2501="",NOT(ISNUMBER(I2501))),"Incomplete",IF(COUNTIF(Lists!$H$4:$AA$4,C2501)=0,"Check category",IF(COUNTIF(INDEX(Lists!$H$6:$AA$45,0,MATCH(C2501,Lists!$H$4:$AA$4,0)),D2501)=0,"Check sub-category","OK"))))</f>
        <v/>
      </c>
      <c r="P2501">
        <f>IF(ISNUMBER(I2501),I2501+ROW()/10000000,"")</f>
        <v/>
      </c>
      <c r="Q2501">
        <f>IF(AND(ISNUMBER(P2501),ISNUMBER(A2501)),IF(AND(A2501&gt;=Dashboard!$Q$3,A2501&lt;=Dashboard!$Q$4,OR(J2501&lt;&gt;"Yes",Dashboard!$Q$15="Yes")),P2501,""),"")</f>
        <v/>
      </c>
    </row>
    <row r="2502">
      <c r="A2502" s="47" t="n"/>
      <c r="B2502" s="48" t="n"/>
      <c r="C2502" s="48" t="n"/>
      <c r="D2502" s="48" t="n"/>
      <c r="E2502" s="48" t="n"/>
      <c r="F2502" s="48" t="n"/>
      <c r="G2502" s="48" t="n"/>
      <c r="H2502" s="48" t="n"/>
      <c r="I2502" s="49" t="n"/>
      <c r="J2502" s="50" t="n"/>
      <c r="K2502" s="48" t="n"/>
      <c r="L2502" s="51">
        <f>IF(A2502="","",DATE(YEAR(A2502),MONTH(A2502),1))</f>
        <v/>
      </c>
      <c r="M2502" s="52">
        <f>IF(OR(A2502="",NOT(ISNUMBER(I2502))),"",IF(G2502=Lists!$B$5,I2502/2,IF(G2502=Lists!$B$6,I2502,0)))</f>
        <v/>
      </c>
      <c r="N2502" s="52">
        <f>IF(OR(A2502="",NOT(ISNUMBER(I2502))),"",IF(G2502=Lists!$B$5,I2502/2,IF(G2502=Lists!$B$7,I2502,0)))</f>
        <v/>
      </c>
      <c r="O2502" s="53">
        <f>IF(COUNTA(A2502:K2502)=0,"",IF(OR(A2502="",B2502="",C2502="",D2502="",E2502="",F2502="",G2502="",NOT(ISNUMBER(I2502))),"Incomplete",IF(COUNTIF(Lists!$H$4:$AA$4,C2502)=0,"Check category",IF(COUNTIF(INDEX(Lists!$H$6:$AA$45,0,MATCH(C2502,Lists!$H$4:$AA$4,0)),D2502)=0,"Check sub-category","OK"))))</f>
        <v/>
      </c>
      <c r="P2502">
        <f>IF(ISNUMBER(I2502),I2502+ROW()/10000000,"")</f>
        <v/>
      </c>
      <c r="Q2502">
        <f>IF(AND(ISNUMBER(P2502),ISNUMBER(A2502)),IF(AND(A2502&gt;=Dashboard!$Q$3,A2502&lt;=Dashboard!$Q$4,OR(J2502&lt;&gt;"Yes",Dashboard!$Q$15="Yes")),P2502,""),"")</f>
        <v/>
      </c>
    </row>
    <row r="2503">
      <c r="A2503" s="47" t="n"/>
      <c r="B2503" s="48" t="n"/>
      <c r="C2503" s="48" t="n"/>
      <c r="D2503" s="48" t="n"/>
      <c r="E2503" s="48" t="n"/>
      <c r="F2503" s="48" t="n"/>
      <c r="G2503" s="48" t="n"/>
      <c r="H2503" s="48" t="n"/>
      <c r="I2503" s="49" t="n"/>
      <c r="J2503" s="50" t="n"/>
      <c r="K2503" s="48" t="n"/>
      <c r="L2503" s="51">
        <f>IF(A2503="","",DATE(YEAR(A2503),MONTH(A2503),1))</f>
        <v/>
      </c>
      <c r="M2503" s="52">
        <f>IF(OR(A2503="",NOT(ISNUMBER(I2503))),"",IF(G2503=Lists!$B$5,I2503/2,IF(G2503=Lists!$B$6,I2503,0)))</f>
        <v/>
      </c>
      <c r="N2503" s="52">
        <f>IF(OR(A2503="",NOT(ISNUMBER(I2503))),"",IF(G2503=Lists!$B$5,I2503/2,IF(G2503=Lists!$B$7,I2503,0)))</f>
        <v/>
      </c>
      <c r="O2503" s="53">
        <f>IF(COUNTA(A2503:K2503)=0,"",IF(OR(A2503="",B2503="",C2503="",D2503="",E2503="",F2503="",G2503="",NOT(ISNUMBER(I2503))),"Incomplete",IF(COUNTIF(Lists!$H$4:$AA$4,C2503)=0,"Check category",IF(COUNTIF(INDEX(Lists!$H$6:$AA$45,0,MATCH(C2503,Lists!$H$4:$AA$4,0)),D2503)=0,"Check sub-category","OK"))))</f>
        <v/>
      </c>
      <c r="P2503">
        <f>IF(ISNUMBER(I2503),I2503+ROW()/10000000,"")</f>
        <v/>
      </c>
      <c r="Q2503">
        <f>IF(AND(ISNUMBER(P2503),ISNUMBER(A2503)),IF(AND(A2503&gt;=Dashboard!$Q$3,A2503&lt;=Dashboard!$Q$4,OR(J2503&lt;&gt;"Yes",Dashboard!$Q$15="Yes")),P2503,""),"")</f>
        <v/>
      </c>
    </row>
    <row r="2504">
      <c r="A2504" s="47" t="n"/>
      <c r="B2504" s="48" t="n"/>
      <c r="C2504" s="48" t="n"/>
      <c r="D2504" s="48" t="n"/>
      <c r="E2504" s="48" t="n"/>
      <c r="F2504" s="48" t="n"/>
      <c r="G2504" s="48" t="n"/>
      <c r="H2504" s="48" t="n"/>
      <c r="I2504" s="49" t="n"/>
      <c r="J2504" s="50" t="n"/>
      <c r="K2504" s="48" t="n"/>
      <c r="L2504" s="51">
        <f>IF(A2504="","",DATE(YEAR(A2504),MONTH(A2504),1))</f>
        <v/>
      </c>
      <c r="M2504" s="52">
        <f>IF(OR(A2504="",NOT(ISNUMBER(I2504))),"",IF(G2504=Lists!$B$5,I2504/2,IF(G2504=Lists!$B$6,I2504,0)))</f>
        <v/>
      </c>
      <c r="N2504" s="52">
        <f>IF(OR(A2504="",NOT(ISNUMBER(I2504))),"",IF(G2504=Lists!$B$5,I2504/2,IF(G2504=Lists!$B$7,I2504,0)))</f>
        <v/>
      </c>
      <c r="O2504" s="53">
        <f>IF(COUNTA(A2504:K2504)=0,"",IF(OR(A2504="",B2504="",C2504="",D2504="",E2504="",F2504="",G2504="",NOT(ISNUMBER(I2504))),"Incomplete",IF(COUNTIF(Lists!$H$4:$AA$4,C2504)=0,"Check category",IF(COUNTIF(INDEX(Lists!$H$6:$AA$45,0,MATCH(C2504,Lists!$H$4:$AA$4,0)),D2504)=0,"Check sub-category","OK"))))</f>
        <v/>
      </c>
      <c r="P2504">
        <f>IF(ISNUMBER(I2504),I2504+ROW()/10000000,"")</f>
        <v/>
      </c>
      <c r="Q2504">
        <f>IF(AND(ISNUMBER(P2504),ISNUMBER(A2504)),IF(AND(A2504&gt;=Dashboard!$Q$3,A2504&lt;=Dashboard!$Q$4,OR(J2504&lt;&gt;"Yes",Dashboard!$Q$15="Yes")),P2504,""),"")</f>
        <v/>
      </c>
    </row>
    <row r="2505">
      <c r="A2505" s="47" t="n"/>
      <c r="B2505" s="48" t="n"/>
      <c r="C2505" s="48" t="n"/>
      <c r="D2505" s="48" t="n"/>
      <c r="E2505" s="48" t="n"/>
      <c r="F2505" s="48" t="n"/>
      <c r="G2505" s="48" t="n"/>
      <c r="H2505" s="48" t="n"/>
      <c r="I2505" s="49" t="n"/>
      <c r="J2505" s="50" t="n"/>
      <c r="K2505" s="48" t="n"/>
      <c r="L2505" s="51">
        <f>IF(A2505="","",DATE(YEAR(A2505),MONTH(A2505),1))</f>
        <v/>
      </c>
      <c r="M2505" s="52">
        <f>IF(OR(A2505="",NOT(ISNUMBER(I2505))),"",IF(G2505=Lists!$B$5,I2505/2,IF(G2505=Lists!$B$6,I2505,0)))</f>
        <v/>
      </c>
      <c r="N2505" s="52">
        <f>IF(OR(A2505="",NOT(ISNUMBER(I2505))),"",IF(G2505=Lists!$B$5,I2505/2,IF(G2505=Lists!$B$7,I2505,0)))</f>
        <v/>
      </c>
      <c r="O2505" s="53">
        <f>IF(COUNTA(A2505:K2505)=0,"",IF(OR(A2505="",B2505="",C2505="",D2505="",E2505="",F2505="",G2505="",NOT(ISNUMBER(I2505))),"Incomplete",IF(COUNTIF(Lists!$H$4:$AA$4,C2505)=0,"Check category",IF(COUNTIF(INDEX(Lists!$H$6:$AA$45,0,MATCH(C2505,Lists!$H$4:$AA$4,0)),D2505)=0,"Check sub-category","OK"))))</f>
        <v/>
      </c>
      <c r="P2505">
        <f>IF(ISNUMBER(I2505),I2505+ROW()/10000000,"")</f>
        <v/>
      </c>
      <c r="Q2505">
        <f>IF(AND(ISNUMBER(P2505),ISNUMBER(A2505)),IF(AND(A2505&gt;=Dashboard!$Q$3,A2505&lt;=Dashboard!$Q$4,OR(J2505&lt;&gt;"Yes",Dashboard!$Q$15="Yes")),P2505,""),"")</f>
        <v/>
      </c>
    </row>
    <row r="2506">
      <c r="A2506" s="47" t="n"/>
      <c r="B2506" s="48" t="n"/>
      <c r="C2506" s="48" t="n"/>
      <c r="D2506" s="48" t="n"/>
      <c r="E2506" s="48" t="n"/>
      <c r="F2506" s="48" t="n"/>
      <c r="G2506" s="48" t="n"/>
      <c r="H2506" s="48" t="n"/>
      <c r="I2506" s="49" t="n"/>
      <c r="J2506" s="50" t="n"/>
      <c r="K2506" s="48" t="n"/>
      <c r="L2506" s="51">
        <f>IF(A2506="","",DATE(YEAR(A2506),MONTH(A2506),1))</f>
        <v/>
      </c>
      <c r="M2506" s="52">
        <f>IF(OR(A2506="",NOT(ISNUMBER(I2506))),"",IF(G2506=Lists!$B$5,I2506/2,IF(G2506=Lists!$B$6,I2506,0)))</f>
        <v/>
      </c>
      <c r="N2506" s="52">
        <f>IF(OR(A2506="",NOT(ISNUMBER(I2506))),"",IF(G2506=Lists!$B$5,I2506/2,IF(G2506=Lists!$B$7,I2506,0)))</f>
        <v/>
      </c>
      <c r="O2506" s="53">
        <f>IF(COUNTA(A2506:K2506)=0,"",IF(OR(A2506="",B2506="",C2506="",D2506="",E2506="",F2506="",G2506="",NOT(ISNUMBER(I2506))),"Incomplete",IF(COUNTIF(Lists!$H$4:$AA$4,C2506)=0,"Check category",IF(COUNTIF(INDEX(Lists!$H$6:$AA$45,0,MATCH(C2506,Lists!$H$4:$AA$4,0)),D2506)=0,"Check sub-category","OK"))))</f>
        <v/>
      </c>
      <c r="P2506">
        <f>IF(ISNUMBER(I2506),I2506+ROW()/10000000,"")</f>
        <v/>
      </c>
      <c r="Q2506">
        <f>IF(AND(ISNUMBER(P2506),ISNUMBER(A2506)),IF(AND(A2506&gt;=Dashboard!$Q$3,A2506&lt;=Dashboard!$Q$4,OR(J2506&lt;&gt;"Yes",Dashboard!$Q$15="Yes")),P2506,""),"")</f>
        <v/>
      </c>
    </row>
    <row r="2507">
      <c r="A2507" s="47" t="n"/>
      <c r="B2507" s="48" t="n"/>
      <c r="C2507" s="48" t="n"/>
      <c r="D2507" s="48" t="n"/>
      <c r="E2507" s="48" t="n"/>
      <c r="F2507" s="48" t="n"/>
      <c r="G2507" s="48" t="n"/>
      <c r="H2507" s="48" t="n"/>
      <c r="I2507" s="49" t="n"/>
      <c r="J2507" s="50" t="n"/>
      <c r="K2507" s="48" t="n"/>
      <c r="L2507" s="51">
        <f>IF(A2507="","",DATE(YEAR(A2507),MONTH(A2507),1))</f>
        <v/>
      </c>
      <c r="M2507" s="52">
        <f>IF(OR(A2507="",NOT(ISNUMBER(I2507))),"",IF(G2507=Lists!$B$5,I2507/2,IF(G2507=Lists!$B$6,I2507,0)))</f>
        <v/>
      </c>
      <c r="N2507" s="52">
        <f>IF(OR(A2507="",NOT(ISNUMBER(I2507))),"",IF(G2507=Lists!$B$5,I2507/2,IF(G2507=Lists!$B$7,I2507,0)))</f>
        <v/>
      </c>
      <c r="O2507" s="53">
        <f>IF(COUNTA(A2507:K2507)=0,"",IF(OR(A2507="",B2507="",C2507="",D2507="",E2507="",F2507="",G2507="",NOT(ISNUMBER(I2507))),"Incomplete",IF(COUNTIF(Lists!$H$4:$AA$4,C2507)=0,"Check category",IF(COUNTIF(INDEX(Lists!$H$6:$AA$45,0,MATCH(C2507,Lists!$H$4:$AA$4,0)),D2507)=0,"Check sub-category","OK"))))</f>
        <v/>
      </c>
      <c r="P2507">
        <f>IF(ISNUMBER(I2507),I2507+ROW()/10000000,"")</f>
        <v/>
      </c>
      <c r="Q2507">
        <f>IF(AND(ISNUMBER(P2507),ISNUMBER(A2507)),IF(AND(A2507&gt;=Dashboard!$Q$3,A2507&lt;=Dashboard!$Q$4,OR(J2507&lt;&gt;"Yes",Dashboard!$Q$15="Yes")),P2507,""),"")</f>
        <v/>
      </c>
    </row>
    <row r="2508">
      <c r="A2508" s="47" t="n"/>
      <c r="B2508" s="48" t="n"/>
      <c r="C2508" s="48" t="n"/>
      <c r="D2508" s="48" t="n"/>
      <c r="E2508" s="48" t="n"/>
      <c r="F2508" s="48" t="n"/>
      <c r="G2508" s="48" t="n"/>
      <c r="H2508" s="48" t="n"/>
      <c r="I2508" s="49" t="n"/>
      <c r="J2508" s="50" t="n"/>
      <c r="K2508" s="48" t="n"/>
      <c r="L2508" s="51">
        <f>IF(A2508="","",DATE(YEAR(A2508),MONTH(A2508),1))</f>
        <v/>
      </c>
      <c r="M2508" s="52">
        <f>IF(OR(A2508="",NOT(ISNUMBER(I2508))),"",IF(G2508=Lists!$B$5,I2508/2,IF(G2508=Lists!$B$6,I2508,0)))</f>
        <v/>
      </c>
      <c r="N2508" s="52">
        <f>IF(OR(A2508="",NOT(ISNUMBER(I2508))),"",IF(G2508=Lists!$B$5,I2508/2,IF(G2508=Lists!$B$7,I2508,0)))</f>
        <v/>
      </c>
      <c r="O2508" s="53">
        <f>IF(COUNTA(A2508:K2508)=0,"",IF(OR(A2508="",B2508="",C2508="",D2508="",E2508="",F2508="",G2508="",NOT(ISNUMBER(I2508))),"Incomplete",IF(COUNTIF(Lists!$H$4:$AA$4,C2508)=0,"Check category",IF(COUNTIF(INDEX(Lists!$H$6:$AA$45,0,MATCH(C2508,Lists!$H$4:$AA$4,0)),D2508)=0,"Check sub-category","OK"))))</f>
        <v/>
      </c>
      <c r="P2508">
        <f>IF(ISNUMBER(I2508),I2508+ROW()/10000000,"")</f>
        <v/>
      </c>
      <c r="Q2508">
        <f>IF(AND(ISNUMBER(P2508),ISNUMBER(A2508)),IF(AND(A2508&gt;=Dashboard!$Q$3,A2508&lt;=Dashboard!$Q$4,OR(J2508&lt;&gt;"Yes",Dashboard!$Q$15="Yes")),P2508,""),"")</f>
        <v/>
      </c>
    </row>
    <row r="2509">
      <c r="A2509" s="47" t="n"/>
      <c r="B2509" s="48" t="n"/>
      <c r="C2509" s="48" t="n"/>
      <c r="D2509" s="48" t="n"/>
      <c r="E2509" s="48" t="n"/>
      <c r="F2509" s="48" t="n"/>
      <c r="G2509" s="48" t="n"/>
      <c r="H2509" s="48" t="n"/>
      <c r="I2509" s="49" t="n"/>
      <c r="J2509" s="50" t="n"/>
      <c r="K2509" s="48" t="n"/>
      <c r="L2509" s="51">
        <f>IF(A2509="","",DATE(YEAR(A2509),MONTH(A2509),1))</f>
        <v/>
      </c>
      <c r="M2509" s="52">
        <f>IF(OR(A2509="",NOT(ISNUMBER(I2509))),"",IF(G2509=Lists!$B$5,I2509/2,IF(G2509=Lists!$B$6,I2509,0)))</f>
        <v/>
      </c>
      <c r="N2509" s="52">
        <f>IF(OR(A2509="",NOT(ISNUMBER(I2509))),"",IF(G2509=Lists!$B$5,I2509/2,IF(G2509=Lists!$B$7,I2509,0)))</f>
        <v/>
      </c>
      <c r="O2509" s="53">
        <f>IF(COUNTA(A2509:K2509)=0,"",IF(OR(A2509="",B2509="",C2509="",D2509="",E2509="",F2509="",G2509="",NOT(ISNUMBER(I2509))),"Incomplete",IF(COUNTIF(Lists!$H$4:$AA$4,C2509)=0,"Check category",IF(COUNTIF(INDEX(Lists!$H$6:$AA$45,0,MATCH(C2509,Lists!$H$4:$AA$4,0)),D2509)=0,"Check sub-category","OK"))))</f>
        <v/>
      </c>
      <c r="P2509">
        <f>IF(ISNUMBER(I2509),I2509+ROW()/10000000,"")</f>
        <v/>
      </c>
      <c r="Q2509">
        <f>IF(AND(ISNUMBER(P2509),ISNUMBER(A2509)),IF(AND(A2509&gt;=Dashboard!$Q$3,A2509&lt;=Dashboard!$Q$4,OR(J2509&lt;&gt;"Yes",Dashboard!$Q$15="Yes")),P2509,""),"")</f>
        <v/>
      </c>
    </row>
    <row r="2510">
      <c r="A2510" s="47" t="n"/>
      <c r="B2510" s="48" t="n"/>
      <c r="C2510" s="48" t="n"/>
      <c r="D2510" s="48" t="n"/>
      <c r="E2510" s="48" t="n"/>
      <c r="F2510" s="48" t="n"/>
      <c r="G2510" s="48" t="n"/>
      <c r="H2510" s="48" t="n"/>
      <c r="I2510" s="49" t="n"/>
      <c r="J2510" s="50" t="n"/>
      <c r="K2510" s="48" t="n"/>
      <c r="L2510" s="51">
        <f>IF(A2510="","",DATE(YEAR(A2510),MONTH(A2510),1))</f>
        <v/>
      </c>
      <c r="M2510" s="52">
        <f>IF(OR(A2510="",NOT(ISNUMBER(I2510))),"",IF(G2510=Lists!$B$5,I2510/2,IF(G2510=Lists!$B$6,I2510,0)))</f>
        <v/>
      </c>
      <c r="N2510" s="52">
        <f>IF(OR(A2510="",NOT(ISNUMBER(I2510))),"",IF(G2510=Lists!$B$5,I2510/2,IF(G2510=Lists!$B$7,I2510,0)))</f>
        <v/>
      </c>
      <c r="O2510" s="53">
        <f>IF(COUNTA(A2510:K2510)=0,"",IF(OR(A2510="",B2510="",C2510="",D2510="",E2510="",F2510="",G2510="",NOT(ISNUMBER(I2510))),"Incomplete",IF(COUNTIF(Lists!$H$4:$AA$4,C2510)=0,"Check category",IF(COUNTIF(INDEX(Lists!$H$6:$AA$45,0,MATCH(C2510,Lists!$H$4:$AA$4,0)),D2510)=0,"Check sub-category","OK"))))</f>
        <v/>
      </c>
      <c r="P2510">
        <f>IF(ISNUMBER(I2510),I2510+ROW()/10000000,"")</f>
        <v/>
      </c>
      <c r="Q2510">
        <f>IF(AND(ISNUMBER(P2510),ISNUMBER(A2510)),IF(AND(A2510&gt;=Dashboard!$Q$3,A2510&lt;=Dashboard!$Q$4,OR(J2510&lt;&gt;"Yes",Dashboard!$Q$15="Yes")),P2510,""),"")</f>
        <v/>
      </c>
    </row>
    <row r="2511">
      <c r="A2511" s="47" t="n"/>
      <c r="B2511" s="48" t="n"/>
      <c r="C2511" s="48" t="n"/>
      <c r="D2511" s="48" t="n"/>
      <c r="E2511" s="48" t="n"/>
      <c r="F2511" s="48" t="n"/>
      <c r="G2511" s="48" t="n"/>
      <c r="H2511" s="48" t="n"/>
      <c r="I2511" s="49" t="n"/>
      <c r="J2511" s="50" t="n"/>
      <c r="K2511" s="48" t="n"/>
      <c r="L2511" s="51">
        <f>IF(A2511="","",DATE(YEAR(A2511),MONTH(A2511),1))</f>
        <v/>
      </c>
      <c r="M2511" s="52">
        <f>IF(OR(A2511="",NOT(ISNUMBER(I2511))),"",IF(G2511=Lists!$B$5,I2511/2,IF(G2511=Lists!$B$6,I2511,0)))</f>
        <v/>
      </c>
      <c r="N2511" s="52">
        <f>IF(OR(A2511="",NOT(ISNUMBER(I2511))),"",IF(G2511=Lists!$B$5,I2511/2,IF(G2511=Lists!$B$7,I2511,0)))</f>
        <v/>
      </c>
      <c r="O2511" s="53">
        <f>IF(COUNTA(A2511:K2511)=0,"",IF(OR(A2511="",B2511="",C2511="",D2511="",E2511="",F2511="",G2511="",NOT(ISNUMBER(I2511))),"Incomplete",IF(COUNTIF(Lists!$H$4:$AA$4,C2511)=0,"Check category",IF(COUNTIF(INDEX(Lists!$H$6:$AA$45,0,MATCH(C2511,Lists!$H$4:$AA$4,0)),D2511)=0,"Check sub-category","OK"))))</f>
        <v/>
      </c>
      <c r="P2511">
        <f>IF(ISNUMBER(I2511),I2511+ROW()/10000000,"")</f>
        <v/>
      </c>
      <c r="Q2511">
        <f>IF(AND(ISNUMBER(P2511),ISNUMBER(A2511)),IF(AND(A2511&gt;=Dashboard!$Q$3,A2511&lt;=Dashboard!$Q$4,OR(J2511&lt;&gt;"Yes",Dashboard!$Q$15="Yes")),P2511,""),"")</f>
        <v/>
      </c>
    </row>
    <row r="2512">
      <c r="A2512" s="47" t="n"/>
      <c r="B2512" s="48" t="n"/>
      <c r="C2512" s="48" t="n"/>
      <c r="D2512" s="48" t="n"/>
      <c r="E2512" s="48" t="n"/>
      <c r="F2512" s="48" t="n"/>
      <c r="G2512" s="48" t="n"/>
      <c r="H2512" s="48" t="n"/>
      <c r="I2512" s="49" t="n"/>
      <c r="J2512" s="50" t="n"/>
      <c r="K2512" s="48" t="n"/>
      <c r="L2512" s="51">
        <f>IF(A2512="","",DATE(YEAR(A2512),MONTH(A2512),1))</f>
        <v/>
      </c>
      <c r="M2512" s="52">
        <f>IF(OR(A2512="",NOT(ISNUMBER(I2512))),"",IF(G2512=Lists!$B$5,I2512/2,IF(G2512=Lists!$B$6,I2512,0)))</f>
        <v/>
      </c>
      <c r="N2512" s="52">
        <f>IF(OR(A2512="",NOT(ISNUMBER(I2512))),"",IF(G2512=Lists!$B$5,I2512/2,IF(G2512=Lists!$B$7,I2512,0)))</f>
        <v/>
      </c>
      <c r="O2512" s="53">
        <f>IF(COUNTA(A2512:K2512)=0,"",IF(OR(A2512="",B2512="",C2512="",D2512="",E2512="",F2512="",G2512="",NOT(ISNUMBER(I2512))),"Incomplete",IF(COUNTIF(Lists!$H$4:$AA$4,C2512)=0,"Check category",IF(COUNTIF(INDEX(Lists!$H$6:$AA$45,0,MATCH(C2512,Lists!$H$4:$AA$4,0)),D2512)=0,"Check sub-category","OK"))))</f>
        <v/>
      </c>
      <c r="P2512">
        <f>IF(ISNUMBER(I2512),I2512+ROW()/10000000,"")</f>
        <v/>
      </c>
      <c r="Q2512">
        <f>IF(AND(ISNUMBER(P2512),ISNUMBER(A2512)),IF(AND(A2512&gt;=Dashboard!$Q$3,A2512&lt;=Dashboard!$Q$4,OR(J2512&lt;&gt;"Yes",Dashboard!$Q$15="Yes")),P2512,""),"")</f>
        <v/>
      </c>
    </row>
    <row r="2513">
      <c r="A2513" s="47" t="n"/>
      <c r="B2513" s="48" t="n"/>
      <c r="C2513" s="48" t="n"/>
      <c r="D2513" s="48" t="n"/>
      <c r="E2513" s="48" t="n"/>
      <c r="F2513" s="48" t="n"/>
      <c r="G2513" s="48" t="n"/>
      <c r="H2513" s="48" t="n"/>
      <c r="I2513" s="49" t="n"/>
      <c r="J2513" s="50" t="n"/>
      <c r="K2513" s="48" t="n"/>
      <c r="L2513" s="51">
        <f>IF(A2513="","",DATE(YEAR(A2513),MONTH(A2513),1))</f>
        <v/>
      </c>
      <c r="M2513" s="52">
        <f>IF(OR(A2513="",NOT(ISNUMBER(I2513))),"",IF(G2513=Lists!$B$5,I2513/2,IF(G2513=Lists!$B$6,I2513,0)))</f>
        <v/>
      </c>
      <c r="N2513" s="52">
        <f>IF(OR(A2513="",NOT(ISNUMBER(I2513))),"",IF(G2513=Lists!$B$5,I2513/2,IF(G2513=Lists!$B$7,I2513,0)))</f>
        <v/>
      </c>
      <c r="O2513" s="53">
        <f>IF(COUNTA(A2513:K2513)=0,"",IF(OR(A2513="",B2513="",C2513="",D2513="",E2513="",F2513="",G2513="",NOT(ISNUMBER(I2513))),"Incomplete",IF(COUNTIF(Lists!$H$4:$AA$4,C2513)=0,"Check category",IF(COUNTIF(INDEX(Lists!$H$6:$AA$45,0,MATCH(C2513,Lists!$H$4:$AA$4,0)),D2513)=0,"Check sub-category","OK"))))</f>
        <v/>
      </c>
      <c r="P2513">
        <f>IF(ISNUMBER(I2513),I2513+ROW()/10000000,"")</f>
        <v/>
      </c>
      <c r="Q2513">
        <f>IF(AND(ISNUMBER(P2513),ISNUMBER(A2513)),IF(AND(A2513&gt;=Dashboard!$Q$3,A2513&lt;=Dashboard!$Q$4,OR(J2513&lt;&gt;"Yes",Dashboard!$Q$15="Yes")),P2513,""),"")</f>
        <v/>
      </c>
    </row>
    <row r="2514">
      <c r="A2514" s="47" t="n"/>
      <c r="B2514" s="48" t="n"/>
      <c r="C2514" s="48" t="n"/>
      <c r="D2514" s="48" t="n"/>
      <c r="E2514" s="48" t="n"/>
      <c r="F2514" s="48" t="n"/>
      <c r="G2514" s="48" t="n"/>
      <c r="H2514" s="48" t="n"/>
      <c r="I2514" s="49" t="n"/>
      <c r="J2514" s="50" t="n"/>
      <c r="K2514" s="48" t="n"/>
      <c r="L2514" s="51">
        <f>IF(A2514="","",DATE(YEAR(A2514),MONTH(A2514),1))</f>
        <v/>
      </c>
      <c r="M2514" s="52">
        <f>IF(OR(A2514="",NOT(ISNUMBER(I2514))),"",IF(G2514=Lists!$B$5,I2514/2,IF(G2514=Lists!$B$6,I2514,0)))</f>
        <v/>
      </c>
      <c r="N2514" s="52">
        <f>IF(OR(A2514="",NOT(ISNUMBER(I2514))),"",IF(G2514=Lists!$B$5,I2514/2,IF(G2514=Lists!$B$7,I2514,0)))</f>
        <v/>
      </c>
      <c r="O2514" s="53">
        <f>IF(COUNTA(A2514:K2514)=0,"",IF(OR(A2514="",B2514="",C2514="",D2514="",E2514="",F2514="",G2514="",NOT(ISNUMBER(I2514))),"Incomplete",IF(COUNTIF(Lists!$H$4:$AA$4,C2514)=0,"Check category",IF(COUNTIF(INDEX(Lists!$H$6:$AA$45,0,MATCH(C2514,Lists!$H$4:$AA$4,0)),D2514)=0,"Check sub-category","OK"))))</f>
        <v/>
      </c>
      <c r="P2514">
        <f>IF(ISNUMBER(I2514),I2514+ROW()/10000000,"")</f>
        <v/>
      </c>
      <c r="Q2514">
        <f>IF(AND(ISNUMBER(P2514),ISNUMBER(A2514)),IF(AND(A2514&gt;=Dashboard!$Q$3,A2514&lt;=Dashboard!$Q$4,OR(J2514&lt;&gt;"Yes",Dashboard!$Q$15="Yes")),P2514,""),"")</f>
        <v/>
      </c>
    </row>
    <row r="2515">
      <c r="A2515" s="47" t="n"/>
      <c r="B2515" s="48" t="n"/>
      <c r="C2515" s="48" t="n"/>
      <c r="D2515" s="48" t="n"/>
      <c r="E2515" s="48" t="n"/>
      <c r="F2515" s="48" t="n"/>
      <c r="G2515" s="48" t="n"/>
      <c r="H2515" s="48" t="n"/>
      <c r="I2515" s="49" t="n"/>
      <c r="J2515" s="50" t="n"/>
      <c r="K2515" s="48" t="n"/>
      <c r="L2515" s="51">
        <f>IF(A2515="","",DATE(YEAR(A2515),MONTH(A2515),1))</f>
        <v/>
      </c>
      <c r="M2515" s="52">
        <f>IF(OR(A2515="",NOT(ISNUMBER(I2515))),"",IF(G2515=Lists!$B$5,I2515/2,IF(G2515=Lists!$B$6,I2515,0)))</f>
        <v/>
      </c>
      <c r="N2515" s="52">
        <f>IF(OR(A2515="",NOT(ISNUMBER(I2515))),"",IF(G2515=Lists!$B$5,I2515/2,IF(G2515=Lists!$B$7,I2515,0)))</f>
        <v/>
      </c>
      <c r="O2515" s="53">
        <f>IF(COUNTA(A2515:K2515)=0,"",IF(OR(A2515="",B2515="",C2515="",D2515="",E2515="",F2515="",G2515="",NOT(ISNUMBER(I2515))),"Incomplete",IF(COUNTIF(Lists!$H$4:$AA$4,C2515)=0,"Check category",IF(COUNTIF(INDEX(Lists!$H$6:$AA$45,0,MATCH(C2515,Lists!$H$4:$AA$4,0)),D2515)=0,"Check sub-category","OK"))))</f>
        <v/>
      </c>
      <c r="P2515">
        <f>IF(ISNUMBER(I2515),I2515+ROW()/10000000,"")</f>
        <v/>
      </c>
      <c r="Q2515">
        <f>IF(AND(ISNUMBER(P2515),ISNUMBER(A2515)),IF(AND(A2515&gt;=Dashboard!$Q$3,A2515&lt;=Dashboard!$Q$4,OR(J2515&lt;&gt;"Yes",Dashboard!$Q$15="Yes")),P2515,""),"")</f>
        <v/>
      </c>
    </row>
    <row r="2516">
      <c r="A2516" s="47" t="n"/>
      <c r="B2516" s="48" t="n"/>
      <c r="C2516" s="48" t="n"/>
      <c r="D2516" s="48" t="n"/>
      <c r="E2516" s="48" t="n"/>
      <c r="F2516" s="48" t="n"/>
      <c r="G2516" s="48" t="n"/>
      <c r="H2516" s="48" t="n"/>
      <c r="I2516" s="49" t="n"/>
      <c r="J2516" s="50" t="n"/>
      <c r="K2516" s="48" t="n"/>
      <c r="L2516" s="51">
        <f>IF(A2516="","",DATE(YEAR(A2516),MONTH(A2516),1))</f>
        <v/>
      </c>
      <c r="M2516" s="52">
        <f>IF(OR(A2516="",NOT(ISNUMBER(I2516))),"",IF(G2516=Lists!$B$5,I2516/2,IF(G2516=Lists!$B$6,I2516,0)))</f>
        <v/>
      </c>
      <c r="N2516" s="52">
        <f>IF(OR(A2516="",NOT(ISNUMBER(I2516))),"",IF(G2516=Lists!$B$5,I2516/2,IF(G2516=Lists!$B$7,I2516,0)))</f>
        <v/>
      </c>
      <c r="O2516" s="53">
        <f>IF(COUNTA(A2516:K2516)=0,"",IF(OR(A2516="",B2516="",C2516="",D2516="",E2516="",F2516="",G2516="",NOT(ISNUMBER(I2516))),"Incomplete",IF(COUNTIF(Lists!$H$4:$AA$4,C2516)=0,"Check category",IF(COUNTIF(INDEX(Lists!$H$6:$AA$45,0,MATCH(C2516,Lists!$H$4:$AA$4,0)),D2516)=0,"Check sub-category","OK"))))</f>
        <v/>
      </c>
      <c r="P2516">
        <f>IF(ISNUMBER(I2516),I2516+ROW()/10000000,"")</f>
        <v/>
      </c>
      <c r="Q2516">
        <f>IF(AND(ISNUMBER(P2516),ISNUMBER(A2516)),IF(AND(A2516&gt;=Dashboard!$Q$3,A2516&lt;=Dashboard!$Q$4,OR(J2516&lt;&gt;"Yes",Dashboard!$Q$15="Yes")),P2516,""),"")</f>
        <v/>
      </c>
    </row>
    <row r="2517">
      <c r="A2517" s="47" t="n"/>
      <c r="B2517" s="48" t="n"/>
      <c r="C2517" s="48" t="n"/>
      <c r="D2517" s="48" t="n"/>
      <c r="E2517" s="48" t="n"/>
      <c r="F2517" s="48" t="n"/>
      <c r="G2517" s="48" t="n"/>
      <c r="H2517" s="48" t="n"/>
      <c r="I2517" s="49" t="n"/>
      <c r="J2517" s="50" t="n"/>
      <c r="K2517" s="48" t="n"/>
      <c r="L2517" s="51">
        <f>IF(A2517="","",DATE(YEAR(A2517),MONTH(A2517),1))</f>
        <v/>
      </c>
      <c r="M2517" s="52">
        <f>IF(OR(A2517="",NOT(ISNUMBER(I2517))),"",IF(G2517=Lists!$B$5,I2517/2,IF(G2517=Lists!$B$6,I2517,0)))</f>
        <v/>
      </c>
      <c r="N2517" s="52">
        <f>IF(OR(A2517="",NOT(ISNUMBER(I2517))),"",IF(G2517=Lists!$B$5,I2517/2,IF(G2517=Lists!$B$7,I2517,0)))</f>
        <v/>
      </c>
      <c r="O2517" s="53">
        <f>IF(COUNTA(A2517:K2517)=0,"",IF(OR(A2517="",B2517="",C2517="",D2517="",E2517="",F2517="",G2517="",NOT(ISNUMBER(I2517))),"Incomplete",IF(COUNTIF(Lists!$H$4:$AA$4,C2517)=0,"Check category",IF(COUNTIF(INDEX(Lists!$H$6:$AA$45,0,MATCH(C2517,Lists!$H$4:$AA$4,0)),D2517)=0,"Check sub-category","OK"))))</f>
        <v/>
      </c>
      <c r="P2517">
        <f>IF(ISNUMBER(I2517),I2517+ROW()/10000000,"")</f>
        <v/>
      </c>
      <c r="Q2517">
        <f>IF(AND(ISNUMBER(P2517),ISNUMBER(A2517)),IF(AND(A2517&gt;=Dashboard!$Q$3,A2517&lt;=Dashboard!$Q$4,OR(J2517&lt;&gt;"Yes",Dashboard!$Q$15="Yes")),P2517,""),"")</f>
        <v/>
      </c>
    </row>
    <row r="2518">
      <c r="A2518" s="47" t="n"/>
      <c r="B2518" s="48" t="n"/>
      <c r="C2518" s="48" t="n"/>
      <c r="D2518" s="48" t="n"/>
      <c r="E2518" s="48" t="n"/>
      <c r="F2518" s="48" t="n"/>
      <c r="G2518" s="48" t="n"/>
      <c r="H2518" s="48" t="n"/>
      <c r="I2518" s="49" t="n"/>
      <c r="J2518" s="50" t="n"/>
      <c r="K2518" s="48" t="n"/>
      <c r="L2518" s="51">
        <f>IF(A2518="","",DATE(YEAR(A2518),MONTH(A2518),1))</f>
        <v/>
      </c>
      <c r="M2518" s="52">
        <f>IF(OR(A2518="",NOT(ISNUMBER(I2518))),"",IF(G2518=Lists!$B$5,I2518/2,IF(G2518=Lists!$B$6,I2518,0)))</f>
        <v/>
      </c>
      <c r="N2518" s="52">
        <f>IF(OR(A2518="",NOT(ISNUMBER(I2518))),"",IF(G2518=Lists!$B$5,I2518/2,IF(G2518=Lists!$B$7,I2518,0)))</f>
        <v/>
      </c>
      <c r="O2518" s="53">
        <f>IF(COUNTA(A2518:K2518)=0,"",IF(OR(A2518="",B2518="",C2518="",D2518="",E2518="",F2518="",G2518="",NOT(ISNUMBER(I2518))),"Incomplete",IF(COUNTIF(Lists!$H$4:$AA$4,C2518)=0,"Check category",IF(COUNTIF(INDEX(Lists!$H$6:$AA$45,0,MATCH(C2518,Lists!$H$4:$AA$4,0)),D2518)=0,"Check sub-category","OK"))))</f>
        <v/>
      </c>
      <c r="P2518">
        <f>IF(ISNUMBER(I2518),I2518+ROW()/10000000,"")</f>
        <v/>
      </c>
      <c r="Q2518">
        <f>IF(AND(ISNUMBER(P2518),ISNUMBER(A2518)),IF(AND(A2518&gt;=Dashboard!$Q$3,A2518&lt;=Dashboard!$Q$4,OR(J2518&lt;&gt;"Yes",Dashboard!$Q$15="Yes")),P2518,""),"")</f>
        <v/>
      </c>
    </row>
    <row r="2519">
      <c r="A2519" s="47" t="n"/>
      <c r="B2519" s="48" t="n"/>
      <c r="C2519" s="48" t="n"/>
      <c r="D2519" s="48" t="n"/>
      <c r="E2519" s="48" t="n"/>
      <c r="F2519" s="48" t="n"/>
      <c r="G2519" s="48" t="n"/>
      <c r="H2519" s="48" t="n"/>
      <c r="I2519" s="49" t="n"/>
      <c r="J2519" s="50" t="n"/>
      <c r="K2519" s="48" t="n"/>
      <c r="L2519" s="51">
        <f>IF(A2519="","",DATE(YEAR(A2519),MONTH(A2519),1))</f>
        <v/>
      </c>
      <c r="M2519" s="52">
        <f>IF(OR(A2519="",NOT(ISNUMBER(I2519))),"",IF(G2519=Lists!$B$5,I2519/2,IF(G2519=Lists!$B$6,I2519,0)))</f>
        <v/>
      </c>
      <c r="N2519" s="52">
        <f>IF(OR(A2519="",NOT(ISNUMBER(I2519))),"",IF(G2519=Lists!$B$5,I2519/2,IF(G2519=Lists!$B$7,I2519,0)))</f>
        <v/>
      </c>
      <c r="O2519" s="53">
        <f>IF(COUNTA(A2519:K2519)=0,"",IF(OR(A2519="",B2519="",C2519="",D2519="",E2519="",F2519="",G2519="",NOT(ISNUMBER(I2519))),"Incomplete",IF(COUNTIF(Lists!$H$4:$AA$4,C2519)=0,"Check category",IF(COUNTIF(INDEX(Lists!$H$6:$AA$45,0,MATCH(C2519,Lists!$H$4:$AA$4,0)),D2519)=0,"Check sub-category","OK"))))</f>
        <v/>
      </c>
      <c r="P2519">
        <f>IF(ISNUMBER(I2519),I2519+ROW()/10000000,"")</f>
        <v/>
      </c>
      <c r="Q2519">
        <f>IF(AND(ISNUMBER(P2519),ISNUMBER(A2519)),IF(AND(A2519&gt;=Dashboard!$Q$3,A2519&lt;=Dashboard!$Q$4,OR(J2519&lt;&gt;"Yes",Dashboard!$Q$15="Yes")),P2519,""),"")</f>
        <v/>
      </c>
    </row>
    <row r="2520">
      <c r="A2520" s="47" t="n"/>
      <c r="B2520" s="48" t="n"/>
      <c r="C2520" s="48" t="n"/>
      <c r="D2520" s="48" t="n"/>
      <c r="E2520" s="48" t="n"/>
      <c r="F2520" s="48" t="n"/>
      <c r="G2520" s="48" t="n"/>
      <c r="H2520" s="48" t="n"/>
      <c r="I2520" s="49" t="n"/>
      <c r="J2520" s="50" t="n"/>
      <c r="K2520" s="48" t="n"/>
      <c r="L2520" s="51">
        <f>IF(A2520="","",DATE(YEAR(A2520),MONTH(A2520),1))</f>
        <v/>
      </c>
      <c r="M2520" s="52">
        <f>IF(OR(A2520="",NOT(ISNUMBER(I2520))),"",IF(G2520=Lists!$B$5,I2520/2,IF(G2520=Lists!$B$6,I2520,0)))</f>
        <v/>
      </c>
      <c r="N2520" s="52">
        <f>IF(OR(A2520="",NOT(ISNUMBER(I2520))),"",IF(G2520=Lists!$B$5,I2520/2,IF(G2520=Lists!$B$7,I2520,0)))</f>
        <v/>
      </c>
      <c r="O2520" s="53">
        <f>IF(COUNTA(A2520:K2520)=0,"",IF(OR(A2520="",B2520="",C2520="",D2520="",E2520="",F2520="",G2520="",NOT(ISNUMBER(I2520))),"Incomplete",IF(COUNTIF(Lists!$H$4:$AA$4,C2520)=0,"Check category",IF(COUNTIF(INDEX(Lists!$H$6:$AA$45,0,MATCH(C2520,Lists!$H$4:$AA$4,0)),D2520)=0,"Check sub-category","OK"))))</f>
        <v/>
      </c>
      <c r="P2520">
        <f>IF(ISNUMBER(I2520),I2520+ROW()/10000000,"")</f>
        <v/>
      </c>
      <c r="Q2520">
        <f>IF(AND(ISNUMBER(P2520),ISNUMBER(A2520)),IF(AND(A2520&gt;=Dashboard!$Q$3,A2520&lt;=Dashboard!$Q$4,OR(J2520&lt;&gt;"Yes",Dashboard!$Q$15="Yes")),P2520,""),"")</f>
        <v/>
      </c>
    </row>
    <row r="2521">
      <c r="A2521" s="47" t="n"/>
      <c r="B2521" s="48" t="n"/>
      <c r="C2521" s="48" t="n"/>
      <c r="D2521" s="48" t="n"/>
      <c r="E2521" s="48" t="n"/>
      <c r="F2521" s="48" t="n"/>
      <c r="G2521" s="48" t="n"/>
      <c r="H2521" s="48" t="n"/>
      <c r="I2521" s="49" t="n"/>
      <c r="J2521" s="50" t="n"/>
      <c r="K2521" s="48" t="n"/>
      <c r="L2521" s="51">
        <f>IF(A2521="","",DATE(YEAR(A2521),MONTH(A2521),1))</f>
        <v/>
      </c>
      <c r="M2521" s="52">
        <f>IF(OR(A2521="",NOT(ISNUMBER(I2521))),"",IF(G2521=Lists!$B$5,I2521/2,IF(G2521=Lists!$B$6,I2521,0)))</f>
        <v/>
      </c>
      <c r="N2521" s="52">
        <f>IF(OR(A2521="",NOT(ISNUMBER(I2521))),"",IF(G2521=Lists!$B$5,I2521/2,IF(G2521=Lists!$B$7,I2521,0)))</f>
        <v/>
      </c>
      <c r="O2521" s="53">
        <f>IF(COUNTA(A2521:K2521)=0,"",IF(OR(A2521="",B2521="",C2521="",D2521="",E2521="",F2521="",G2521="",NOT(ISNUMBER(I2521))),"Incomplete",IF(COUNTIF(Lists!$H$4:$AA$4,C2521)=0,"Check category",IF(COUNTIF(INDEX(Lists!$H$6:$AA$45,0,MATCH(C2521,Lists!$H$4:$AA$4,0)),D2521)=0,"Check sub-category","OK"))))</f>
        <v/>
      </c>
      <c r="P2521">
        <f>IF(ISNUMBER(I2521),I2521+ROW()/10000000,"")</f>
        <v/>
      </c>
      <c r="Q2521">
        <f>IF(AND(ISNUMBER(P2521),ISNUMBER(A2521)),IF(AND(A2521&gt;=Dashboard!$Q$3,A2521&lt;=Dashboard!$Q$4,OR(J2521&lt;&gt;"Yes",Dashboard!$Q$15="Yes")),P2521,""),"")</f>
        <v/>
      </c>
    </row>
    <row r="2522">
      <c r="A2522" s="47" t="n"/>
      <c r="B2522" s="48" t="n"/>
      <c r="C2522" s="48" t="n"/>
      <c r="D2522" s="48" t="n"/>
      <c r="E2522" s="48" t="n"/>
      <c r="F2522" s="48" t="n"/>
      <c r="G2522" s="48" t="n"/>
      <c r="H2522" s="48" t="n"/>
      <c r="I2522" s="49" t="n"/>
      <c r="J2522" s="50" t="n"/>
      <c r="K2522" s="48" t="n"/>
      <c r="L2522" s="51">
        <f>IF(A2522="","",DATE(YEAR(A2522),MONTH(A2522),1))</f>
        <v/>
      </c>
      <c r="M2522" s="52">
        <f>IF(OR(A2522="",NOT(ISNUMBER(I2522))),"",IF(G2522=Lists!$B$5,I2522/2,IF(G2522=Lists!$B$6,I2522,0)))</f>
        <v/>
      </c>
      <c r="N2522" s="52">
        <f>IF(OR(A2522="",NOT(ISNUMBER(I2522))),"",IF(G2522=Lists!$B$5,I2522/2,IF(G2522=Lists!$B$7,I2522,0)))</f>
        <v/>
      </c>
      <c r="O2522" s="53">
        <f>IF(COUNTA(A2522:K2522)=0,"",IF(OR(A2522="",B2522="",C2522="",D2522="",E2522="",F2522="",G2522="",NOT(ISNUMBER(I2522))),"Incomplete",IF(COUNTIF(Lists!$H$4:$AA$4,C2522)=0,"Check category",IF(COUNTIF(INDEX(Lists!$H$6:$AA$45,0,MATCH(C2522,Lists!$H$4:$AA$4,0)),D2522)=0,"Check sub-category","OK"))))</f>
        <v/>
      </c>
      <c r="P2522">
        <f>IF(ISNUMBER(I2522),I2522+ROW()/10000000,"")</f>
        <v/>
      </c>
      <c r="Q2522">
        <f>IF(AND(ISNUMBER(P2522),ISNUMBER(A2522)),IF(AND(A2522&gt;=Dashboard!$Q$3,A2522&lt;=Dashboard!$Q$4,OR(J2522&lt;&gt;"Yes",Dashboard!$Q$15="Yes")),P2522,""),"")</f>
        <v/>
      </c>
    </row>
    <row r="2523">
      <c r="A2523" s="47" t="n"/>
      <c r="B2523" s="48" t="n"/>
      <c r="C2523" s="48" t="n"/>
      <c r="D2523" s="48" t="n"/>
      <c r="E2523" s="48" t="n"/>
      <c r="F2523" s="48" t="n"/>
      <c r="G2523" s="48" t="n"/>
      <c r="H2523" s="48" t="n"/>
      <c r="I2523" s="49" t="n"/>
      <c r="J2523" s="50" t="n"/>
      <c r="K2523" s="48" t="n"/>
      <c r="L2523" s="51">
        <f>IF(A2523="","",DATE(YEAR(A2523),MONTH(A2523),1))</f>
        <v/>
      </c>
      <c r="M2523" s="52">
        <f>IF(OR(A2523="",NOT(ISNUMBER(I2523))),"",IF(G2523=Lists!$B$5,I2523/2,IF(G2523=Lists!$B$6,I2523,0)))</f>
        <v/>
      </c>
      <c r="N2523" s="52">
        <f>IF(OR(A2523="",NOT(ISNUMBER(I2523))),"",IF(G2523=Lists!$B$5,I2523/2,IF(G2523=Lists!$B$7,I2523,0)))</f>
        <v/>
      </c>
      <c r="O2523" s="53">
        <f>IF(COUNTA(A2523:K2523)=0,"",IF(OR(A2523="",B2523="",C2523="",D2523="",E2523="",F2523="",G2523="",NOT(ISNUMBER(I2523))),"Incomplete",IF(COUNTIF(Lists!$H$4:$AA$4,C2523)=0,"Check category",IF(COUNTIF(INDEX(Lists!$H$6:$AA$45,0,MATCH(C2523,Lists!$H$4:$AA$4,0)),D2523)=0,"Check sub-category","OK"))))</f>
        <v/>
      </c>
      <c r="P2523">
        <f>IF(ISNUMBER(I2523),I2523+ROW()/10000000,"")</f>
        <v/>
      </c>
      <c r="Q2523">
        <f>IF(AND(ISNUMBER(P2523),ISNUMBER(A2523)),IF(AND(A2523&gt;=Dashboard!$Q$3,A2523&lt;=Dashboard!$Q$4,OR(J2523&lt;&gt;"Yes",Dashboard!$Q$15="Yes")),P2523,""),"")</f>
        <v/>
      </c>
    </row>
    <row r="2524">
      <c r="A2524" s="47" t="n"/>
      <c r="B2524" s="48" t="n"/>
      <c r="C2524" s="48" t="n"/>
      <c r="D2524" s="48" t="n"/>
      <c r="E2524" s="48" t="n"/>
      <c r="F2524" s="48" t="n"/>
      <c r="G2524" s="48" t="n"/>
      <c r="H2524" s="48" t="n"/>
      <c r="I2524" s="49" t="n"/>
      <c r="J2524" s="50" t="n"/>
      <c r="K2524" s="48" t="n"/>
      <c r="L2524" s="51">
        <f>IF(A2524="","",DATE(YEAR(A2524),MONTH(A2524),1))</f>
        <v/>
      </c>
      <c r="M2524" s="52">
        <f>IF(OR(A2524="",NOT(ISNUMBER(I2524))),"",IF(G2524=Lists!$B$5,I2524/2,IF(G2524=Lists!$B$6,I2524,0)))</f>
        <v/>
      </c>
      <c r="N2524" s="52">
        <f>IF(OR(A2524="",NOT(ISNUMBER(I2524))),"",IF(G2524=Lists!$B$5,I2524/2,IF(G2524=Lists!$B$7,I2524,0)))</f>
        <v/>
      </c>
      <c r="O2524" s="53">
        <f>IF(COUNTA(A2524:K2524)=0,"",IF(OR(A2524="",B2524="",C2524="",D2524="",E2524="",F2524="",G2524="",NOT(ISNUMBER(I2524))),"Incomplete",IF(COUNTIF(Lists!$H$4:$AA$4,C2524)=0,"Check category",IF(COUNTIF(INDEX(Lists!$H$6:$AA$45,0,MATCH(C2524,Lists!$H$4:$AA$4,0)),D2524)=0,"Check sub-category","OK"))))</f>
        <v/>
      </c>
      <c r="P2524">
        <f>IF(ISNUMBER(I2524),I2524+ROW()/10000000,"")</f>
        <v/>
      </c>
      <c r="Q2524">
        <f>IF(AND(ISNUMBER(P2524),ISNUMBER(A2524)),IF(AND(A2524&gt;=Dashboard!$Q$3,A2524&lt;=Dashboard!$Q$4,OR(J2524&lt;&gt;"Yes",Dashboard!$Q$15="Yes")),P2524,""),"")</f>
        <v/>
      </c>
    </row>
    <row r="2525">
      <c r="A2525" s="47" t="n"/>
      <c r="B2525" s="48" t="n"/>
      <c r="C2525" s="48" t="n"/>
      <c r="D2525" s="48" t="n"/>
      <c r="E2525" s="48" t="n"/>
      <c r="F2525" s="48" t="n"/>
      <c r="G2525" s="48" t="n"/>
      <c r="H2525" s="48" t="n"/>
      <c r="I2525" s="49" t="n"/>
      <c r="J2525" s="50" t="n"/>
      <c r="K2525" s="48" t="n"/>
      <c r="L2525" s="51">
        <f>IF(A2525="","",DATE(YEAR(A2525),MONTH(A2525),1))</f>
        <v/>
      </c>
      <c r="M2525" s="52">
        <f>IF(OR(A2525="",NOT(ISNUMBER(I2525))),"",IF(G2525=Lists!$B$5,I2525/2,IF(G2525=Lists!$B$6,I2525,0)))</f>
        <v/>
      </c>
      <c r="N2525" s="52">
        <f>IF(OR(A2525="",NOT(ISNUMBER(I2525))),"",IF(G2525=Lists!$B$5,I2525/2,IF(G2525=Lists!$B$7,I2525,0)))</f>
        <v/>
      </c>
      <c r="O2525" s="53">
        <f>IF(COUNTA(A2525:K2525)=0,"",IF(OR(A2525="",B2525="",C2525="",D2525="",E2525="",F2525="",G2525="",NOT(ISNUMBER(I2525))),"Incomplete",IF(COUNTIF(Lists!$H$4:$AA$4,C2525)=0,"Check category",IF(COUNTIF(INDEX(Lists!$H$6:$AA$45,0,MATCH(C2525,Lists!$H$4:$AA$4,0)),D2525)=0,"Check sub-category","OK"))))</f>
        <v/>
      </c>
      <c r="P2525">
        <f>IF(ISNUMBER(I2525),I2525+ROW()/10000000,"")</f>
        <v/>
      </c>
      <c r="Q2525">
        <f>IF(AND(ISNUMBER(P2525),ISNUMBER(A2525)),IF(AND(A2525&gt;=Dashboard!$Q$3,A2525&lt;=Dashboard!$Q$4,OR(J2525&lt;&gt;"Yes",Dashboard!$Q$15="Yes")),P2525,""),"")</f>
        <v/>
      </c>
    </row>
    <row r="2526">
      <c r="A2526" s="47" t="n"/>
      <c r="B2526" s="48" t="n"/>
      <c r="C2526" s="48" t="n"/>
      <c r="D2526" s="48" t="n"/>
      <c r="E2526" s="48" t="n"/>
      <c r="F2526" s="48" t="n"/>
      <c r="G2526" s="48" t="n"/>
      <c r="H2526" s="48" t="n"/>
      <c r="I2526" s="49" t="n"/>
      <c r="J2526" s="50" t="n"/>
      <c r="K2526" s="48" t="n"/>
      <c r="L2526" s="51">
        <f>IF(A2526="","",DATE(YEAR(A2526),MONTH(A2526),1))</f>
        <v/>
      </c>
      <c r="M2526" s="52">
        <f>IF(OR(A2526="",NOT(ISNUMBER(I2526))),"",IF(G2526=Lists!$B$5,I2526/2,IF(G2526=Lists!$B$6,I2526,0)))</f>
        <v/>
      </c>
      <c r="N2526" s="52">
        <f>IF(OR(A2526="",NOT(ISNUMBER(I2526))),"",IF(G2526=Lists!$B$5,I2526/2,IF(G2526=Lists!$B$7,I2526,0)))</f>
        <v/>
      </c>
      <c r="O2526" s="53">
        <f>IF(COUNTA(A2526:K2526)=0,"",IF(OR(A2526="",B2526="",C2526="",D2526="",E2526="",F2526="",G2526="",NOT(ISNUMBER(I2526))),"Incomplete",IF(COUNTIF(Lists!$H$4:$AA$4,C2526)=0,"Check category",IF(COUNTIF(INDEX(Lists!$H$6:$AA$45,0,MATCH(C2526,Lists!$H$4:$AA$4,0)),D2526)=0,"Check sub-category","OK"))))</f>
        <v/>
      </c>
      <c r="P2526">
        <f>IF(ISNUMBER(I2526),I2526+ROW()/10000000,"")</f>
        <v/>
      </c>
      <c r="Q2526">
        <f>IF(AND(ISNUMBER(P2526),ISNUMBER(A2526)),IF(AND(A2526&gt;=Dashboard!$Q$3,A2526&lt;=Dashboard!$Q$4,OR(J2526&lt;&gt;"Yes",Dashboard!$Q$15="Yes")),P2526,""),"")</f>
        <v/>
      </c>
    </row>
    <row r="2527">
      <c r="A2527" s="47" t="n"/>
      <c r="B2527" s="48" t="n"/>
      <c r="C2527" s="48" t="n"/>
      <c r="D2527" s="48" t="n"/>
      <c r="E2527" s="48" t="n"/>
      <c r="F2527" s="48" t="n"/>
      <c r="G2527" s="48" t="n"/>
      <c r="H2527" s="48" t="n"/>
      <c r="I2527" s="49" t="n"/>
      <c r="J2527" s="50" t="n"/>
      <c r="K2527" s="48" t="n"/>
      <c r="L2527" s="51">
        <f>IF(A2527="","",DATE(YEAR(A2527),MONTH(A2527),1))</f>
        <v/>
      </c>
      <c r="M2527" s="52">
        <f>IF(OR(A2527="",NOT(ISNUMBER(I2527))),"",IF(G2527=Lists!$B$5,I2527/2,IF(G2527=Lists!$B$6,I2527,0)))</f>
        <v/>
      </c>
      <c r="N2527" s="52">
        <f>IF(OR(A2527="",NOT(ISNUMBER(I2527))),"",IF(G2527=Lists!$B$5,I2527/2,IF(G2527=Lists!$B$7,I2527,0)))</f>
        <v/>
      </c>
      <c r="O2527" s="53">
        <f>IF(COUNTA(A2527:K2527)=0,"",IF(OR(A2527="",B2527="",C2527="",D2527="",E2527="",F2527="",G2527="",NOT(ISNUMBER(I2527))),"Incomplete",IF(COUNTIF(Lists!$H$4:$AA$4,C2527)=0,"Check category",IF(COUNTIF(INDEX(Lists!$H$6:$AA$45,0,MATCH(C2527,Lists!$H$4:$AA$4,0)),D2527)=0,"Check sub-category","OK"))))</f>
        <v/>
      </c>
      <c r="P2527">
        <f>IF(ISNUMBER(I2527),I2527+ROW()/10000000,"")</f>
        <v/>
      </c>
      <c r="Q2527">
        <f>IF(AND(ISNUMBER(P2527),ISNUMBER(A2527)),IF(AND(A2527&gt;=Dashboard!$Q$3,A2527&lt;=Dashboard!$Q$4,OR(J2527&lt;&gt;"Yes",Dashboard!$Q$15="Yes")),P2527,""),"")</f>
        <v/>
      </c>
    </row>
    <row r="2528">
      <c r="A2528" s="47" t="n"/>
      <c r="B2528" s="48" t="n"/>
      <c r="C2528" s="48" t="n"/>
      <c r="D2528" s="48" t="n"/>
      <c r="E2528" s="48" t="n"/>
      <c r="F2528" s="48" t="n"/>
      <c r="G2528" s="48" t="n"/>
      <c r="H2528" s="48" t="n"/>
      <c r="I2528" s="49" t="n"/>
      <c r="J2528" s="50" t="n"/>
      <c r="K2528" s="48" t="n"/>
      <c r="L2528" s="51">
        <f>IF(A2528="","",DATE(YEAR(A2528),MONTH(A2528),1))</f>
        <v/>
      </c>
      <c r="M2528" s="52">
        <f>IF(OR(A2528="",NOT(ISNUMBER(I2528))),"",IF(G2528=Lists!$B$5,I2528/2,IF(G2528=Lists!$B$6,I2528,0)))</f>
        <v/>
      </c>
      <c r="N2528" s="52">
        <f>IF(OR(A2528="",NOT(ISNUMBER(I2528))),"",IF(G2528=Lists!$B$5,I2528/2,IF(G2528=Lists!$B$7,I2528,0)))</f>
        <v/>
      </c>
      <c r="O2528" s="53">
        <f>IF(COUNTA(A2528:K2528)=0,"",IF(OR(A2528="",B2528="",C2528="",D2528="",E2528="",F2528="",G2528="",NOT(ISNUMBER(I2528))),"Incomplete",IF(COUNTIF(Lists!$H$4:$AA$4,C2528)=0,"Check category",IF(COUNTIF(INDEX(Lists!$H$6:$AA$45,0,MATCH(C2528,Lists!$H$4:$AA$4,0)),D2528)=0,"Check sub-category","OK"))))</f>
        <v/>
      </c>
      <c r="P2528">
        <f>IF(ISNUMBER(I2528),I2528+ROW()/10000000,"")</f>
        <v/>
      </c>
      <c r="Q2528">
        <f>IF(AND(ISNUMBER(P2528),ISNUMBER(A2528)),IF(AND(A2528&gt;=Dashboard!$Q$3,A2528&lt;=Dashboard!$Q$4,OR(J2528&lt;&gt;"Yes",Dashboard!$Q$15="Yes")),P2528,""),"")</f>
        <v/>
      </c>
    </row>
    <row r="2529">
      <c r="A2529" s="47" t="n"/>
      <c r="B2529" s="48" t="n"/>
      <c r="C2529" s="48" t="n"/>
      <c r="D2529" s="48" t="n"/>
      <c r="E2529" s="48" t="n"/>
      <c r="F2529" s="48" t="n"/>
      <c r="G2529" s="48" t="n"/>
      <c r="H2529" s="48" t="n"/>
      <c r="I2529" s="49" t="n"/>
      <c r="J2529" s="50" t="n"/>
      <c r="K2529" s="48" t="n"/>
      <c r="L2529" s="51">
        <f>IF(A2529="","",DATE(YEAR(A2529),MONTH(A2529),1))</f>
        <v/>
      </c>
      <c r="M2529" s="52">
        <f>IF(OR(A2529="",NOT(ISNUMBER(I2529))),"",IF(G2529=Lists!$B$5,I2529/2,IF(G2529=Lists!$B$6,I2529,0)))</f>
        <v/>
      </c>
      <c r="N2529" s="52">
        <f>IF(OR(A2529="",NOT(ISNUMBER(I2529))),"",IF(G2529=Lists!$B$5,I2529/2,IF(G2529=Lists!$B$7,I2529,0)))</f>
        <v/>
      </c>
      <c r="O2529" s="53">
        <f>IF(COUNTA(A2529:K2529)=0,"",IF(OR(A2529="",B2529="",C2529="",D2529="",E2529="",F2529="",G2529="",NOT(ISNUMBER(I2529))),"Incomplete",IF(COUNTIF(Lists!$H$4:$AA$4,C2529)=0,"Check category",IF(COUNTIF(INDEX(Lists!$H$6:$AA$45,0,MATCH(C2529,Lists!$H$4:$AA$4,0)),D2529)=0,"Check sub-category","OK"))))</f>
        <v/>
      </c>
      <c r="P2529">
        <f>IF(ISNUMBER(I2529),I2529+ROW()/10000000,"")</f>
        <v/>
      </c>
      <c r="Q2529">
        <f>IF(AND(ISNUMBER(P2529),ISNUMBER(A2529)),IF(AND(A2529&gt;=Dashboard!$Q$3,A2529&lt;=Dashboard!$Q$4,OR(J2529&lt;&gt;"Yes",Dashboard!$Q$15="Yes")),P2529,""),"")</f>
        <v/>
      </c>
    </row>
    <row r="2530">
      <c r="A2530" s="47" t="n"/>
      <c r="B2530" s="48" t="n"/>
      <c r="C2530" s="48" t="n"/>
      <c r="D2530" s="48" t="n"/>
      <c r="E2530" s="48" t="n"/>
      <c r="F2530" s="48" t="n"/>
      <c r="G2530" s="48" t="n"/>
      <c r="H2530" s="48" t="n"/>
      <c r="I2530" s="49" t="n"/>
      <c r="J2530" s="50" t="n"/>
      <c r="K2530" s="48" t="n"/>
      <c r="L2530" s="51">
        <f>IF(A2530="","",DATE(YEAR(A2530),MONTH(A2530),1))</f>
        <v/>
      </c>
      <c r="M2530" s="52">
        <f>IF(OR(A2530="",NOT(ISNUMBER(I2530))),"",IF(G2530=Lists!$B$5,I2530/2,IF(G2530=Lists!$B$6,I2530,0)))</f>
        <v/>
      </c>
      <c r="N2530" s="52">
        <f>IF(OR(A2530="",NOT(ISNUMBER(I2530))),"",IF(G2530=Lists!$B$5,I2530/2,IF(G2530=Lists!$B$7,I2530,0)))</f>
        <v/>
      </c>
      <c r="O2530" s="53">
        <f>IF(COUNTA(A2530:K2530)=0,"",IF(OR(A2530="",B2530="",C2530="",D2530="",E2530="",F2530="",G2530="",NOT(ISNUMBER(I2530))),"Incomplete",IF(COUNTIF(Lists!$H$4:$AA$4,C2530)=0,"Check category",IF(COUNTIF(INDEX(Lists!$H$6:$AA$45,0,MATCH(C2530,Lists!$H$4:$AA$4,0)),D2530)=0,"Check sub-category","OK"))))</f>
        <v/>
      </c>
      <c r="P2530">
        <f>IF(ISNUMBER(I2530),I2530+ROW()/10000000,"")</f>
        <v/>
      </c>
      <c r="Q2530">
        <f>IF(AND(ISNUMBER(P2530),ISNUMBER(A2530)),IF(AND(A2530&gt;=Dashboard!$Q$3,A2530&lt;=Dashboard!$Q$4,OR(J2530&lt;&gt;"Yes",Dashboard!$Q$15="Yes")),P2530,""),"")</f>
        <v/>
      </c>
    </row>
    <row r="2531">
      <c r="A2531" s="47" t="n"/>
      <c r="B2531" s="48" t="n"/>
      <c r="C2531" s="48" t="n"/>
      <c r="D2531" s="48" t="n"/>
      <c r="E2531" s="48" t="n"/>
      <c r="F2531" s="48" t="n"/>
      <c r="G2531" s="48" t="n"/>
      <c r="H2531" s="48" t="n"/>
      <c r="I2531" s="49" t="n"/>
      <c r="J2531" s="50" t="n"/>
      <c r="K2531" s="48" t="n"/>
      <c r="L2531" s="51">
        <f>IF(A2531="","",DATE(YEAR(A2531),MONTH(A2531),1))</f>
        <v/>
      </c>
      <c r="M2531" s="52">
        <f>IF(OR(A2531="",NOT(ISNUMBER(I2531))),"",IF(G2531=Lists!$B$5,I2531/2,IF(G2531=Lists!$B$6,I2531,0)))</f>
        <v/>
      </c>
      <c r="N2531" s="52">
        <f>IF(OR(A2531="",NOT(ISNUMBER(I2531))),"",IF(G2531=Lists!$B$5,I2531/2,IF(G2531=Lists!$B$7,I2531,0)))</f>
        <v/>
      </c>
      <c r="O2531" s="53">
        <f>IF(COUNTA(A2531:K2531)=0,"",IF(OR(A2531="",B2531="",C2531="",D2531="",E2531="",F2531="",G2531="",NOT(ISNUMBER(I2531))),"Incomplete",IF(COUNTIF(Lists!$H$4:$AA$4,C2531)=0,"Check category",IF(COUNTIF(INDEX(Lists!$H$6:$AA$45,0,MATCH(C2531,Lists!$H$4:$AA$4,0)),D2531)=0,"Check sub-category","OK"))))</f>
        <v/>
      </c>
      <c r="P2531">
        <f>IF(ISNUMBER(I2531),I2531+ROW()/10000000,"")</f>
        <v/>
      </c>
      <c r="Q2531">
        <f>IF(AND(ISNUMBER(P2531),ISNUMBER(A2531)),IF(AND(A2531&gt;=Dashboard!$Q$3,A2531&lt;=Dashboard!$Q$4,OR(J2531&lt;&gt;"Yes",Dashboard!$Q$15="Yes")),P2531,""),"")</f>
        <v/>
      </c>
    </row>
    <row r="2532">
      <c r="A2532" s="47" t="n"/>
      <c r="B2532" s="48" t="n"/>
      <c r="C2532" s="48" t="n"/>
      <c r="D2532" s="48" t="n"/>
      <c r="E2532" s="48" t="n"/>
      <c r="F2532" s="48" t="n"/>
      <c r="G2532" s="48" t="n"/>
      <c r="H2532" s="48" t="n"/>
      <c r="I2532" s="49" t="n"/>
      <c r="J2532" s="50" t="n"/>
      <c r="K2532" s="48" t="n"/>
      <c r="L2532" s="51">
        <f>IF(A2532="","",DATE(YEAR(A2532),MONTH(A2532),1))</f>
        <v/>
      </c>
      <c r="M2532" s="52">
        <f>IF(OR(A2532="",NOT(ISNUMBER(I2532))),"",IF(G2532=Lists!$B$5,I2532/2,IF(G2532=Lists!$B$6,I2532,0)))</f>
        <v/>
      </c>
      <c r="N2532" s="52">
        <f>IF(OR(A2532="",NOT(ISNUMBER(I2532))),"",IF(G2532=Lists!$B$5,I2532/2,IF(G2532=Lists!$B$7,I2532,0)))</f>
        <v/>
      </c>
      <c r="O2532" s="53">
        <f>IF(COUNTA(A2532:K2532)=0,"",IF(OR(A2532="",B2532="",C2532="",D2532="",E2532="",F2532="",G2532="",NOT(ISNUMBER(I2532))),"Incomplete",IF(COUNTIF(Lists!$H$4:$AA$4,C2532)=0,"Check category",IF(COUNTIF(INDEX(Lists!$H$6:$AA$45,0,MATCH(C2532,Lists!$H$4:$AA$4,0)),D2532)=0,"Check sub-category","OK"))))</f>
        <v/>
      </c>
      <c r="P2532">
        <f>IF(ISNUMBER(I2532),I2532+ROW()/10000000,"")</f>
        <v/>
      </c>
      <c r="Q2532">
        <f>IF(AND(ISNUMBER(P2532),ISNUMBER(A2532)),IF(AND(A2532&gt;=Dashboard!$Q$3,A2532&lt;=Dashboard!$Q$4,OR(J2532&lt;&gt;"Yes",Dashboard!$Q$15="Yes")),P2532,""),"")</f>
        <v/>
      </c>
    </row>
    <row r="2533">
      <c r="A2533" s="47" t="n"/>
      <c r="B2533" s="48" t="n"/>
      <c r="C2533" s="48" t="n"/>
      <c r="D2533" s="48" t="n"/>
      <c r="E2533" s="48" t="n"/>
      <c r="F2533" s="48" t="n"/>
      <c r="G2533" s="48" t="n"/>
      <c r="H2533" s="48" t="n"/>
      <c r="I2533" s="49" t="n"/>
      <c r="J2533" s="50" t="n"/>
      <c r="K2533" s="48" t="n"/>
      <c r="L2533" s="51">
        <f>IF(A2533="","",DATE(YEAR(A2533),MONTH(A2533),1))</f>
        <v/>
      </c>
      <c r="M2533" s="52">
        <f>IF(OR(A2533="",NOT(ISNUMBER(I2533))),"",IF(G2533=Lists!$B$5,I2533/2,IF(G2533=Lists!$B$6,I2533,0)))</f>
        <v/>
      </c>
      <c r="N2533" s="52">
        <f>IF(OR(A2533="",NOT(ISNUMBER(I2533))),"",IF(G2533=Lists!$B$5,I2533/2,IF(G2533=Lists!$B$7,I2533,0)))</f>
        <v/>
      </c>
      <c r="O2533" s="53">
        <f>IF(COUNTA(A2533:K2533)=0,"",IF(OR(A2533="",B2533="",C2533="",D2533="",E2533="",F2533="",G2533="",NOT(ISNUMBER(I2533))),"Incomplete",IF(COUNTIF(Lists!$H$4:$AA$4,C2533)=0,"Check category",IF(COUNTIF(INDEX(Lists!$H$6:$AA$45,0,MATCH(C2533,Lists!$H$4:$AA$4,0)),D2533)=0,"Check sub-category","OK"))))</f>
        <v/>
      </c>
      <c r="P2533">
        <f>IF(ISNUMBER(I2533),I2533+ROW()/10000000,"")</f>
        <v/>
      </c>
      <c r="Q2533">
        <f>IF(AND(ISNUMBER(P2533),ISNUMBER(A2533)),IF(AND(A2533&gt;=Dashboard!$Q$3,A2533&lt;=Dashboard!$Q$4,OR(J2533&lt;&gt;"Yes",Dashboard!$Q$15="Yes")),P2533,""),"")</f>
        <v/>
      </c>
    </row>
    <row r="2534">
      <c r="A2534" s="47" t="n"/>
      <c r="B2534" s="48" t="n"/>
      <c r="C2534" s="48" t="n"/>
      <c r="D2534" s="48" t="n"/>
      <c r="E2534" s="48" t="n"/>
      <c r="F2534" s="48" t="n"/>
      <c r="G2534" s="48" t="n"/>
      <c r="H2534" s="48" t="n"/>
      <c r="I2534" s="49" t="n"/>
      <c r="J2534" s="50" t="n"/>
      <c r="K2534" s="48" t="n"/>
      <c r="L2534" s="51">
        <f>IF(A2534="","",DATE(YEAR(A2534),MONTH(A2534),1))</f>
        <v/>
      </c>
      <c r="M2534" s="52">
        <f>IF(OR(A2534="",NOT(ISNUMBER(I2534))),"",IF(G2534=Lists!$B$5,I2534/2,IF(G2534=Lists!$B$6,I2534,0)))</f>
        <v/>
      </c>
      <c r="N2534" s="52">
        <f>IF(OR(A2534="",NOT(ISNUMBER(I2534))),"",IF(G2534=Lists!$B$5,I2534/2,IF(G2534=Lists!$B$7,I2534,0)))</f>
        <v/>
      </c>
      <c r="O2534" s="53">
        <f>IF(COUNTA(A2534:K2534)=0,"",IF(OR(A2534="",B2534="",C2534="",D2534="",E2534="",F2534="",G2534="",NOT(ISNUMBER(I2534))),"Incomplete",IF(COUNTIF(Lists!$H$4:$AA$4,C2534)=0,"Check category",IF(COUNTIF(INDEX(Lists!$H$6:$AA$45,0,MATCH(C2534,Lists!$H$4:$AA$4,0)),D2534)=0,"Check sub-category","OK"))))</f>
        <v/>
      </c>
      <c r="P2534">
        <f>IF(ISNUMBER(I2534),I2534+ROW()/10000000,"")</f>
        <v/>
      </c>
      <c r="Q2534">
        <f>IF(AND(ISNUMBER(P2534),ISNUMBER(A2534)),IF(AND(A2534&gt;=Dashboard!$Q$3,A2534&lt;=Dashboard!$Q$4,OR(J2534&lt;&gt;"Yes",Dashboard!$Q$15="Yes")),P2534,""),"")</f>
        <v/>
      </c>
    </row>
    <row r="2535">
      <c r="A2535" s="47" t="n"/>
      <c r="B2535" s="48" t="n"/>
      <c r="C2535" s="48" t="n"/>
      <c r="D2535" s="48" t="n"/>
      <c r="E2535" s="48" t="n"/>
      <c r="F2535" s="48" t="n"/>
      <c r="G2535" s="48" t="n"/>
      <c r="H2535" s="48" t="n"/>
      <c r="I2535" s="49" t="n"/>
      <c r="J2535" s="50" t="n"/>
      <c r="K2535" s="48" t="n"/>
      <c r="L2535" s="51">
        <f>IF(A2535="","",DATE(YEAR(A2535),MONTH(A2535),1))</f>
        <v/>
      </c>
      <c r="M2535" s="52">
        <f>IF(OR(A2535="",NOT(ISNUMBER(I2535))),"",IF(G2535=Lists!$B$5,I2535/2,IF(G2535=Lists!$B$6,I2535,0)))</f>
        <v/>
      </c>
      <c r="N2535" s="52">
        <f>IF(OR(A2535="",NOT(ISNUMBER(I2535))),"",IF(G2535=Lists!$B$5,I2535/2,IF(G2535=Lists!$B$7,I2535,0)))</f>
        <v/>
      </c>
      <c r="O2535" s="53">
        <f>IF(COUNTA(A2535:K2535)=0,"",IF(OR(A2535="",B2535="",C2535="",D2535="",E2535="",F2535="",G2535="",NOT(ISNUMBER(I2535))),"Incomplete",IF(COUNTIF(Lists!$H$4:$AA$4,C2535)=0,"Check category",IF(COUNTIF(INDEX(Lists!$H$6:$AA$45,0,MATCH(C2535,Lists!$H$4:$AA$4,0)),D2535)=0,"Check sub-category","OK"))))</f>
        <v/>
      </c>
      <c r="P2535">
        <f>IF(ISNUMBER(I2535),I2535+ROW()/10000000,"")</f>
        <v/>
      </c>
      <c r="Q2535">
        <f>IF(AND(ISNUMBER(P2535),ISNUMBER(A2535)),IF(AND(A2535&gt;=Dashboard!$Q$3,A2535&lt;=Dashboard!$Q$4,OR(J2535&lt;&gt;"Yes",Dashboard!$Q$15="Yes")),P2535,""),"")</f>
        <v/>
      </c>
    </row>
    <row r="2536">
      <c r="A2536" s="47" t="n"/>
      <c r="B2536" s="48" t="n"/>
      <c r="C2536" s="48" t="n"/>
      <c r="D2536" s="48" t="n"/>
      <c r="E2536" s="48" t="n"/>
      <c r="F2536" s="48" t="n"/>
      <c r="G2536" s="48" t="n"/>
      <c r="H2536" s="48" t="n"/>
      <c r="I2536" s="49" t="n"/>
      <c r="J2536" s="50" t="n"/>
      <c r="K2536" s="48" t="n"/>
      <c r="L2536" s="51">
        <f>IF(A2536="","",DATE(YEAR(A2536),MONTH(A2536),1))</f>
        <v/>
      </c>
      <c r="M2536" s="52">
        <f>IF(OR(A2536="",NOT(ISNUMBER(I2536))),"",IF(G2536=Lists!$B$5,I2536/2,IF(G2536=Lists!$B$6,I2536,0)))</f>
        <v/>
      </c>
      <c r="N2536" s="52">
        <f>IF(OR(A2536="",NOT(ISNUMBER(I2536))),"",IF(G2536=Lists!$B$5,I2536/2,IF(G2536=Lists!$B$7,I2536,0)))</f>
        <v/>
      </c>
      <c r="O2536" s="53">
        <f>IF(COUNTA(A2536:K2536)=0,"",IF(OR(A2536="",B2536="",C2536="",D2536="",E2536="",F2536="",G2536="",NOT(ISNUMBER(I2536))),"Incomplete",IF(COUNTIF(Lists!$H$4:$AA$4,C2536)=0,"Check category",IF(COUNTIF(INDEX(Lists!$H$6:$AA$45,0,MATCH(C2536,Lists!$H$4:$AA$4,0)),D2536)=0,"Check sub-category","OK"))))</f>
        <v/>
      </c>
      <c r="P2536">
        <f>IF(ISNUMBER(I2536),I2536+ROW()/10000000,"")</f>
        <v/>
      </c>
      <c r="Q2536">
        <f>IF(AND(ISNUMBER(P2536),ISNUMBER(A2536)),IF(AND(A2536&gt;=Dashboard!$Q$3,A2536&lt;=Dashboard!$Q$4,OR(J2536&lt;&gt;"Yes",Dashboard!$Q$15="Yes")),P2536,""),"")</f>
        <v/>
      </c>
    </row>
    <row r="2537">
      <c r="A2537" s="47" t="n"/>
      <c r="B2537" s="48" t="n"/>
      <c r="C2537" s="48" t="n"/>
      <c r="D2537" s="48" t="n"/>
      <c r="E2537" s="48" t="n"/>
      <c r="F2537" s="48" t="n"/>
      <c r="G2537" s="48" t="n"/>
      <c r="H2537" s="48" t="n"/>
      <c r="I2537" s="49" t="n"/>
      <c r="J2537" s="50" t="n"/>
      <c r="K2537" s="48" t="n"/>
      <c r="L2537" s="51">
        <f>IF(A2537="","",DATE(YEAR(A2537),MONTH(A2537),1))</f>
        <v/>
      </c>
      <c r="M2537" s="52">
        <f>IF(OR(A2537="",NOT(ISNUMBER(I2537))),"",IF(G2537=Lists!$B$5,I2537/2,IF(G2537=Lists!$B$6,I2537,0)))</f>
        <v/>
      </c>
      <c r="N2537" s="52">
        <f>IF(OR(A2537="",NOT(ISNUMBER(I2537))),"",IF(G2537=Lists!$B$5,I2537/2,IF(G2537=Lists!$B$7,I2537,0)))</f>
        <v/>
      </c>
      <c r="O2537" s="53">
        <f>IF(COUNTA(A2537:K2537)=0,"",IF(OR(A2537="",B2537="",C2537="",D2537="",E2537="",F2537="",G2537="",NOT(ISNUMBER(I2537))),"Incomplete",IF(COUNTIF(Lists!$H$4:$AA$4,C2537)=0,"Check category",IF(COUNTIF(INDEX(Lists!$H$6:$AA$45,0,MATCH(C2537,Lists!$H$4:$AA$4,0)),D2537)=0,"Check sub-category","OK"))))</f>
        <v/>
      </c>
      <c r="P2537">
        <f>IF(ISNUMBER(I2537),I2537+ROW()/10000000,"")</f>
        <v/>
      </c>
      <c r="Q2537">
        <f>IF(AND(ISNUMBER(P2537),ISNUMBER(A2537)),IF(AND(A2537&gt;=Dashboard!$Q$3,A2537&lt;=Dashboard!$Q$4,OR(J2537&lt;&gt;"Yes",Dashboard!$Q$15="Yes")),P2537,""),"")</f>
        <v/>
      </c>
    </row>
    <row r="2538">
      <c r="A2538" s="47" t="n"/>
      <c r="B2538" s="48" t="n"/>
      <c r="C2538" s="48" t="n"/>
      <c r="D2538" s="48" t="n"/>
      <c r="E2538" s="48" t="n"/>
      <c r="F2538" s="48" t="n"/>
      <c r="G2538" s="48" t="n"/>
      <c r="H2538" s="48" t="n"/>
      <c r="I2538" s="49" t="n"/>
      <c r="J2538" s="50" t="n"/>
      <c r="K2538" s="48" t="n"/>
      <c r="L2538" s="51">
        <f>IF(A2538="","",DATE(YEAR(A2538),MONTH(A2538),1))</f>
        <v/>
      </c>
      <c r="M2538" s="52">
        <f>IF(OR(A2538="",NOT(ISNUMBER(I2538))),"",IF(G2538=Lists!$B$5,I2538/2,IF(G2538=Lists!$B$6,I2538,0)))</f>
        <v/>
      </c>
      <c r="N2538" s="52">
        <f>IF(OR(A2538="",NOT(ISNUMBER(I2538))),"",IF(G2538=Lists!$B$5,I2538/2,IF(G2538=Lists!$B$7,I2538,0)))</f>
        <v/>
      </c>
      <c r="O2538" s="53">
        <f>IF(COUNTA(A2538:K2538)=0,"",IF(OR(A2538="",B2538="",C2538="",D2538="",E2538="",F2538="",G2538="",NOT(ISNUMBER(I2538))),"Incomplete",IF(COUNTIF(Lists!$H$4:$AA$4,C2538)=0,"Check category",IF(COUNTIF(INDEX(Lists!$H$6:$AA$45,0,MATCH(C2538,Lists!$H$4:$AA$4,0)),D2538)=0,"Check sub-category","OK"))))</f>
        <v/>
      </c>
      <c r="P2538">
        <f>IF(ISNUMBER(I2538),I2538+ROW()/10000000,"")</f>
        <v/>
      </c>
      <c r="Q2538">
        <f>IF(AND(ISNUMBER(P2538),ISNUMBER(A2538)),IF(AND(A2538&gt;=Dashboard!$Q$3,A2538&lt;=Dashboard!$Q$4,OR(J2538&lt;&gt;"Yes",Dashboard!$Q$15="Yes")),P2538,""),"")</f>
        <v/>
      </c>
    </row>
    <row r="2539">
      <c r="A2539" s="47" t="n"/>
      <c r="B2539" s="48" t="n"/>
      <c r="C2539" s="48" t="n"/>
      <c r="D2539" s="48" t="n"/>
      <c r="E2539" s="48" t="n"/>
      <c r="F2539" s="48" t="n"/>
      <c r="G2539" s="48" t="n"/>
      <c r="H2539" s="48" t="n"/>
      <c r="I2539" s="49" t="n"/>
      <c r="J2539" s="50" t="n"/>
      <c r="K2539" s="48" t="n"/>
      <c r="L2539" s="51">
        <f>IF(A2539="","",DATE(YEAR(A2539),MONTH(A2539),1))</f>
        <v/>
      </c>
      <c r="M2539" s="52">
        <f>IF(OR(A2539="",NOT(ISNUMBER(I2539))),"",IF(G2539=Lists!$B$5,I2539/2,IF(G2539=Lists!$B$6,I2539,0)))</f>
        <v/>
      </c>
      <c r="N2539" s="52">
        <f>IF(OR(A2539="",NOT(ISNUMBER(I2539))),"",IF(G2539=Lists!$B$5,I2539/2,IF(G2539=Lists!$B$7,I2539,0)))</f>
        <v/>
      </c>
      <c r="O2539" s="53">
        <f>IF(COUNTA(A2539:K2539)=0,"",IF(OR(A2539="",B2539="",C2539="",D2539="",E2539="",F2539="",G2539="",NOT(ISNUMBER(I2539))),"Incomplete",IF(COUNTIF(Lists!$H$4:$AA$4,C2539)=0,"Check category",IF(COUNTIF(INDEX(Lists!$H$6:$AA$45,0,MATCH(C2539,Lists!$H$4:$AA$4,0)),D2539)=0,"Check sub-category","OK"))))</f>
        <v/>
      </c>
      <c r="P2539">
        <f>IF(ISNUMBER(I2539),I2539+ROW()/10000000,"")</f>
        <v/>
      </c>
      <c r="Q2539">
        <f>IF(AND(ISNUMBER(P2539),ISNUMBER(A2539)),IF(AND(A2539&gt;=Dashboard!$Q$3,A2539&lt;=Dashboard!$Q$4,OR(J2539&lt;&gt;"Yes",Dashboard!$Q$15="Yes")),P2539,""),"")</f>
        <v/>
      </c>
    </row>
    <row r="2540">
      <c r="A2540" s="47" t="n"/>
      <c r="B2540" s="48" t="n"/>
      <c r="C2540" s="48" t="n"/>
      <c r="D2540" s="48" t="n"/>
      <c r="E2540" s="48" t="n"/>
      <c r="F2540" s="48" t="n"/>
      <c r="G2540" s="48" t="n"/>
      <c r="H2540" s="48" t="n"/>
      <c r="I2540" s="49" t="n"/>
      <c r="J2540" s="50" t="n"/>
      <c r="K2540" s="48" t="n"/>
      <c r="L2540" s="51">
        <f>IF(A2540="","",DATE(YEAR(A2540),MONTH(A2540),1))</f>
        <v/>
      </c>
      <c r="M2540" s="52">
        <f>IF(OR(A2540="",NOT(ISNUMBER(I2540))),"",IF(G2540=Lists!$B$5,I2540/2,IF(G2540=Lists!$B$6,I2540,0)))</f>
        <v/>
      </c>
      <c r="N2540" s="52">
        <f>IF(OR(A2540="",NOT(ISNUMBER(I2540))),"",IF(G2540=Lists!$B$5,I2540/2,IF(G2540=Lists!$B$7,I2540,0)))</f>
        <v/>
      </c>
      <c r="O2540" s="53">
        <f>IF(COUNTA(A2540:K2540)=0,"",IF(OR(A2540="",B2540="",C2540="",D2540="",E2540="",F2540="",G2540="",NOT(ISNUMBER(I2540))),"Incomplete",IF(COUNTIF(Lists!$H$4:$AA$4,C2540)=0,"Check category",IF(COUNTIF(INDEX(Lists!$H$6:$AA$45,0,MATCH(C2540,Lists!$H$4:$AA$4,0)),D2540)=0,"Check sub-category","OK"))))</f>
        <v/>
      </c>
      <c r="P2540">
        <f>IF(ISNUMBER(I2540),I2540+ROW()/10000000,"")</f>
        <v/>
      </c>
      <c r="Q2540">
        <f>IF(AND(ISNUMBER(P2540),ISNUMBER(A2540)),IF(AND(A2540&gt;=Dashboard!$Q$3,A2540&lt;=Dashboard!$Q$4,OR(J2540&lt;&gt;"Yes",Dashboard!$Q$15="Yes")),P2540,""),"")</f>
        <v/>
      </c>
    </row>
    <row r="2541">
      <c r="A2541" s="47" t="n"/>
      <c r="B2541" s="48" t="n"/>
      <c r="C2541" s="48" t="n"/>
      <c r="D2541" s="48" t="n"/>
      <c r="E2541" s="48" t="n"/>
      <c r="F2541" s="48" t="n"/>
      <c r="G2541" s="48" t="n"/>
      <c r="H2541" s="48" t="n"/>
      <c r="I2541" s="49" t="n"/>
      <c r="J2541" s="50" t="n"/>
      <c r="K2541" s="48" t="n"/>
      <c r="L2541" s="51">
        <f>IF(A2541="","",DATE(YEAR(A2541),MONTH(A2541),1))</f>
        <v/>
      </c>
      <c r="M2541" s="52">
        <f>IF(OR(A2541="",NOT(ISNUMBER(I2541))),"",IF(G2541=Lists!$B$5,I2541/2,IF(G2541=Lists!$B$6,I2541,0)))</f>
        <v/>
      </c>
      <c r="N2541" s="52">
        <f>IF(OR(A2541="",NOT(ISNUMBER(I2541))),"",IF(G2541=Lists!$B$5,I2541/2,IF(G2541=Lists!$B$7,I2541,0)))</f>
        <v/>
      </c>
      <c r="O2541" s="53">
        <f>IF(COUNTA(A2541:K2541)=0,"",IF(OR(A2541="",B2541="",C2541="",D2541="",E2541="",F2541="",G2541="",NOT(ISNUMBER(I2541))),"Incomplete",IF(COUNTIF(Lists!$H$4:$AA$4,C2541)=0,"Check category",IF(COUNTIF(INDEX(Lists!$H$6:$AA$45,0,MATCH(C2541,Lists!$H$4:$AA$4,0)),D2541)=0,"Check sub-category","OK"))))</f>
        <v/>
      </c>
      <c r="P2541">
        <f>IF(ISNUMBER(I2541),I2541+ROW()/10000000,"")</f>
        <v/>
      </c>
      <c r="Q2541">
        <f>IF(AND(ISNUMBER(P2541),ISNUMBER(A2541)),IF(AND(A2541&gt;=Dashboard!$Q$3,A2541&lt;=Dashboard!$Q$4,OR(J2541&lt;&gt;"Yes",Dashboard!$Q$15="Yes")),P2541,""),"")</f>
        <v/>
      </c>
    </row>
    <row r="2542">
      <c r="A2542" s="47" t="n"/>
      <c r="B2542" s="48" t="n"/>
      <c r="C2542" s="48" t="n"/>
      <c r="D2542" s="48" t="n"/>
      <c r="E2542" s="48" t="n"/>
      <c r="F2542" s="48" t="n"/>
      <c r="G2542" s="48" t="n"/>
      <c r="H2542" s="48" t="n"/>
      <c r="I2542" s="49" t="n"/>
      <c r="J2542" s="50" t="n"/>
      <c r="K2542" s="48" t="n"/>
      <c r="L2542" s="51">
        <f>IF(A2542="","",DATE(YEAR(A2542),MONTH(A2542),1))</f>
        <v/>
      </c>
      <c r="M2542" s="52">
        <f>IF(OR(A2542="",NOT(ISNUMBER(I2542))),"",IF(G2542=Lists!$B$5,I2542/2,IF(G2542=Lists!$B$6,I2542,0)))</f>
        <v/>
      </c>
      <c r="N2542" s="52">
        <f>IF(OR(A2542="",NOT(ISNUMBER(I2542))),"",IF(G2542=Lists!$B$5,I2542/2,IF(G2542=Lists!$B$7,I2542,0)))</f>
        <v/>
      </c>
      <c r="O2542" s="53">
        <f>IF(COUNTA(A2542:K2542)=0,"",IF(OR(A2542="",B2542="",C2542="",D2542="",E2542="",F2542="",G2542="",NOT(ISNUMBER(I2542))),"Incomplete",IF(COUNTIF(Lists!$H$4:$AA$4,C2542)=0,"Check category",IF(COUNTIF(INDEX(Lists!$H$6:$AA$45,0,MATCH(C2542,Lists!$H$4:$AA$4,0)),D2542)=0,"Check sub-category","OK"))))</f>
        <v/>
      </c>
      <c r="P2542">
        <f>IF(ISNUMBER(I2542),I2542+ROW()/10000000,"")</f>
        <v/>
      </c>
      <c r="Q2542">
        <f>IF(AND(ISNUMBER(P2542),ISNUMBER(A2542)),IF(AND(A2542&gt;=Dashboard!$Q$3,A2542&lt;=Dashboard!$Q$4,OR(J2542&lt;&gt;"Yes",Dashboard!$Q$15="Yes")),P2542,""),"")</f>
        <v/>
      </c>
    </row>
    <row r="2543">
      <c r="A2543" s="47" t="n"/>
      <c r="B2543" s="48" t="n"/>
      <c r="C2543" s="48" t="n"/>
      <c r="D2543" s="48" t="n"/>
      <c r="E2543" s="48" t="n"/>
      <c r="F2543" s="48" t="n"/>
      <c r="G2543" s="48" t="n"/>
      <c r="H2543" s="48" t="n"/>
      <c r="I2543" s="49" t="n"/>
      <c r="J2543" s="50" t="n"/>
      <c r="K2543" s="48" t="n"/>
      <c r="L2543" s="51">
        <f>IF(A2543="","",DATE(YEAR(A2543),MONTH(A2543),1))</f>
        <v/>
      </c>
      <c r="M2543" s="52">
        <f>IF(OR(A2543="",NOT(ISNUMBER(I2543))),"",IF(G2543=Lists!$B$5,I2543/2,IF(G2543=Lists!$B$6,I2543,0)))</f>
        <v/>
      </c>
      <c r="N2543" s="52">
        <f>IF(OR(A2543="",NOT(ISNUMBER(I2543))),"",IF(G2543=Lists!$B$5,I2543/2,IF(G2543=Lists!$B$7,I2543,0)))</f>
        <v/>
      </c>
      <c r="O2543" s="53">
        <f>IF(COUNTA(A2543:K2543)=0,"",IF(OR(A2543="",B2543="",C2543="",D2543="",E2543="",F2543="",G2543="",NOT(ISNUMBER(I2543))),"Incomplete",IF(COUNTIF(Lists!$H$4:$AA$4,C2543)=0,"Check category",IF(COUNTIF(INDEX(Lists!$H$6:$AA$45,0,MATCH(C2543,Lists!$H$4:$AA$4,0)),D2543)=0,"Check sub-category","OK"))))</f>
        <v/>
      </c>
      <c r="P2543">
        <f>IF(ISNUMBER(I2543),I2543+ROW()/10000000,"")</f>
        <v/>
      </c>
      <c r="Q2543">
        <f>IF(AND(ISNUMBER(P2543),ISNUMBER(A2543)),IF(AND(A2543&gt;=Dashboard!$Q$3,A2543&lt;=Dashboard!$Q$4,OR(J2543&lt;&gt;"Yes",Dashboard!$Q$15="Yes")),P2543,""),"")</f>
        <v/>
      </c>
    </row>
    <row r="2544">
      <c r="A2544" s="47" t="n"/>
      <c r="B2544" s="48" t="n"/>
      <c r="C2544" s="48" t="n"/>
      <c r="D2544" s="48" t="n"/>
      <c r="E2544" s="48" t="n"/>
      <c r="F2544" s="48" t="n"/>
      <c r="G2544" s="48" t="n"/>
      <c r="H2544" s="48" t="n"/>
      <c r="I2544" s="49" t="n"/>
      <c r="J2544" s="50" t="n"/>
      <c r="K2544" s="48" t="n"/>
      <c r="L2544" s="51">
        <f>IF(A2544="","",DATE(YEAR(A2544),MONTH(A2544),1))</f>
        <v/>
      </c>
      <c r="M2544" s="52">
        <f>IF(OR(A2544="",NOT(ISNUMBER(I2544))),"",IF(G2544=Lists!$B$5,I2544/2,IF(G2544=Lists!$B$6,I2544,0)))</f>
        <v/>
      </c>
      <c r="N2544" s="52">
        <f>IF(OR(A2544="",NOT(ISNUMBER(I2544))),"",IF(G2544=Lists!$B$5,I2544/2,IF(G2544=Lists!$B$7,I2544,0)))</f>
        <v/>
      </c>
      <c r="O2544" s="53">
        <f>IF(COUNTA(A2544:K2544)=0,"",IF(OR(A2544="",B2544="",C2544="",D2544="",E2544="",F2544="",G2544="",NOT(ISNUMBER(I2544))),"Incomplete",IF(COUNTIF(Lists!$H$4:$AA$4,C2544)=0,"Check category",IF(COUNTIF(INDEX(Lists!$H$6:$AA$45,0,MATCH(C2544,Lists!$H$4:$AA$4,0)),D2544)=0,"Check sub-category","OK"))))</f>
        <v/>
      </c>
      <c r="P2544">
        <f>IF(ISNUMBER(I2544),I2544+ROW()/10000000,"")</f>
        <v/>
      </c>
      <c r="Q2544">
        <f>IF(AND(ISNUMBER(P2544),ISNUMBER(A2544)),IF(AND(A2544&gt;=Dashboard!$Q$3,A2544&lt;=Dashboard!$Q$4,OR(J2544&lt;&gt;"Yes",Dashboard!$Q$15="Yes")),P2544,""),"")</f>
        <v/>
      </c>
    </row>
    <row r="2545">
      <c r="A2545" s="47" t="n"/>
      <c r="B2545" s="48" t="n"/>
      <c r="C2545" s="48" t="n"/>
      <c r="D2545" s="48" t="n"/>
      <c r="E2545" s="48" t="n"/>
      <c r="F2545" s="48" t="n"/>
      <c r="G2545" s="48" t="n"/>
      <c r="H2545" s="48" t="n"/>
      <c r="I2545" s="49" t="n"/>
      <c r="J2545" s="50" t="n"/>
      <c r="K2545" s="48" t="n"/>
      <c r="L2545" s="51">
        <f>IF(A2545="","",DATE(YEAR(A2545),MONTH(A2545),1))</f>
        <v/>
      </c>
      <c r="M2545" s="52">
        <f>IF(OR(A2545="",NOT(ISNUMBER(I2545))),"",IF(G2545=Lists!$B$5,I2545/2,IF(G2545=Lists!$B$6,I2545,0)))</f>
        <v/>
      </c>
      <c r="N2545" s="52">
        <f>IF(OR(A2545="",NOT(ISNUMBER(I2545))),"",IF(G2545=Lists!$B$5,I2545/2,IF(G2545=Lists!$B$7,I2545,0)))</f>
        <v/>
      </c>
      <c r="O2545" s="53">
        <f>IF(COUNTA(A2545:K2545)=0,"",IF(OR(A2545="",B2545="",C2545="",D2545="",E2545="",F2545="",G2545="",NOT(ISNUMBER(I2545))),"Incomplete",IF(COUNTIF(Lists!$H$4:$AA$4,C2545)=0,"Check category",IF(COUNTIF(INDEX(Lists!$H$6:$AA$45,0,MATCH(C2545,Lists!$H$4:$AA$4,0)),D2545)=0,"Check sub-category","OK"))))</f>
        <v/>
      </c>
      <c r="P2545">
        <f>IF(ISNUMBER(I2545),I2545+ROW()/10000000,"")</f>
        <v/>
      </c>
      <c r="Q2545">
        <f>IF(AND(ISNUMBER(P2545),ISNUMBER(A2545)),IF(AND(A2545&gt;=Dashboard!$Q$3,A2545&lt;=Dashboard!$Q$4,OR(J2545&lt;&gt;"Yes",Dashboard!$Q$15="Yes")),P2545,""),"")</f>
        <v/>
      </c>
    </row>
    <row r="2546">
      <c r="A2546" s="47" t="n"/>
      <c r="B2546" s="48" t="n"/>
      <c r="C2546" s="48" t="n"/>
      <c r="D2546" s="48" t="n"/>
      <c r="E2546" s="48" t="n"/>
      <c r="F2546" s="48" t="n"/>
      <c r="G2546" s="48" t="n"/>
      <c r="H2546" s="48" t="n"/>
      <c r="I2546" s="49" t="n"/>
      <c r="J2546" s="50" t="n"/>
      <c r="K2546" s="48" t="n"/>
      <c r="L2546" s="51">
        <f>IF(A2546="","",DATE(YEAR(A2546),MONTH(A2546),1))</f>
        <v/>
      </c>
      <c r="M2546" s="52">
        <f>IF(OR(A2546="",NOT(ISNUMBER(I2546))),"",IF(G2546=Lists!$B$5,I2546/2,IF(G2546=Lists!$B$6,I2546,0)))</f>
        <v/>
      </c>
      <c r="N2546" s="52">
        <f>IF(OR(A2546="",NOT(ISNUMBER(I2546))),"",IF(G2546=Lists!$B$5,I2546/2,IF(G2546=Lists!$B$7,I2546,0)))</f>
        <v/>
      </c>
      <c r="O2546" s="53">
        <f>IF(COUNTA(A2546:K2546)=0,"",IF(OR(A2546="",B2546="",C2546="",D2546="",E2546="",F2546="",G2546="",NOT(ISNUMBER(I2546))),"Incomplete",IF(COUNTIF(Lists!$H$4:$AA$4,C2546)=0,"Check category",IF(COUNTIF(INDEX(Lists!$H$6:$AA$45,0,MATCH(C2546,Lists!$H$4:$AA$4,0)),D2546)=0,"Check sub-category","OK"))))</f>
        <v/>
      </c>
      <c r="P2546">
        <f>IF(ISNUMBER(I2546),I2546+ROW()/10000000,"")</f>
        <v/>
      </c>
      <c r="Q2546">
        <f>IF(AND(ISNUMBER(P2546),ISNUMBER(A2546)),IF(AND(A2546&gt;=Dashboard!$Q$3,A2546&lt;=Dashboard!$Q$4,OR(J2546&lt;&gt;"Yes",Dashboard!$Q$15="Yes")),P2546,""),"")</f>
        <v/>
      </c>
    </row>
    <row r="2547">
      <c r="A2547" s="47" t="n"/>
      <c r="B2547" s="48" t="n"/>
      <c r="C2547" s="48" t="n"/>
      <c r="D2547" s="48" t="n"/>
      <c r="E2547" s="48" t="n"/>
      <c r="F2547" s="48" t="n"/>
      <c r="G2547" s="48" t="n"/>
      <c r="H2547" s="48" t="n"/>
      <c r="I2547" s="49" t="n"/>
      <c r="J2547" s="50" t="n"/>
      <c r="K2547" s="48" t="n"/>
      <c r="L2547" s="51">
        <f>IF(A2547="","",DATE(YEAR(A2547),MONTH(A2547),1))</f>
        <v/>
      </c>
      <c r="M2547" s="52">
        <f>IF(OR(A2547="",NOT(ISNUMBER(I2547))),"",IF(G2547=Lists!$B$5,I2547/2,IF(G2547=Lists!$B$6,I2547,0)))</f>
        <v/>
      </c>
      <c r="N2547" s="52">
        <f>IF(OR(A2547="",NOT(ISNUMBER(I2547))),"",IF(G2547=Lists!$B$5,I2547/2,IF(G2547=Lists!$B$7,I2547,0)))</f>
        <v/>
      </c>
      <c r="O2547" s="53">
        <f>IF(COUNTA(A2547:K2547)=0,"",IF(OR(A2547="",B2547="",C2547="",D2547="",E2547="",F2547="",G2547="",NOT(ISNUMBER(I2547))),"Incomplete",IF(COUNTIF(Lists!$H$4:$AA$4,C2547)=0,"Check category",IF(COUNTIF(INDEX(Lists!$H$6:$AA$45,0,MATCH(C2547,Lists!$H$4:$AA$4,0)),D2547)=0,"Check sub-category","OK"))))</f>
        <v/>
      </c>
      <c r="P2547">
        <f>IF(ISNUMBER(I2547),I2547+ROW()/10000000,"")</f>
        <v/>
      </c>
      <c r="Q2547">
        <f>IF(AND(ISNUMBER(P2547),ISNUMBER(A2547)),IF(AND(A2547&gt;=Dashboard!$Q$3,A2547&lt;=Dashboard!$Q$4,OR(J2547&lt;&gt;"Yes",Dashboard!$Q$15="Yes")),P2547,""),"")</f>
        <v/>
      </c>
    </row>
    <row r="2548">
      <c r="A2548" s="47" t="n"/>
      <c r="B2548" s="48" t="n"/>
      <c r="C2548" s="48" t="n"/>
      <c r="D2548" s="48" t="n"/>
      <c r="E2548" s="48" t="n"/>
      <c r="F2548" s="48" t="n"/>
      <c r="G2548" s="48" t="n"/>
      <c r="H2548" s="48" t="n"/>
      <c r="I2548" s="49" t="n"/>
      <c r="J2548" s="50" t="n"/>
      <c r="K2548" s="48" t="n"/>
      <c r="L2548" s="51">
        <f>IF(A2548="","",DATE(YEAR(A2548),MONTH(A2548),1))</f>
        <v/>
      </c>
      <c r="M2548" s="52">
        <f>IF(OR(A2548="",NOT(ISNUMBER(I2548))),"",IF(G2548=Lists!$B$5,I2548/2,IF(G2548=Lists!$B$6,I2548,0)))</f>
        <v/>
      </c>
      <c r="N2548" s="52">
        <f>IF(OR(A2548="",NOT(ISNUMBER(I2548))),"",IF(G2548=Lists!$B$5,I2548/2,IF(G2548=Lists!$B$7,I2548,0)))</f>
        <v/>
      </c>
      <c r="O2548" s="53">
        <f>IF(COUNTA(A2548:K2548)=0,"",IF(OR(A2548="",B2548="",C2548="",D2548="",E2548="",F2548="",G2548="",NOT(ISNUMBER(I2548))),"Incomplete",IF(COUNTIF(Lists!$H$4:$AA$4,C2548)=0,"Check category",IF(COUNTIF(INDEX(Lists!$H$6:$AA$45,0,MATCH(C2548,Lists!$H$4:$AA$4,0)),D2548)=0,"Check sub-category","OK"))))</f>
        <v/>
      </c>
      <c r="P2548">
        <f>IF(ISNUMBER(I2548),I2548+ROW()/10000000,"")</f>
        <v/>
      </c>
      <c r="Q2548">
        <f>IF(AND(ISNUMBER(P2548),ISNUMBER(A2548)),IF(AND(A2548&gt;=Dashboard!$Q$3,A2548&lt;=Dashboard!$Q$4,OR(J2548&lt;&gt;"Yes",Dashboard!$Q$15="Yes")),P2548,""),"")</f>
        <v/>
      </c>
    </row>
    <row r="2549">
      <c r="A2549" s="47" t="n"/>
      <c r="B2549" s="48" t="n"/>
      <c r="C2549" s="48" t="n"/>
      <c r="D2549" s="48" t="n"/>
      <c r="E2549" s="48" t="n"/>
      <c r="F2549" s="48" t="n"/>
      <c r="G2549" s="48" t="n"/>
      <c r="H2549" s="48" t="n"/>
      <c r="I2549" s="49" t="n"/>
      <c r="J2549" s="50" t="n"/>
      <c r="K2549" s="48" t="n"/>
      <c r="L2549" s="51">
        <f>IF(A2549="","",DATE(YEAR(A2549),MONTH(A2549),1))</f>
        <v/>
      </c>
      <c r="M2549" s="52">
        <f>IF(OR(A2549="",NOT(ISNUMBER(I2549))),"",IF(G2549=Lists!$B$5,I2549/2,IF(G2549=Lists!$B$6,I2549,0)))</f>
        <v/>
      </c>
      <c r="N2549" s="52">
        <f>IF(OR(A2549="",NOT(ISNUMBER(I2549))),"",IF(G2549=Lists!$B$5,I2549/2,IF(G2549=Lists!$B$7,I2549,0)))</f>
        <v/>
      </c>
      <c r="O2549" s="53">
        <f>IF(COUNTA(A2549:K2549)=0,"",IF(OR(A2549="",B2549="",C2549="",D2549="",E2549="",F2549="",G2549="",NOT(ISNUMBER(I2549))),"Incomplete",IF(COUNTIF(Lists!$H$4:$AA$4,C2549)=0,"Check category",IF(COUNTIF(INDEX(Lists!$H$6:$AA$45,0,MATCH(C2549,Lists!$H$4:$AA$4,0)),D2549)=0,"Check sub-category","OK"))))</f>
        <v/>
      </c>
      <c r="P2549">
        <f>IF(ISNUMBER(I2549),I2549+ROW()/10000000,"")</f>
        <v/>
      </c>
      <c r="Q2549">
        <f>IF(AND(ISNUMBER(P2549),ISNUMBER(A2549)),IF(AND(A2549&gt;=Dashboard!$Q$3,A2549&lt;=Dashboard!$Q$4,OR(J2549&lt;&gt;"Yes",Dashboard!$Q$15="Yes")),P2549,""),"")</f>
        <v/>
      </c>
    </row>
    <row r="2550">
      <c r="A2550" s="47" t="n"/>
      <c r="B2550" s="48" t="n"/>
      <c r="C2550" s="48" t="n"/>
      <c r="D2550" s="48" t="n"/>
      <c r="E2550" s="48" t="n"/>
      <c r="F2550" s="48" t="n"/>
      <c r="G2550" s="48" t="n"/>
      <c r="H2550" s="48" t="n"/>
      <c r="I2550" s="49" t="n"/>
      <c r="J2550" s="50" t="n"/>
      <c r="K2550" s="48" t="n"/>
      <c r="L2550" s="51">
        <f>IF(A2550="","",DATE(YEAR(A2550),MONTH(A2550),1))</f>
        <v/>
      </c>
      <c r="M2550" s="52">
        <f>IF(OR(A2550="",NOT(ISNUMBER(I2550))),"",IF(G2550=Lists!$B$5,I2550/2,IF(G2550=Lists!$B$6,I2550,0)))</f>
        <v/>
      </c>
      <c r="N2550" s="52">
        <f>IF(OR(A2550="",NOT(ISNUMBER(I2550))),"",IF(G2550=Lists!$B$5,I2550/2,IF(G2550=Lists!$B$7,I2550,0)))</f>
        <v/>
      </c>
      <c r="O2550" s="53">
        <f>IF(COUNTA(A2550:K2550)=0,"",IF(OR(A2550="",B2550="",C2550="",D2550="",E2550="",F2550="",G2550="",NOT(ISNUMBER(I2550))),"Incomplete",IF(COUNTIF(Lists!$H$4:$AA$4,C2550)=0,"Check category",IF(COUNTIF(INDEX(Lists!$H$6:$AA$45,0,MATCH(C2550,Lists!$H$4:$AA$4,0)),D2550)=0,"Check sub-category","OK"))))</f>
        <v/>
      </c>
      <c r="P2550">
        <f>IF(ISNUMBER(I2550),I2550+ROW()/10000000,"")</f>
        <v/>
      </c>
      <c r="Q2550">
        <f>IF(AND(ISNUMBER(P2550),ISNUMBER(A2550)),IF(AND(A2550&gt;=Dashboard!$Q$3,A2550&lt;=Dashboard!$Q$4,OR(J2550&lt;&gt;"Yes",Dashboard!$Q$15="Yes")),P2550,""),"")</f>
        <v/>
      </c>
    </row>
    <row r="2551">
      <c r="A2551" s="47" t="n"/>
      <c r="B2551" s="48" t="n"/>
      <c r="C2551" s="48" t="n"/>
      <c r="D2551" s="48" t="n"/>
      <c r="E2551" s="48" t="n"/>
      <c r="F2551" s="48" t="n"/>
      <c r="G2551" s="48" t="n"/>
      <c r="H2551" s="48" t="n"/>
      <c r="I2551" s="49" t="n"/>
      <c r="J2551" s="50" t="n"/>
      <c r="K2551" s="48" t="n"/>
      <c r="L2551" s="51">
        <f>IF(A2551="","",DATE(YEAR(A2551),MONTH(A2551),1))</f>
        <v/>
      </c>
      <c r="M2551" s="52">
        <f>IF(OR(A2551="",NOT(ISNUMBER(I2551))),"",IF(G2551=Lists!$B$5,I2551/2,IF(G2551=Lists!$B$6,I2551,0)))</f>
        <v/>
      </c>
      <c r="N2551" s="52">
        <f>IF(OR(A2551="",NOT(ISNUMBER(I2551))),"",IF(G2551=Lists!$B$5,I2551/2,IF(G2551=Lists!$B$7,I2551,0)))</f>
        <v/>
      </c>
      <c r="O2551" s="53">
        <f>IF(COUNTA(A2551:K2551)=0,"",IF(OR(A2551="",B2551="",C2551="",D2551="",E2551="",F2551="",G2551="",NOT(ISNUMBER(I2551))),"Incomplete",IF(COUNTIF(Lists!$H$4:$AA$4,C2551)=0,"Check category",IF(COUNTIF(INDEX(Lists!$H$6:$AA$45,0,MATCH(C2551,Lists!$H$4:$AA$4,0)),D2551)=0,"Check sub-category","OK"))))</f>
        <v/>
      </c>
      <c r="P2551">
        <f>IF(ISNUMBER(I2551),I2551+ROW()/10000000,"")</f>
        <v/>
      </c>
      <c r="Q2551">
        <f>IF(AND(ISNUMBER(P2551),ISNUMBER(A2551)),IF(AND(A2551&gt;=Dashboard!$Q$3,A2551&lt;=Dashboard!$Q$4,OR(J2551&lt;&gt;"Yes",Dashboard!$Q$15="Yes")),P2551,""),"")</f>
        <v/>
      </c>
    </row>
    <row r="2552">
      <c r="A2552" s="47" t="n"/>
      <c r="B2552" s="48" t="n"/>
      <c r="C2552" s="48" t="n"/>
      <c r="D2552" s="48" t="n"/>
      <c r="E2552" s="48" t="n"/>
      <c r="F2552" s="48" t="n"/>
      <c r="G2552" s="48" t="n"/>
      <c r="H2552" s="48" t="n"/>
      <c r="I2552" s="49" t="n"/>
      <c r="J2552" s="50" t="n"/>
      <c r="K2552" s="48" t="n"/>
      <c r="L2552" s="51">
        <f>IF(A2552="","",DATE(YEAR(A2552),MONTH(A2552),1))</f>
        <v/>
      </c>
      <c r="M2552" s="52">
        <f>IF(OR(A2552="",NOT(ISNUMBER(I2552))),"",IF(G2552=Lists!$B$5,I2552/2,IF(G2552=Lists!$B$6,I2552,0)))</f>
        <v/>
      </c>
      <c r="N2552" s="52">
        <f>IF(OR(A2552="",NOT(ISNUMBER(I2552))),"",IF(G2552=Lists!$B$5,I2552/2,IF(G2552=Lists!$B$7,I2552,0)))</f>
        <v/>
      </c>
      <c r="O2552" s="53">
        <f>IF(COUNTA(A2552:K2552)=0,"",IF(OR(A2552="",B2552="",C2552="",D2552="",E2552="",F2552="",G2552="",NOT(ISNUMBER(I2552))),"Incomplete",IF(COUNTIF(Lists!$H$4:$AA$4,C2552)=0,"Check category",IF(COUNTIF(INDEX(Lists!$H$6:$AA$45,0,MATCH(C2552,Lists!$H$4:$AA$4,0)),D2552)=0,"Check sub-category","OK"))))</f>
        <v/>
      </c>
      <c r="P2552">
        <f>IF(ISNUMBER(I2552),I2552+ROW()/10000000,"")</f>
        <v/>
      </c>
      <c r="Q2552">
        <f>IF(AND(ISNUMBER(P2552),ISNUMBER(A2552)),IF(AND(A2552&gt;=Dashboard!$Q$3,A2552&lt;=Dashboard!$Q$4,OR(J2552&lt;&gt;"Yes",Dashboard!$Q$15="Yes")),P2552,""),"")</f>
        <v/>
      </c>
    </row>
    <row r="2553">
      <c r="A2553" s="47" t="n"/>
      <c r="B2553" s="48" t="n"/>
      <c r="C2553" s="48" t="n"/>
      <c r="D2553" s="48" t="n"/>
      <c r="E2553" s="48" t="n"/>
      <c r="F2553" s="48" t="n"/>
      <c r="G2553" s="48" t="n"/>
      <c r="H2553" s="48" t="n"/>
      <c r="I2553" s="49" t="n"/>
      <c r="J2553" s="50" t="n"/>
      <c r="K2553" s="48" t="n"/>
      <c r="L2553" s="51">
        <f>IF(A2553="","",DATE(YEAR(A2553),MONTH(A2553),1))</f>
        <v/>
      </c>
      <c r="M2553" s="52">
        <f>IF(OR(A2553="",NOT(ISNUMBER(I2553))),"",IF(G2553=Lists!$B$5,I2553/2,IF(G2553=Lists!$B$6,I2553,0)))</f>
        <v/>
      </c>
      <c r="N2553" s="52">
        <f>IF(OR(A2553="",NOT(ISNUMBER(I2553))),"",IF(G2553=Lists!$B$5,I2553/2,IF(G2553=Lists!$B$7,I2553,0)))</f>
        <v/>
      </c>
      <c r="O2553" s="53">
        <f>IF(COUNTA(A2553:K2553)=0,"",IF(OR(A2553="",B2553="",C2553="",D2553="",E2553="",F2553="",G2553="",NOT(ISNUMBER(I2553))),"Incomplete",IF(COUNTIF(Lists!$H$4:$AA$4,C2553)=0,"Check category",IF(COUNTIF(INDEX(Lists!$H$6:$AA$45,0,MATCH(C2553,Lists!$H$4:$AA$4,0)),D2553)=0,"Check sub-category","OK"))))</f>
        <v/>
      </c>
      <c r="P2553">
        <f>IF(ISNUMBER(I2553),I2553+ROW()/10000000,"")</f>
        <v/>
      </c>
      <c r="Q2553">
        <f>IF(AND(ISNUMBER(P2553),ISNUMBER(A2553)),IF(AND(A2553&gt;=Dashboard!$Q$3,A2553&lt;=Dashboard!$Q$4,OR(J2553&lt;&gt;"Yes",Dashboard!$Q$15="Yes")),P2553,""),"")</f>
        <v/>
      </c>
    </row>
    <row r="2554">
      <c r="A2554" s="47" t="n"/>
      <c r="B2554" s="48" t="n"/>
      <c r="C2554" s="48" t="n"/>
      <c r="D2554" s="48" t="n"/>
      <c r="E2554" s="48" t="n"/>
      <c r="F2554" s="48" t="n"/>
      <c r="G2554" s="48" t="n"/>
      <c r="H2554" s="48" t="n"/>
      <c r="I2554" s="49" t="n"/>
      <c r="J2554" s="50" t="n"/>
      <c r="K2554" s="48" t="n"/>
      <c r="L2554" s="51">
        <f>IF(A2554="","",DATE(YEAR(A2554),MONTH(A2554),1))</f>
        <v/>
      </c>
      <c r="M2554" s="52">
        <f>IF(OR(A2554="",NOT(ISNUMBER(I2554))),"",IF(G2554=Lists!$B$5,I2554/2,IF(G2554=Lists!$B$6,I2554,0)))</f>
        <v/>
      </c>
      <c r="N2554" s="52">
        <f>IF(OR(A2554="",NOT(ISNUMBER(I2554))),"",IF(G2554=Lists!$B$5,I2554/2,IF(G2554=Lists!$B$7,I2554,0)))</f>
        <v/>
      </c>
      <c r="O2554" s="53">
        <f>IF(COUNTA(A2554:K2554)=0,"",IF(OR(A2554="",B2554="",C2554="",D2554="",E2554="",F2554="",G2554="",NOT(ISNUMBER(I2554))),"Incomplete",IF(COUNTIF(Lists!$H$4:$AA$4,C2554)=0,"Check category",IF(COUNTIF(INDEX(Lists!$H$6:$AA$45,0,MATCH(C2554,Lists!$H$4:$AA$4,0)),D2554)=0,"Check sub-category","OK"))))</f>
        <v/>
      </c>
      <c r="P2554">
        <f>IF(ISNUMBER(I2554),I2554+ROW()/10000000,"")</f>
        <v/>
      </c>
      <c r="Q2554">
        <f>IF(AND(ISNUMBER(P2554),ISNUMBER(A2554)),IF(AND(A2554&gt;=Dashboard!$Q$3,A2554&lt;=Dashboard!$Q$4,OR(J2554&lt;&gt;"Yes",Dashboard!$Q$15="Yes")),P2554,""),"")</f>
        <v/>
      </c>
    </row>
    <row r="2555">
      <c r="A2555" s="47" t="n"/>
      <c r="B2555" s="48" t="n"/>
      <c r="C2555" s="48" t="n"/>
      <c r="D2555" s="48" t="n"/>
      <c r="E2555" s="48" t="n"/>
      <c r="F2555" s="48" t="n"/>
      <c r="G2555" s="48" t="n"/>
      <c r="H2555" s="48" t="n"/>
      <c r="I2555" s="49" t="n"/>
      <c r="J2555" s="50" t="n"/>
      <c r="K2555" s="48" t="n"/>
      <c r="L2555" s="51">
        <f>IF(A2555="","",DATE(YEAR(A2555),MONTH(A2555),1))</f>
        <v/>
      </c>
      <c r="M2555" s="52">
        <f>IF(OR(A2555="",NOT(ISNUMBER(I2555))),"",IF(G2555=Lists!$B$5,I2555/2,IF(G2555=Lists!$B$6,I2555,0)))</f>
        <v/>
      </c>
      <c r="N2555" s="52">
        <f>IF(OR(A2555="",NOT(ISNUMBER(I2555))),"",IF(G2555=Lists!$B$5,I2555/2,IF(G2555=Lists!$B$7,I2555,0)))</f>
        <v/>
      </c>
      <c r="O2555" s="53">
        <f>IF(COUNTA(A2555:K2555)=0,"",IF(OR(A2555="",B2555="",C2555="",D2555="",E2555="",F2555="",G2555="",NOT(ISNUMBER(I2555))),"Incomplete",IF(COUNTIF(Lists!$H$4:$AA$4,C2555)=0,"Check category",IF(COUNTIF(INDEX(Lists!$H$6:$AA$45,0,MATCH(C2555,Lists!$H$4:$AA$4,0)),D2555)=0,"Check sub-category","OK"))))</f>
        <v/>
      </c>
      <c r="P2555">
        <f>IF(ISNUMBER(I2555),I2555+ROW()/10000000,"")</f>
        <v/>
      </c>
      <c r="Q2555">
        <f>IF(AND(ISNUMBER(P2555),ISNUMBER(A2555)),IF(AND(A2555&gt;=Dashboard!$Q$3,A2555&lt;=Dashboard!$Q$4,OR(J2555&lt;&gt;"Yes",Dashboard!$Q$15="Yes")),P2555,""),"")</f>
        <v/>
      </c>
    </row>
    <row r="2556">
      <c r="A2556" s="47" t="n"/>
      <c r="B2556" s="48" t="n"/>
      <c r="C2556" s="48" t="n"/>
      <c r="D2556" s="48" t="n"/>
      <c r="E2556" s="48" t="n"/>
      <c r="F2556" s="48" t="n"/>
      <c r="G2556" s="48" t="n"/>
      <c r="H2556" s="48" t="n"/>
      <c r="I2556" s="49" t="n"/>
      <c r="J2556" s="50" t="n"/>
      <c r="K2556" s="48" t="n"/>
      <c r="L2556" s="51">
        <f>IF(A2556="","",DATE(YEAR(A2556),MONTH(A2556),1))</f>
        <v/>
      </c>
      <c r="M2556" s="52">
        <f>IF(OR(A2556="",NOT(ISNUMBER(I2556))),"",IF(G2556=Lists!$B$5,I2556/2,IF(G2556=Lists!$B$6,I2556,0)))</f>
        <v/>
      </c>
      <c r="N2556" s="52">
        <f>IF(OR(A2556="",NOT(ISNUMBER(I2556))),"",IF(G2556=Lists!$B$5,I2556/2,IF(G2556=Lists!$B$7,I2556,0)))</f>
        <v/>
      </c>
      <c r="O2556" s="53">
        <f>IF(COUNTA(A2556:K2556)=0,"",IF(OR(A2556="",B2556="",C2556="",D2556="",E2556="",F2556="",G2556="",NOT(ISNUMBER(I2556))),"Incomplete",IF(COUNTIF(Lists!$H$4:$AA$4,C2556)=0,"Check category",IF(COUNTIF(INDEX(Lists!$H$6:$AA$45,0,MATCH(C2556,Lists!$H$4:$AA$4,0)),D2556)=0,"Check sub-category","OK"))))</f>
        <v/>
      </c>
      <c r="P2556">
        <f>IF(ISNUMBER(I2556),I2556+ROW()/10000000,"")</f>
        <v/>
      </c>
      <c r="Q2556">
        <f>IF(AND(ISNUMBER(P2556),ISNUMBER(A2556)),IF(AND(A2556&gt;=Dashboard!$Q$3,A2556&lt;=Dashboard!$Q$4,OR(J2556&lt;&gt;"Yes",Dashboard!$Q$15="Yes")),P2556,""),"")</f>
        <v/>
      </c>
    </row>
    <row r="2557">
      <c r="A2557" s="47" t="n"/>
      <c r="B2557" s="48" t="n"/>
      <c r="C2557" s="48" t="n"/>
      <c r="D2557" s="48" t="n"/>
      <c r="E2557" s="48" t="n"/>
      <c r="F2557" s="48" t="n"/>
      <c r="G2557" s="48" t="n"/>
      <c r="H2557" s="48" t="n"/>
      <c r="I2557" s="49" t="n"/>
      <c r="J2557" s="50" t="n"/>
      <c r="K2557" s="48" t="n"/>
      <c r="L2557" s="51">
        <f>IF(A2557="","",DATE(YEAR(A2557),MONTH(A2557),1))</f>
        <v/>
      </c>
      <c r="M2557" s="52">
        <f>IF(OR(A2557="",NOT(ISNUMBER(I2557))),"",IF(G2557=Lists!$B$5,I2557/2,IF(G2557=Lists!$B$6,I2557,0)))</f>
        <v/>
      </c>
      <c r="N2557" s="52">
        <f>IF(OR(A2557="",NOT(ISNUMBER(I2557))),"",IF(G2557=Lists!$B$5,I2557/2,IF(G2557=Lists!$B$7,I2557,0)))</f>
        <v/>
      </c>
      <c r="O2557" s="53">
        <f>IF(COUNTA(A2557:K2557)=0,"",IF(OR(A2557="",B2557="",C2557="",D2557="",E2557="",F2557="",G2557="",NOT(ISNUMBER(I2557))),"Incomplete",IF(COUNTIF(Lists!$H$4:$AA$4,C2557)=0,"Check category",IF(COUNTIF(INDEX(Lists!$H$6:$AA$45,0,MATCH(C2557,Lists!$H$4:$AA$4,0)),D2557)=0,"Check sub-category","OK"))))</f>
        <v/>
      </c>
      <c r="P2557">
        <f>IF(ISNUMBER(I2557),I2557+ROW()/10000000,"")</f>
        <v/>
      </c>
      <c r="Q2557">
        <f>IF(AND(ISNUMBER(P2557),ISNUMBER(A2557)),IF(AND(A2557&gt;=Dashboard!$Q$3,A2557&lt;=Dashboard!$Q$4,OR(J2557&lt;&gt;"Yes",Dashboard!$Q$15="Yes")),P2557,""),"")</f>
        <v/>
      </c>
    </row>
    <row r="2558">
      <c r="A2558" s="47" t="n"/>
      <c r="B2558" s="48" t="n"/>
      <c r="C2558" s="48" t="n"/>
      <c r="D2558" s="48" t="n"/>
      <c r="E2558" s="48" t="n"/>
      <c r="F2558" s="48" t="n"/>
      <c r="G2558" s="48" t="n"/>
      <c r="H2558" s="48" t="n"/>
      <c r="I2558" s="49" t="n"/>
      <c r="J2558" s="50" t="n"/>
      <c r="K2558" s="48" t="n"/>
      <c r="L2558" s="51">
        <f>IF(A2558="","",DATE(YEAR(A2558),MONTH(A2558),1))</f>
        <v/>
      </c>
      <c r="M2558" s="52">
        <f>IF(OR(A2558="",NOT(ISNUMBER(I2558))),"",IF(G2558=Lists!$B$5,I2558/2,IF(G2558=Lists!$B$6,I2558,0)))</f>
        <v/>
      </c>
      <c r="N2558" s="52">
        <f>IF(OR(A2558="",NOT(ISNUMBER(I2558))),"",IF(G2558=Lists!$B$5,I2558/2,IF(G2558=Lists!$B$7,I2558,0)))</f>
        <v/>
      </c>
      <c r="O2558" s="53">
        <f>IF(COUNTA(A2558:K2558)=0,"",IF(OR(A2558="",B2558="",C2558="",D2558="",E2558="",F2558="",G2558="",NOT(ISNUMBER(I2558))),"Incomplete",IF(COUNTIF(Lists!$H$4:$AA$4,C2558)=0,"Check category",IF(COUNTIF(INDEX(Lists!$H$6:$AA$45,0,MATCH(C2558,Lists!$H$4:$AA$4,0)),D2558)=0,"Check sub-category","OK"))))</f>
        <v/>
      </c>
      <c r="P2558">
        <f>IF(ISNUMBER(I2558),I2558+ROW()/10000000,"")</f>
        <v/>
      </c>
      <c r="Q2558">
        <f>IF(AND(ISNUMBER(P2558),ISNUMBER(A2558)),IF(AND(A2558&gt;=Dashboard!$Q$3,A2558&lt;=Dashboard!$Q$4,OR(J2558&lt;&gt;"Yes",Dashboard!$Q$15="Yes")),P2558,""),"")</f>
        <v/>
      </c>
    </row>
    <row r="2559">
      <c r="A2559" s="47" t="n"/>
      <c r="B2559" s="48" t="n"/>
      <c r="C2559" s="48" t="n"/>
      <c r="D2559" s="48" t="n"/>
      <c r="E2559" s="48" t="n"/>
      <c r="F2559" s="48" t="n"/>
      <c r="G2559" s="48" t="n"/>
      <c r="H2559" s="48" t="n"/>
      <c r="I2559" s="49" t="n"/>
      <c r="J2559" s="50" t="n"/>
      <c r="K2559" s="48" t="n"/>
      <c r="L2559" s="51">
        <f>IF(A2559="","",DATE(YEAR(A2559),MONTH(A2559),1))</f>
        <v/>
      </c>
      <c r="M2559" s="52">
        <f>IF(OR(A2559="",NOT(ISNUMBER(I2559))),"",IF(G2559=Lists!$B$5,I2559/2,IF(G2559=Lists!$B$6,I2559,0)))</f>
        <v/>
      </c>
      <c r="N2559" s="52">
        <f>IF(OR(A2559="",NOT(ISNUMBER(I2559))),"",IF(G2559=Lists!$B$5,I2559/2,IF(G2559=Lists!$B$7,I2559,0)))</f>
        <v/>
      </c>
      <c r="O2559" s="53">
        <f>IF(COUNTA(A2559:K2559)=0,"",IF(OR(A2559="",B2559="",C2559="",D2559="",E2559="",F2559="",G2559="",NOT(ISNUMBER(I2559))),"Incomplete",IF(COUNTIF(Lists!$H$4:$AA$4,C2559)=0,"Check category",IF(COUNTIF(INDEX(Lists!$H$6:$AA$45,0,MATCH(C2559,Lists!$H$4:$AA$4,0)),D2559)=0,"Check sub-category","OK"))))</f>
        <v/>
      </c>
      <c r="P2559">
        <f>IF(ISNUMBER(I2559),I2559+ROW()/10000000,"")</f>
        <v/>
      </c>
      <c r="Q2559">
        <f>IF(AND(ISNUMBER(P2559),ISNUMBER(A2559)),IF(AND(A2559&gt;=Dashboard!$Q$3,A2559&lt;=Dashboard!$Q$4,OR(J2559&lt;&gt;"Yes",Dashboard!$Q$15="Yes")),P2559,""),"")</f>
        <v/>
      </c>
    </row>
    <row r="2560">
      <c r="A2560" s="47" t="n"/>
      <c r="B2560" s="48" t="n"/>
      <c r="C2560" s="48" t="n"/>
      <c r="D2560" s="48" t="n"/>
      <c r="E2560" s="48" t="n"/>
      <c r="F2560" s="48" t="n"/>
      <c r="G2560" s="48" t="n"/>
      <c r="H2560" s="48" t="n"/>
      <c r="I2560" s="49" t="n"/>
      <c r="J2560" s="50" t="n"/>
      <c r="K2560" s="48" t="n"/>
      <c r="L2560" s="51">
        <f>IF(A2560="","",DATE(YEAR(A2560),MONTH(A2560),1))</f>
        <v/>
      </c>
      <c r="M2560" s="52">
        <f>IF(OR(A2560="",NOT(ISNUMBER(I2560))),"",IF(G2560=Lists!$B$5,I2560/2,IF(G2560=Lists!$B$6,I2560,0)))</f>
        <v/>
      </c>
      <c r="N2560" s="52">
        <f>IF(OR(A2560="",NOT(ISNUMBER(I2560))),"",IF(G2560=Lists!$B$5,I2560/2,IF(G2560=Lists!$B$7,I2560,0)))</f>
        <v/>
      </c>
      <c r="O2560" s="53">
        <f>IF(COUNTA(A2560:K2560)=0,"",IF(OR(A2560="",B2560="",C2560="",D2560="",E2560="",F2560="",G2560="",NOT(ISNUMBER(I2560))),"Incomplete",IF(COUNTIF(Lists!$H$4:$AA$4,C2560)=0,"Check category",IF(COUNTIF(INDEX(Lists!$H$6:$AA$45,0,MATCH(C2560,Lists!$H$4:$AA$4,0)),D2560)=0,"Check sub-category","OK"))))</f>
        <v/>
      </c>
      <c r="P2560">
        <f>IF(ISNUMBER(I2560),I2560+ROW()/10000000,"")</f>
        <v/>
      </c>
      <c r="Q2560">
        <f>IF(AND(ISNUMBER(P2560),ISNUMBER(A2560)),IF(AND(A2560&gt;=Dashboard!$Q$3,A2560&lt;=Dashboard!$Q$4,OR(J2560&lt;&gt;"Yes",Dashboard!$Q$15="Yes")),P2560,""),"")</f>
        <v/>
      </c>
    </row>
    <row r="2561">
      <c r="A2561" s="47" t="n"/>
      <c r="B2561" s="48" t="n"/>
      <c r="C2561" s="48" t="n"/>
      <c r="D2561" s="48" t="n"/>
      <c r="E2561" s="48" t="n"/>
      <c r="F2561" s="48" t="n"/>
      <c r="G2561" s="48" t="n"/>
      <c r="H2561" s="48" t="n"/>
      <c r="I2561" s="49" t="n"/>
      <c r="J2561" s="50" t="n"/>
      <c r="K2561" s="48" t="n"/>
      <c r="L2561" s="51">
        <f>IF(A2561="","",DATE(YEAR(A2561),MONTH(A2561),1))</f>
        <v/>
      </c>
      <c r="M2561" s="52">
        <f>IF(OR(A2561="",NOT(ISNUMBER(I2561))),"",IF(G2561=Lists!$B$5,I2561/2,IF(G2561=Lists!$B$6,I2561,0)))</f>
        <v/>
      </c>
      <c r="N2561" s="52">
        <f>IF(OR(A2561="",NOT(ISNUMBER(I2561))),"",IF(G2561=Lists!$B$5,I2561/2,IF(G2561=Lists!$B$7,I2561,0)))</f>
        <v/>
      </c>
      <c r="O2561" s="53">
        <f>IF(COUNTA(A2561:K2561)=0,"",IF(OR(A2561="",B2561="",C2561="",D2561="",E2561="",F2561="",G2561="",NOT(ISNUMBER(I2561))),"Incomplete",IF(COUNTIF(Lists!$H$4:$AA$4,C2561)=0,"Check category",IF(COUNTIF(INDEX(Lists!$H$6:$AA$45,0,MATCH(C2561,Lists!$H$4:$AA$4,0)),D2561)=0,"Check sub-category","OK"))))</f>
        <v/>
      </c>
      <c r="P2561">
        <f>IF(ISNUMBER(I2561),I2561+ROW()/10000000,"")</f>
        <v/>
      </c>
      <c r="Q2561">
        <f>IF(AND(ISNUMBER(P2561),ISNUMBER(A2561)),IF(AND(A2561&gt;=Dashboard!$Q$3,A2561&lt;=Dashboard!$Q$4,OR(J2561&lt;&gt;"Yes",Dashboard!$Q$15="Yes")),P2561,""),"")</f>
        <v/>
      </c>
    </row>
    <row r="2562">
      <c r="A2562" s="47" t="n"/>
      <c r="B2562" s="48" t="n"/>
      <c r="C2562" s="48" t="n"/>
      <c r="D2562" s="48" t="n"/>
      <c r="E2562" s="48" t="n"/>
      <c r="F2562" s="48" t="n"/>
      <c r="G2562" s="48" t="n"/>
      <c r="H2562" s="48" t="n"/>
      <c r="I2562" s="49" t="n"/>
      <c r="J2562" s="50" t="n"/>
      <c r="K2562" s="48" t="n"/>
      <c r="L2562" s="51">
        <f>IF(A2562="","",DATE(YEAR(A2562),MONTH(A2562),1))</f>
        <v/>
      </c>
      <c r="M2562" s="52">
        <f>IF(OR(A2562="",NOT(ISNUMBER(I2562))),"",IF(G2562=Lists!$B$5,I2562/2,IF(G2562=Lists!$B$6,I2562,0)))</f>
        <v/>
      </c>
      <c r="N2562" s="52">
        <f>IF(OR(A2562="",NOT(ISNUMBER(I2562))),"",IF(G2562=Lists!$B$5,I2562/2,IF(G2562=Lists!$B$7,I2562,0)))</f>
        <v/>
      </c>
      <c r="O2562" s="53">
        <f>IF(COUNTA(A2562:K2562)=0,"",IF(OR(A2562="",B2562="",C2562="",D2562="",E2562="",F2562="",G2562="",NOT(ISNUMBER(I2562))),"Incomplete",IF(COUNTIF(Lists!$H$4:$AA$4,C2562)=0,"Check category",IF(COUNTIF(INDEX(Lists!$H$6:$AA$45,0,MATCH(C2562,Lists!$H$4:$AA$4,0)),D2562)=0,"Check sub-category","OK"))))</f>
        <v/>
      </c>
      <c r="P2562">
        <f>IF(ISNUMBER(I2562),I2562+ROW()/10000000,"")</f>
        <v/>
      </c>
      <c r="Q2562">
        <f>IF(AND(ISNUMBER(P2562),ISNUMBER(A2562)),IF(AND(A2562&gt;=Dashboard!$Q$3,A2562&lt;=Dashboard!$Q$4,OR(J2562&lt;&gt;"Yes",Dashboard!$Q$15="Yes")),P2562,""),"")</f>
        <v/>
      </c>
    </row>
    <row r="2563">
      <c r="A2563" s="47" t="n"/>
      <c r="B2563" s="48" t="n"/>
      <c r="C2563" s="48" t="n"/>
      <c r="D2563" s="48" t="n"/>
      <c r="E2563" s="48" t="n"/>
      <c r="F2563" s="48" t="n"/>
      <c r="G2563" s="48" t="n"/>
      <c r="H2563" s="48" t="n"/>
      <c r="I2563" s="49" t="n"/>
      <c r="J2563" s="50" t="n"/>
      <c r="K2563" s="48" t="n"/>
      <c r="L2563" s="51">
        <f>IF(A2563="","",DATE(YEAR(A2563),MONTH(A2563),1))</f>
        <v/>
      </c>
      <c r="M2563" s="52">
        <f>IF(OR(A2563="",NOT(ISNUMBER(I2563))),"",IF(G2563=Lists!$B$5,I2563/2,IF(G2563=Lists!$B$6,I2563,0)))</f>
        <v/>
      </c>
      <c r="N2563" s="52">
        <f>IF(OR(A2563="",NOT(ISNUMBER(I2563))),"",IF(G2563=Lists!$B$5,I2563/2,IF(G2563=Lists!$B$7,I2563,0)))</f>
        <v/>
      </c>
      <c r="O2563" s="53">
        <f>IF(COUNTA(A2563:K2563)=0,"",IF(OR(A2563="",B2563="",C2563="",D2563="",E2563="",F2563="",G2563="",NOT(ISNUMBER(I2563))),"Incomplete",IF(COUNTIF(Lists!$H$4:$AA$4,C2563)=0,"Check category",IF(COUNTIF(INDEX(Lists!$H$6:$AA$45,0,MATCH(C2563,Lists!$H$4:$AA$4,0)),D2563)=0,"Check sub-category","OK"))))</f>
        <v/>
      </c>
      <c r="P2563">
        <f>IF(ISNUMBER(I2563),I2563+ROW()/10000000,"")</f>
        <v/>
      </c>
      <c r="Q2563">
        <f>IF(AND(ISNUMBER(P2563),ISNUMBER(A2563)),IF(AND(A2563&gt;=Dashboard!$Q$3,A2563&lt;=Dashboard!$Q$4,OR(J2563&lt;&gt;"Yes",Dashboard!$Q$15="Yes")),P2563,""),"")</f>
        <v/>
      </c>
    </row>
    <row r="2564">
      <c r="A2564" s="47" t="n"/>
      <c r="B2564" s="48" t="n"/>
      <c r="C2564" s="48" t="n"/>
      <c r="D2564" s="48" t="n"/>
      <c r="E2564" s="48" t="n"/>
      <c r="F2564" s="48" t="n"/>
      <c r="G2564" s="48" t="n"/>
      <c r="H2564" s="48" t="n"/>
      <c r="I2564" s="49" t="n"/>
      <c r="J2564" s="50" t="n"/>
      <c r="K2564" s="48" t="n"/>
      <c r="L2564" s="51">
        <f>IF(A2564="","",DATE(YEAR(A2564),MONTH(A2564),1))</f>
        <v/>
      </c>
      <c r="M2564" s="52">
        <f>IF(OR(A2564="",NOT(ISNUMBER(I2564))),"",IF(G2564=Lists!$B$5,I2564/2,IF(G2564=Lists!$B$6,I2564,0)))</f>
        <v/>
      </c>
      <c r="N2564" s="52">
        <f>IF(OR(A2564="",NOT(ISNUMBER(I2564))),"",IF(G2564=Lists!$B$5,I2564/2,IF(G2564=Lists!$B$7,I2564,0)))</f>
        <v/>
      </c>
      <c r="O2564" s="53">
        <f>IF(COUNTA(A2564:K2564)=0,"",IF(OR(A2564="",B2564="",C2564="",D2564="",E2564="",F2564="",G2564="",NOT(ISNUMBER(I2564))),"Incomplete",IF(COUNTIF(Lists!$H$4:$AA$4,C2564)=0,"Check category",IF(COUNTIF(INDEX(Lists!$H$6:$AA$45,0,MATCH(C2564,Lists!$H$4:$AA$4,0)),D2564)=0,"Check sub-category","OK"))))</f>
        <v/>
      </c>
      <c r="P2564">
        <f>IF(ISNUMBER(I2564),I2564+ROW()/10000000,"")</f>
        <v/>
      </c>
      <c r="Q2564">
        <f>IF(AND(ISNUMBER(P2564),ISNUMBER(A2564)),IF(AND(A2564&gt;=Dashboard!$Q$3,A2564&lt;=Dashboard!$Q$4,OR(J2564&lt;&gt;"Yes",Dashboard!$Q$15="Yes")),P2564,""),"")</f>
        <v/>
      </c>
    </row>
    <row r="2565">
      <c r="A2565" s="47" t="n"/>
      <c r="B2565" s="48" t="n"/>
      <c r="C2565" s="48" t="n"/>
      <c r="D2565" s="48" t="n"/>
      <c r="E2565" s="48" t="n"/>
      <c r="F2565" s="48" t="n"/>
      <c r="G2565" s="48" t="n"/>
      <c r="H2565" s="48" t="n"/>
      <c r="I2565" s="49" t="n"/>
      <c r="J2565" s="50" t="n"/>
      <c r="K2565" s="48" t="n"/>
      <c r="L2565" s="51">
        <f>IF(A2565="","",DATE(YEAR(A2565),MONTH(A2565),1))</f>
        <v/>
      </c>
      <c r="M2565" s="52">
        <f>IF(OR(A2565="",NOT(ISNUMBER(I2565))),"",IF(G2565=Lists!$B$5,I2565/2,IF(G2565=Lists!$B$6,I2565,0)))</f>
        <v/>
      </c>
      <c r="N2565" s="52">
        <f>IF(OR(A2565="",NOT(ISNUMBER(I2565))),"",IF(G2565=Lists!$B$5,I2565/2,IF(G2565=Lists!$B$7,I2565,0)))</f>
        <v/>
      </c>
      <c r="O2565" s="53">
        <f>IF(COUNTA(A2565:K2565)=0,"",IF(OR(A2565="",B2565="",C2565="",D2565="",E2565="",F2565="",G2565="",NOT(ISNUMBER(I2565))),"Incomplete",IF(COUNTIF(Lists!$H$4:$AA$4,C2565)=0,"Check category",IF(COUNTIF(INDEX(Lists!$H$6:$AA$45,0,MATCH(C2565,Lists!$H$4:$AA$4,0)),D2565)=0,"Check sub-category","OK"))))</f>
        <v/>
      </c>
      <c r="P2565">
        <f>IF(ISNUMBER(I2565),I2565+ROW()/10000000,"")</f>
        <v/>
      </c>
      <c r="Q2565">
        <f>IF(AND(ISNUMBER(P2565),ISNUMBER(A2565)),IF(AND(A2565&gt;=Dashboard!$Q$3,A2565&lt;=Dashboard!$Q$4,OR(J2565&lt;&gt;"Yes",Dashboard!$Q$15="Yes")),P2565,""),"")</f>
        <v/>
      </c>
    </row>
    <row r="2566">
      <c r="A2566" s="47" t="n"/>
      <c r="B2566" s="48" t="n"/>
      <c r="C2566" s="48" t="n"/>
      <c r="D2566" s="48" t="n"/>
      <c r="E2566" s="48" t="n"/>
      <c r="F2566" s="48" t="n"/>
      <c r="G2566" s="48" t="n"/>
      <c r="H2566" s="48" t="n"/>
      <c r="I2566" s="49" t="n"/>
      <c r="J2566" s="50" t="n"/>
      <c r="K2566" s="48" t="n"/>
      <c r="L2566" s="51">
        <f>IF(A2566="","",DATE(YEAR(A2566),MONTH(A2566),1))</f>
        <v/>
      </c>
      <c r="M2566" s="52">
        <f>IF(OR(A2566="",NOT(ISNUMBER(I2566))),"",IF(G2566=Lists!$B$5,I2566/2,IF(G2566=Lists!$B$6,I2566,0)))</f>
        <v/>
      </c>
      <c r="N2566" s="52">
        <f>IF(OR(A2566="",NOT(ISNUMBER(I2566))),"",IF(G2566=Lists!$B$5,I2566/2,IF(G2566=Lists!$B$7,I2566,0)))</f>
        <v/>
      </c>
      <c r="O2566" s="53">
        <f>IF(COUNTA(A2566:K2566)=0,"",IF(OR(A2566="",B2566="",C2566="",D2566="",E2566="",F2566="",G2566="",NOT(ISNUMBER(I2566))),"Incomplete",IF(COUNTIF(Lists!$H$4:$AA$4,C2566)=0,"Check category",IF(COUNTIF(INDEX(Lists!$H$6:$AA$45,0,MATCH(C2566,Lists!$H$4:$AA$4,0)),D2566)=0,"Check sub-category","OK"))))</f>
        <v/>
      </c>
      <c r="P2566">
        <f>IF(ISNUMBER(I2566),I2566+ROW()/10000000,"")</f>
        <v/>
      </c>
      <c r="Q2566">
        <f>IF(AND(ISNUMBER(P2566),ISNUMBER(A2566)),IF(AND(A2566&gt;=Dashboard!$Q$3,A2566&lt;=Dashboard!$Q$4,OR(J2566&lt;&gt;"Yes",Dashboard!$Q$15="Yes")),P2566,""),"")</f>
        <v/>
      </c>
    </row>
    <row r="2567">
      <c r="A2567" s="47" t="n"/>
      <c r="B2567" s="48" t="n"/>
      <c r="C2567" s="48" t="n"/>
      <c r="D2567" s="48" t="n"/>
      <c r="E2567" s="48" t="n"/>
      <c r="F2567" s="48" t="n"/>
      <c r="G2567" s="48" t="n"/>
      <c r="H2567" s="48" t="n"/>
      <c r="I2567" s="49" t="n"/>
      <c r="J2567" s="50" t="n"/>
      <c r="K2567" s="48" t="n"/>
      <c r="L2567" s="51">
        <f>IF(A2567="","",DATE(YEAR(A2567),MONTH(A2567),1))</f>
        <v/>
      </c>
      <c r="M2567" s="52">
        <f>IF(OR(A2567="",NOT(ISNUMBER(I2567))),"",IF(G2567=Lists!$B$5,I2567/2,IF(G2567=Lists!$B$6,I2567,0)))</f>
        <v/>
      </c>
      <c r="N2567" s="52">
        <f>IF(OR(A2567="",NOT(ISNUMBER(I2567))),"",IF(G2567=Lists!$B$5,I2567/2,IF(G2567=Lists!$B$7,I2567,0)))</f>
        <v/>
      </c>
      <c r="O2567" s="53">
        <f>IF(COUNTA(A2567:K2567)=0,"",IF(OR(A2567="",B2567="",C2567="",D2567="",E2567="",F2567="",G2567="",NOT(ISNUMBER(I2567))),"Incomplete",IF(COUNTIF(Lists!$H$4:$AA$4,C2567)=0,"Check category",IF(COUNTIF(INDEX(Lists!$H$6:$AA$45,0,MATCH(C2567,Lists!$H$4:$AA$4,0)),D2567)=0,"Check sub-category","OK"))))</f>
        <v/>
      </c>
      <c r="P2567">
        <f>IF(ISNUMBER(I2567),I2567+ROW()/10000000,"")</f>
        <v/>
      </c>
      <c r="Q2567">
        <f>IF(AND(ISNUMBER(P2567),ISNUMBER(A2567)),IF(AND(A2567&gt;=Dashboard!$Q$3,A2567&lt;=Dashboard!$Q$4,OR(J2567&lt;&gt;"Yes",Dashboard!$Q$15="Yes")),P2567,""),"")</f>
        <v/>
      </c>
    </row>
    <row r="2568">
      <c r="A2568" s="47" t="n"/>
      <c r="B2568" s="48" t="n"/>
      <c r="C2568" s="48" t="n"/>
      <c r="D2568" s="48" t="n"/>
      <c r="E2568" s="48" t="n"/>
      <c r="F2568" s="48" t="n"/>
      <c r="G2568" s="48" t="n"/>
      <c r="H2568" s="48" t="n"/>
      <c r="I2568" s="49" t="n"/>
      <c r="J2568" s="50" t="n"/>
      <c r="K2568" s="48" t="n"/>
      <c r="L2568" s="51">
        <f>IF(A2568="","",DATE(YEAR(A2568),MONTH(A2568),1))</f>
        <v/>
      </c>
      <c r="M2568" s="52">
        <f>IF(OR(A2568="",NOT(ISNUMBER(I2568))),"",IF(G2568=Lists!$B$5,I2568/2,IF(G2568=Lists!$B$6,I2568,0)))</f>
        <v/>
      </c>
      <c r="N2568" s="52">
        <f>IF(OR(A2568="",NOT(ISNUMBER(I2568))),"",IF(G2568=Lists!$B$5,I2568/2,IF(G2568=Lists!$B$7,I2568,0)))</f>
        <v/>
      </c>
      <c r="O2568" s="53">
        <f>IF(COUNTA(A2568:K2568)=0,"",IF(OR(A2568="",B2568="",C2568="",D2568="",E2568="",F2568="",G2568="",NOT(ISNUMBER(I2568))),"Incomplete",IF(COUNTIF(Lists!$H$4:$AA$4,C2568)=0,"Check category",IF(COUNTIF(INDEX(Lists!$H$6:$AA$45,0,MATCH(C2568,Lists!$H$4:$AA$4,0)),D2568)=0,"Check sub-category","OK"))))</f>
        <v/>
      </c>
      <c r="P2568">
        <f>IF(ISNUMBER(I2568),I2568+ROW()/10000000,"")</f>
        <v/>
      </c>
      <c r="Q2568">
        <f>IF(AND(ISNUMBER(P2568),ISNUMBER(A2568)),IF(AND(A2568&gt;=Dashboard!$Q$3,A2568&lt;=Dashboard!$Q$4,OR(J2568&lt;&gt;"Yes",Dashboard!$Q$15="Yes")),P2568,""),"")</f>
        <v/>
      </c>
    </row>
    <row r="2569">
      <c r="A2569" s="47" t="n"/>
      <c r="B2569" s="48" t="n"/>
      <c r="C2569" s="48" t="n"/>
      <c r="D2569" s="48" t="n"/>
      <c r="E2569" s="48" t="n"/>
      <c r="F2569" s="48" t="n"/>
      <c r="G2569" s="48" t="n"/>
      <c r="H2569" s="48" t="n"/>
      <c r="I2569" s="49" t="n"/>
      <c r="J2569" s="50" t="n"/>
      <c r="K2569" s="48" t="n"/>
      <c r="L2569" s="51">
        <f>IF(A2569="","",DATE(YEAR(A2569),MONTH(A2569),1))</f>
        <v/>
      </c>
      <c r="M2569" s="52">
        <f>IF(OR(A2569="",NOT(ISNUMBER(I2569))),"",IF(G2569=Lists!$B$5,I2569/2,IF(G2569=Lists!$B$6,I2569,0)))</f>
        <v/>
      </c>
      <c r="N2569" s="52">
        <f>IF(OR(A2569="",NOT(ISNUMBER(I2569))),"",IF(G2569=Lists!$B$5,I2569/2,IF(G2569=Lists!$B$7,I2569,0)))</f>
        <v/>
      </c>
      <c r="O2569" s="53">
        <f>IF(COUNTA(A2569:K2569)=0,"",IF(OR(A2569="",B2569="",C2569="",D2569="",E2569="",F2569="",G2569="",NOT(ISNUMBER(I2569))),"Incomplete",IF(COUNTIF(Lists!$H$4:$AA$4,C2569)=0,"Check category",IF(COUNTIF(INDEX(Lists!$H$6:$AA$45,0,MATCH(C2569,Lists!$H$4:$AA$4,0)),D2569)=0,"Check sub-category","OK"))))</f>
        <v/>
      </c>
      <c r="P2569">
        <f>IF(ISNUMBER(I2569),I2569+ROW()/10000000,"")</f>
        <v/>
      </c>
      <c r="Q2569">
        <f>IF(AND(ISNUMBER(P2569),ISNUMBER(A2569)),IF(AND(A2569&gt;=Dashboard!$Q$3,A2569&lt;=Dashboard!$Q$4,OR(J2569&lt;&gt;"Yes",Dashboard!$Q$15="Yes")),P2569,""),"")</f>
        <v/>
      </c>
    </row>
    <row r="2570">
      <c r="A2570" s="47" t="n"/>
      <c r="B2570" s="48" t="n"/>
      <c r="C2570" s="48" t="n"/>
      <c r="D2570" s="48" t="n"/>
      <c r="E2570" s="48" t="n"/>
      <c r="F2570" s="48" t="n"/>
      <c r="G2570" s="48" t="n"/>
      <c r="H2570" s="48" t="n"/>
      <c r="I2570" s="49" t="n"/>
      <c r="J2570" s="50" t="n"/>
      <c r="K2570" s="48" t="n"/>
      <c r="L2570" s="51">
        <f>IF(A2570="","",DATE(YEAR(A2570),MONTH(A2570),1))</f>
        <v/>
      </c>
      <c r="M2570" s="52">
        <f>IF(OR(A2570="",NOT(ISNUMBER(I2570))),"",IF(G2570=Lists!$B$5,I2570/2,IF(G2570=Lists!$B$6,I2570,0)))</f>
        <v/>
      </c>
      <c r="N2570" s="52">
        <f>IF(OR(A2570="",NOT(ISNUMBER(I2570))),"",IF(G2570=Lists!$B$5,I2570/2,IF(G2570=Lists!$B$7,I2570,0)))</f>
        <v/>
      </c>
      <c r="O2570" s="53">
        <f>IF(COUNTA(A2570:K2570)=0,"",IF(OR(A2570="",B2570="",C2570="",D2570="",E2570="",F2570="",G2570="",NOT(ISNUMBER(I2570))),"Incomplete",IF(COUNTIF(Lists!$H$4:$AA$4,C2570)=0,"Check category",IF(COUNTIF(INDEX(Lists!$H$6:$AA$45,0,MATCH(C2570,Lists!$H$4:$AA$4,0)),D2570)=0,"Check sub-category","OK"))))</f>
        <v/>
      </c>
      <c r="P2570">
        <f>IF(ISNUMBER(I2570),I2570+ROW()/10000000,"")</f>
        <v/>
      </c>
      <c r="Q2570">
        <f>IF(AND(ISNUMBER(P2570),ISNUMBER(A2570)),IF(AND(A2570&gt;=Dashboard!$Q$3,A2570&lt;=Dashboard!$Q$4,OR(J2570&lt;&gt;"Yes",Dashboard!$Q$15="Yes")),P2570,""),"")</f>
        <v/>
      </c>
    </row>
    <row r="2571">
      <c r="A2571" s="47" t="n"/>
      <c r="B2571" s="48" t="n"/>
      <c r="C2571" s="48" t="n"/>
      <c r="D2571" s="48" t="n"/>
      <c r="E2571" s="48" t="n"/>
      <c r="F2571" s="48" t="n"/>
      <c r="G2571" s="48" t="n"/>
      <c r="H2571" s="48" t="n"/>
      <c r="I2571" s="49" t="n"/>
      <c r="J2571" s="50" t="n"/>
      <c r="K2571" s="48" t="n"/>
      <c r="L2571" s="51">
        <f>IF(A2571="","",DATE(YEAR(A2571),MONTH(A2571),1))</f>
        <v/>
      </c>
      <c r="M2571" s="52">
        <f>IF(OR(A2571="",NOT(ISNUMBER(I2571))),"",IF(G2571=Lists!$B$5,I2571/2,IF(G2571=Lists!$B$6,I2571,0)))</f>
        <v/>
      </c>
      <c r="N2571" s="52">
        <f>IF(OR(A2571="",NOT(ISNUMBER(I2571))),"",IF(G2571=Lists!$B$5,I2571/2,IF(G2571=Lists!$B$7,I2571,0)))</f>
        <v/>
      </c>
      <c r="O2571" s="53">
        <f>IF(COUNTA(A2571:K2571)=0,"",IF(OR(A2571="",B2571="",C2571="",D2571="",E2571="",F2571="",G2571="",NOT(ISNUMBER(I2571))),"Incomplete",IF(COUNTIF(Lists!$H$4:$AA$4,C2571)=0,"Check category",IF(COUNTIF(INDEX(Lists!$H$6:$AA$45,0,MATCH(C2571,Lists!$H$4:$AA$4,0)),D2571)=0,"Check sub-category","OK"))))</f>
        <v/>
      </c>
      <c r="P2571">
        <f>IF(ISNUMBER(I2571),I2571+ROW()/10000000,"")</f>
        <v/>
      </c>
      <c r="Q2571">
        <f>IF(AND(ISNUMBER(P2571),ISNUMBER(A2571)),IF(AND(A2571&gt;=Dashboard!$Q$3,A2571&lt;=Dashboard!$Q$4,OR(J2571&lt;&gt;"Yes",Dashboard!$Q$15="Yes")),P2571,""),"")</f>
        <v/>
      </c>
    </row>
    <row r="2572">
      <c r="A2572" s="47" t="n"/>
      <c r="B2572" s="48" t="n"/>
      <c r="C2572" s="48" t="n"/>
      <c r="D2572" s="48" t="n"/>
      <c r="E2572" s="48" t="n"/>
      <c r="F2572" s="48" t="n"/>
      <c r="G2572" s="48" t="n"/>
      <c r="H2572" s="48" t="n"/>
      <c r="I2572" s="49" t="n"/>
      <c r="J2572" s="50" t="n"/>
      <c r="K2572" s="48" t="n"/>
      <c r="L2572" s="51">
        <f>IF(A2572="","",DATE(YEAR(A2572),MONTH(A2572),1))</f>
        <v/>
      </c>
      <c r="M2572" s="52">
        <f>IF(OR(A2572="",NOT(ISNUMBER(I2572))),"",IF(G2572=Lists!$B$5,I2572/2,IF(G2572=Lists!$B$6,I2572,0)))</f>
        <v/>
      </c>
      <c r="N2572" s="52">
        <f>IF(OR(A2572="",NOT(ISNUMBER(I2572))),"",IF(G2572=Lists!$B$5,I2572/2,IF(G2572=Lists!$B$7,I2572,0)))</f>
        <v/>
      </c>
      <c r="O2572" s="53">
        <f>IF(COUNTA(A2572:K2572)=0,"",IF(OR(A2572="",B2572="",C2572="",D2572="",E2572="",F2572="",G2572="",NOT(ISNUMBER(I2572))),"Incomplete",IF(COUNTIF(Lists!$H$4:$AA$4,C2572)=0,"Check category",IF(COUNTIF(INDEX(Lists!$H$6:$AA$45,0,MATCH(C2572,Lists!$H$4:$AA$4,0)),D2572)=0,"Check sub-category","OK"))))</f>
        <v/>
      </c>
      <c r="P2572">
        <f>IF(ISNUMBER(I2572),I2572+ROW()/10000000,"")</f>
        <v/>
      </c>
      <c r="Q2572">
        <f>IF(AND(ISNUMBER(P2572),ISNUMBER(A2572)),IF(AND(A2572&gt;=Dashboard!$Q$3,A2572&lt;=Dashboard!$Q$4,OR(J2572&lt;&gt;"Yes",Dashboard!$Q$15="Yes")),P2572,""),"")</f>
        <v/>
      </c>
    </row>
    <row r="2573">
      <c r="A2573" s="47" t="n"/>
      <c r="B2573" s="48" t="n"/>
      <c r="C2573" s="48" t="n"/>
      <c r="D2573" s="48" t="n"/>
      <c r="E2573" s="48" t="n"/>
      <c r="F2573" s="48" t="n"/>
      <c r="G2573" s="48" t="n"/>
      <c r="H2573" s="48" t="n"/>
      <c r="I2573" s="49" t="n"/>
      <c r="J2573" s="50" t="n"/>
      <c r="K2573" s="48" t="n"/>
      <c r="L2573" s="51">
        <f>IF(A2573="","",DATE(YEAR(A2573),MONTH(A2573),1))</f>
        <v/>
      </c>
      <c r="M2573" s="52">
        <f>IF(OR(A2573="",NOT(ISNUMBER(I2573))),"",IF(G2573=Lists!$B$5,I2573/2,IF(G2573=Lists!$B$6,I2573,0)))</f>
        <v/>
      </c>
      <c r="N2573" s="52">
        <f>IF(OR(A2573="",NOT(ISNUMBER(I2573))),"",IF(G2573=Lists!$B$5,I2573/2,IF(G2573=Lists!$B$7,I2573,0)))</f>
        <v/>
      </c>
      <c r="O2573" s="53">
        <f>IF(COUNTA(A2573:K2573)=0,"",IF(OR(A2573="",B2573="",C2573="",D2573="",E2573="",F2573="",G2573="",NOT(ISNUMBER(I2573))),"Incomplete",IF(COUNTIF(Lists!$H$4:$AA$4,C2573)=0,"Check category",IF(COUNTIF(INDEX(Lists!$H$6:$AA$45,0,MATCH(C2573,Lists!$H$4:$AA$4,0)),D2573)=0,"Check sub-category","OK"))))</f>
        <v/>
      </c>
      <c r="P2573">
        <f>IF(ISNUMBER(I2573),I2573+ROW()/10000000,"")</f>
        <v/>
      </c>
      <c r="Q2573">
        <f>IF(AND(ISNUMBER(P2573),ISNUMBER(A2573)),IF(AND(A2573&gt;=Dashboard!$Q$3,A2573&lt;=Dashboard!$Q$4,OR(J2573&lt;&gt;"Yes",Dashboard!$Q$15="Yes")),P2573,""),"")</f>
        <v/>
      </c>
    </row>
    <row r="2574">
      <c r="A2574" s="47" t="n"/>
      <c r="B2574" s="48" t="n"/>
      <c r="C2574" s="48" t="n"/>
      <c r="D2574" s="48" t="n"/>
      <c r="E2574" s="48" t="n"/>
      <c r="F2574" s="48" t="n"/>
      <c r="G2574" s="48" t="n"/>
      <c r="H2574" s="48" t="n"/>
      <c r="I2574" s="49" t="n"/>
      <c r="J2574" s="50" t="n"/>
      <c r="K2574" s="48" t="n"/>
      <c r="L2574" s="51">
        <f>IF(A2574="","",DATE(YEAR(A2574),MONTH(A2574),1))</f>
        <v/>
      </c>
      <c r="M2574" s="52">
        <f>IF(OR(A2574="",NOT(ISNUMBER(I2574))),"",IF(G2574=Lists!$B$5,I2574/2,IF(G2574=Lists!$B$6,I2574,0)))</f>
        <v/>
      </c>
      <c r="N2574" s="52">
        <f>IF(OR(A2574="",NOT(ISNUMBER(I2574))),"",IF(G2574=Lists!$B$5,I2574/2,IF(G2574=Lists!$B$7,I2574,0)))</f>
        <v/>
      </c>
      <c r="O2574" s="53">
        <f>IF(COUNTA(A2574:K2574)=0,"",IF(OR(A2574="",B2574="",C2574="",D2574="",E2574="",F2574="",G2574="",NOT(ISNUMBER(I2574))),"Incomplete",IF(COUNTIF(Lists!$H$4:$AA$4,C2574)=0,"Check category",IF(COUNTIF(INDEX(Lists!$H$6:$AA$45,0,MATCH(C2574,Lists!$H$4:$AA$4,0)),D2574)=0,"Check sub-category","OK"))))</f>
        <v/>
      </c>
      <c r="P2574">
        <f>IF(ISNUMBER(I2574),I2574+ROW()/10000000,"")</f>
        <v/>
      </c>
      <c r="Q2574">
        <f>IF(AND(ISNUMBER(P2574),ISNUMBER(A2574)),IF(AND(A2574&gt;=Dashboard!$Q$3,A2574&lt;=Dashboard!$Q$4,OR(J2574&lt;&gt;"Yes",Dashboard!$Q$15="Yes")),P2574,""),"")</f>
        <v/>
      </c>
    </row>
    <row r="2575">
      <c r="A2575" s="47" t="n"/>
      <c r="B2575" s="48" t="n"/>
      <c r="C2575" s="48" t="n"/>
      <c r="D2575" s="48" t="n"/>
      <c r="E2575" s="48" t="n"/>
      <c r="F2575" s="48" t="n"/>
      <c r="G2575" s="48" t="n"/>
      <c r="H2575" s="48" t="n"/>
      <c r="I2575" s="49" t="n"/>
      <c r="J2575" s="50" t="n"/>
      <c r="K2575" s="48" t="n"/>
      <c r="L2575" s="51">
        <f>IF(A2575="","",DATE(YEAR(A2575),MONTH(A2575),1))</f>
        <v/>
      </c>
      <c r="M2575" s="52">
        <f>IF(OR(A2575="",NOT(ISNUMBER(I2575))),"",IF(G2575=Lists!$B$5,I2575/2,IF(G2575=Lists!$B$6,I2575,0)))</f>
        <v/>
      </c>
      <c r="N2575" s="52">
        <f>IF(OR(A2575="",NOT(ISNUMBER(I2575))),"",IF(G2575=Lists!$B$5,I2575/2,IF(G2575=Lists!$B$7,I2575,0)))</f>
        <v/>
      </c>
      <c r="O2575" s="53">
        <f>IF(COUNTA(A2575:K2575)=0,"",IF(OR(A2575="",B2575="",C2575="",D2575="",E2575="",F2575="",G2575="",NOT(ISNUMBER(I2575))),"Incomplete",IF(COUNTIF(Lists!$H$4:$AA$4,C2575)=0,"Check category",IF(COUNTIF(INDEX(Lists!$H$6:$AA$45,0,MATCH(C2575,Lists!$H$4:$AA$4,0)),D2575)=0,"Check sub-category","OK"))))</f>
        <v/>
      </c>
      <c r="P2575">
        <f>IF(ISNUMBER(I2575),I2575+ROW()/10000000,"")</f>
        <v/>
      </c>
      <c r="Q2575">
        <f>IF(AND(ISNUMBER(P2575),ISNUMBER(A2575)),IF(AND(A2575&gt;=Dashboard!$Q$3,A2575&lt;=Dashboard!$Q$4,OR(J2575&lt;&gt;"Yes",Dashboard!$Q$15="Yes")),P2575,""),"")</f>
        <v/>
      </c>
    </row>
    <row r="2576">
      <c r="A2576" s="47" t="n"/>
      <c r="B2576" s="48" t="n"/>
      <c r="C2576" s="48" t="n"/>
      <c r="D2576" s="48" t="n"/>
      <c r="E2576" s="48" t="n"/>
      <c r="F2576" s="48" t="n"/>
      <c r="G2576" s="48" t="n"/>
      <c r="H2576" s="48" t="n"/>
      <c r="I2576" s="49" t="n"/>
      <c r="J2576" s="50" t="n"/>
      <c r="K2576" s="48" t="n"/>
      <c r="L2576" s="51">
        <f>IF(A2576="","",DATE(YEAR(A2576),MONTH(A2576),1))</f>
        <v/>
      </c>
      <c r="M2576" s="52">
        <f>IF(OR(A2576="",NOT(ISNUMBER(I2576))),"",IF(G2576=Lists!$B$5,I2576/2,IF(G2576=Lists!$B$6,I2576,0)))</f>
        <v/>
      </c>
      <c r="N2576" s="52">
        <f>IF(OR(A2576="",NOT(ISNUMBER(I2576))),"",IF(G2576=Lists!$B$5,I2576/2,IF(G2576=Lists!$B$7,I2576,0)))</f>
        <v/>
      </c>
      <c r="O2576" s="53">
        <f>IF(COUNTA(A2576:K2576)=0,"",IF(OR(A2576="",B2576="",C2576="",D2576="",E2576="",F2576="",G2576="",NOT(ISNUMBER(I2576))),"Incomplete",IF(COUNTIF(Lists!$H$4:$AA$4,C2576)=0,"Check category",IF(COUNTIF(INDEX(Lists!$H$6:$AA$45,0,MATCH(C2576,Lists!$H$4:$AA$4,0)),D2576)=0,"Check sub-category","OK"))))</f>
        <v/>
      </c>
      <c r="P2576">
        <f>IF(ISNUMBER(I2576),I2576+ROW()/10000000,"")</f>
        <v/>
      </c>
      <c r="Q2576">
        <f>IF(AND(ISNUMBER(P2576),ISNUMBER(A2576)),IF(AND(A2576&gt;=Dashboard!$Q$3,A2576&lt;=Dashboard!$Q$4,OR(J2576&lt;&gt;"Yes",Dashboard!$Q$15="Yes")),P2576,""),"")</f>
        <v/>
      </c>
    </row>
    <row r="2577">
      <c r="A2577" s="47" t="n"/>
      <c r="B2577" s="48" t="n"/>
      <c r="C2577" s="48" t="n"/>
      <c r="D2577" s="48" t="n"/>
      <c r="E2577" s="48" t="n"/>
      <c r="F2577" s="48" t="n"/>
      <c r="G2577" s="48" t="n"/>
      <c r="H2577" s="48" t="n"/>
      <c r="I2577" s="49" t="n"/>
      <c r="J2577" s="50" t="n"/>
      <c r="K2577" s="48" t="n"/>
      <c r="L2577" s="51">
        <f>IF(A2577="","",DATE(YEAR(A2577),MONTH(A2577),1))</f>
        <v/>
      </c>
      <c r="M2577" s="52">
        <f>IF(OR(A2577="",NOT(ISNUMBER(I2577))),"",IF(G2577=Lists!$B$5,I2577/2,IF(G2577=Lists!$B$6,I2577,0)))</f>
        <v/>
      </c>
      <c r="N2577" s="52">
        <f>IF(OR(A2577="",NOT(ISNUMBER(I2577))),"",IF(G2577=Lists!$B$5,I2577/2,IF(G2577=Lists!$B$7,I2577,0)))</f>
        <v/>
      </c>
      <c r="O2577" s="53">
        <f>IF(COUNTA(A2577:K2577)=0,"",IF(OR(A2577="",B2577="",C2577="",D2577="",E2577="",F2577="",G2577="",NOT(ISNUMBER(I2577))),"Incomplete",IF(COUNTIF(Lists!$H$4:$AA$4,C2577)=0,"Check category",IF(COUNTIF(INDEX(Lists!$H$6:$AA$45,0,MATCH(C2577,Lists!$H$4:$AA$4,0)),D2577)=0,"Check sub-category","OK"))))</f>
        <v/>
      </c>
      <c r="P2577">
        <f>IF(ISNUMBER(I2577),I2577+ROW()/10000000,"")</f>
        <v/>
      </c>
      <c r="Q2577">
        <f>IF(AND(ISNUMBER(P2577),ISNUMBER(A2577)),IF(AND(A2577&gt;=Dashboard!$Q$3,A2577&lt;=Dashboard!$Q$4,OR(J2577&lt;&gt;"Yes",Dashboard!$Q$15="Yes")),P2577,""),"")</f>
        <v/>
      </c>
    </row>
    <row r="2578">
      <c r="A2578" s="47" t="n"/>
      <c r="B2578" s="48" t="n"/>
      <c r="C2578" s="48" t="n"/>
      <c r="D2578" s="48" t="n"/>
      <c r="E2578" s="48" t="n"/>
      <c r="F2578" s="48" t="n"/>
      <c r="G2578" s="48" t="n"/>
      <c r="H2578" s="48" t="n"/>
      <c r="I2578" s="49" t="n"/>
      <c r="J2578" s="50" t="n"/>
      <c r="K2578" s="48" t="n"/>
      <c r="L2578" s="51">
        <f>IF(A2578="","",DATE(YEAR(A2578),MONTH(A2578),1))</f>
        <v/>
      </c>
      <c r="M2578" s="52">
        <f>IF(OR(A2578="",NOT(ISNUMBER(I2578))),"",IF(G2578=Lists!$B$5,I2578/2,IF(G2578=Lists!$B$6,I2578,0)))</f>
        <v/>
      </c>
      <c r="N2578" s="52">
        <f>IF(OR(A2578="",NOT(ISNUMBER(I2578))),"",IF(G2578=Lists!$B$5,I2578/2,IF(G2578=Lists!$B$7,I2578,0)))</f>
        <v/>
      </c>
      <c r="O2578" s="53">
        <f>IF(COUNTA(A2578:K2578)=0,"",IF(OR(A2578="",B2578="",C2578="",D2578="",E2578="",F2578="",G2578="",NOT(ISNUMBER(I2578))),"Incomplete",IF(COUNTIF(Lists!$H$4:$AA$4,C2578)=0,"Check category",IF(COUNTIF(INDEX(Lists!$H$6:$AA$45,0,MATCH(C2578,Lists!$H$4:$AA$4,0)),D2578)=0,"Check sub-category","OK"))))</f>
        <v/>
      </c>
      <c r="P2578">
        <f>IF(ISNUMBER(I2578),I2578+ROW()/10000000,"")</f>
        <v/>
      </c>
      <c r="Q2578">
        <f>IF(AND(ISNUMBER(P2578),ISNUMBER(A2578)),IF(AND(A2578&gt;=Dashboard!$Q$3,A2578&lt;=Dashboard!$Q$4,OR(J2578&lt;&gt;"Yes",Dashboard!$Q$15="Yes")),P2578,""),"")</f>
        <v/>
      </c>
    </row>
    <row r="2579">
      <c r="A2579" s="47" t="n"/>
      <c r="B2579" s="48" t="n"/>
      <c r="C2579" s="48" t="n"/>
      <c r="D2579" s="48" t="n"/>
      <c r="E2579" s="48" t="n"/>
      <c r="F2579" s="48" t="n"/>
      <c r="G2579" s="48" t="n"/>
      <c r="H2579" s="48" t="n"/>
      <c r="I2579" s="49" t="n"/>
      <c r="J2579" s="50" t="n"/>
      <c r="K2579" s="48" t="n"/>
      <c r="L2579" s="51">
        <f>IF(A2579="","",DATE(YEAR(A2579),MONTH(A2579),1))</f>
        <v/>
      </c>
      <c r="M2579" s="52">
        <f>IF(OR(A2579="",NOT(ISNUMBER(I2579))),"",IF(G2579=Lists!$B$5,I2579/2,IF(G2579=Lists!$B$6,I2579,0)))</f>
        <v/>
      </c>
      <c r="N2579" s="52">
        <f>IF(OR(A2579="",NOT(ISNUMBER(I2579))),"",IF(G2579=Lists!$B$5,I2579/2,IF(G2579=Lists!$B$7,I2579,0)))</f>
        <v/>
      </c>
      <c r="O2579" s="53">
        <f>IF(COUNTA(A2579:K2579)=0,"",IF(OR(A2579="",B2579="",C2579="",D2579="",E2579="",F2579="",G2579="",NOT(ISNUMBER(I2579))),"Incomplete",IF(COUNTIF(Lists!$H$4:$AA$4,C2579)=0,"Check category",IF(COUNTIF(INDEX(Lists!$H$6:$AA$45,0,MATCH(C2579,Lists!$H$4:$AA$4,0)),D2579)=0,"Check sub-category","OK"))))</f>
        <v/>
      </c>
      <c r="P2579">
        <f>IF(ISNUMBER(I2579),I2579+ROW()/10000000,"")</f>
        <v/>
      </c>
      <c r="Q2579">
        <f>IF(AND(ISNUMBER(P2579),ISNUMBER(A2579)),IF(AND(A2579&gt;=Dashboard!$Q$3,A2579&lt;=Dashboard!$Q$4,OR(J2579&lt;&gt;"Yes",Dashboard!$Q$15="Yes")),P2579,""),"")</f>
        <v/>
      </c>
    </row>
    <row r="2580">
      <c r="A2580" s="47" t="n"/>
      <c r="B2580" s="48" t="n"/>
      <c r="C2580" s="48" t="n"/>
      <c r="D2580" s="48" t="n"/>
      <c r="E2580" s="48" t="n"/>
      <c r="F2580" s="48" t="n"/>
      <c r="G2580" s="48" t="n"/>
      <c r="H2580" s="48" t="n"/>
      <c r="I2580" s="49" t="n"/>
      <c r="J2580" s="50" t="n"/>
      <c r="K2580" s="48" t="n"/>
      <c r="L2580" s="51">
        <f>IF(A2580="","",DATE(YEAR(A2580),MONTH(A2580),1))</f>
        <v/>
      </c>
      <c r="M2580" s="52">
        <f>IF(OR(A2580="",NOT(ISNUMBER(I2580))),"",IF(G2580=Lists!$B$5,I2580/2,IF(G2580=Lists!$B$6,I2580,0)))</f>
        <v/>
      </c>
      <c r="N2580" s="52">
        <f>IF(OR(A2580="",NOT(ISNUMBER(I2580))),"",IF(G2580=Lists!$B$5,I2580/2,IF(G2580=Lists!$B$7,I2580,0)))</f>
        <v/>
      </c>
      <c r="O2580" s="53">
        <f>IF(COUNTA(A2580:K2580)=0,"",IF(OR(A2580="",B2580="",C2580="",D2580="",E2580="",F2580="",G2580="",NOT(ISNUMBER(I2580))),"Incomplete",IF(COUNTIF(Lists!$H$4:$AA$4,C2580)=0,"Check category",IF(COUNTIF(INDEX(Lists!$H$6:$AA$45,0,MATCH(C2580,Lists!$H$4:$AA$4,0)),D2580)=0,"Check sub-category","OK"))))</f>
        <v/>
      </c>
      <c r="P2580">
        <f>IF(ISNUMBER(I2580),I2580+ROW()/10000000,"")</f>
        <v/>
      </c>
      <c r="Q2580">
        <f>IF(AND(ISNUMBER(P2580),ISNUMBER(A2580)),IF(AND(A2580&gt;=Dashboard!$Q$3,A2580&lt;=Dashboard!$Q$4,OR(J2580&lt;&gt;"Yes",Dashboard!$Q$15="Yes")),P2580,""),"")</f>
        <v/>
      </c>
    </row>
    <row r="2581">
      <c r="A2581" s="47" t="n"/>
      <c r="B2581" s="48" t="n"/>
      <c r="C2581" s="48" t="n"/>
      <c r="D2581" s="48" t="n"/>
      <c r="E2581" s="48" t="n"/>
      <c r="F2581" s="48" t="n"/>
      <c r="G2581" s="48" t="n"/>
      <c r="H2581" s="48" t="n"/>
      <c r="I2581" s="49" t="n"/>
      <c r="J2581" s="50" t="n"/>
      <c r="K2581" s="48" t="n"/>
      <c r="L2581" s="51">
        <f>IF(A2581="","",DATE(YEAR(A2581),MONTH(A2581),1))</f>
        <v/>
      </c>
      <c r="M2581" s="52">
        <f>IF(OR(A2581="",NOT(ISNUMBER(I2581))),"",IF(G2581=Lists!$B$5,I2581/2,IF(G2581=Lists!$B$6,I2581,0)))</f>
        <v/>
      </c>
      <c r="N2581" s="52">
        <f>IF(OR(A2581="",NOT(ISNUMBER(I2581))),"",IF(G2581=Lists!$B$5,I2581/2,IF(G2581=Lists!$B$7,I2581,0)))</f>
        <v/>
      </c>
      <c r="O2581" s="53">
        <f>IF(COUNTA(A2581:K2581)=0,"",IF(OR(A2581="",B2581="",C2581="",D2581="",E2581="",F2581="",G2581="",NOT(ISNUMBER(I2581))),"Incomplete",IF(COUNTIF(Lists!$H$4:$AA$4,C2581)=0,"Check category",IF(COUNTIF(INDEX(Lists!$H$6:$AA$45,0,MATCH(C2581,Lists!$H$4:$AA$4,0)),D2581)=0,"Check sub-category","OK"))))</f>
        <v/>
      </c>
      <c r="P2581">
        <f>IF(ISNUMBER(I2581),I2581+ROW()/10000000,"")</f>
        <v/>
      </c>
      <c r="Q2581">
        <f>IF(AND(ISNUMBER(P2581),ISNUMBER(A2581)),IF(AND(A2581&gt;=Dashboard!$Q$3,A2581&lt;=Dashboard!$Q$4,OR(J2581&lt;&gt;"Yes",Dashboard!$Q$15="Yes")),P2581,""),"")</f>
        <v/>
      </c>
    </row>
    <row r="2582">
      <c r="A2582" s="47" t="n"/>
      <c r="B2582" s="48" t="n"/>
      <c r="C2582" s="48" t="n"/>
      <c r="D2582" s="48" t="n"/>
      <c r="E2582" s="48" t="n"/>
      <c r="F2582" s="48" t="n"/>
      <c r="G2582" s="48" t="n"/>
      <c r="H2582" s="48" t="n"/>
      <c r="I2582" s="49" t="n"/>
      <c r="J2582" s="50" t="n"/>
      <c r="K2582" s="48" t="n"/>
      <c r="L2582" s="51">
        <f>IF(A2582="","",DATE(YEAR(A2582),MONTH(A2582),1))</f>
        <v/>
      </c>
      <c r="M2582" s="52">
        <f>IF(OR(A2582="",NOT(ISNUMBER(I2582))),"",IF(G2582=Lists!$B$5,I2582/2,IF(G2582=Lists!$B$6,I2582,0)))</f>
        <v/>
      </c>
      <c r="N2582" s="52">
        <f>IF(OR(A2582="",NOT(ISNUMBER(I2582))),"",IF(G2582=Lists!$B$5,I2582/2,IF(G2582=Lists!$B$7,I2582,0)))</f>
        <v/>
      </c>
      <c r="O2582" s="53">
        <f>IF(COUNTA(A2582:K2582)=0,"",IF(OR(A2582="",B2582="",C2582="",D2582="",E2582="",F2582="",G2582="",NOT(ISNUMBER(I2582))),"Incomplete",IF(COUNTIF(Lists!$H$4:$AA$4,C2582)=0,"Check category",IF(COUNTIF(INDEX(Lists!$H$6:$AA$45,0,MATCH(C2582,Lists!$H$4:$AA$4,0)),D2582)=0,"Check sub-category","OK"))))</f>
        <v/>
      </c>
      <c r="P2582">
        <f>IF(ISNUMBER(I2582),I2582+ROW()/10000000,"")</f>
        <v/>
      </c>
      <c r="Q2582">
        <f>IF(AND(ISNUMBER(P2582),ISNUMBER(A2582)),IF(AND(A2582&gt;=Dashboard!$Q$3,A2582&lt;=Dashboard!$Q$4,OR(J2582&lt;&gt;"Yes",Dashboard!$Q$15="Yes")),P2582,""),"")</f>
        <v/>
      </c>
    </row>
    <row r="2583">
      <c r="A2583" s="47" t="n"/>
      <c r="B2583" s="48" t="n"/>
      <c r="C2583" s="48" t="n"/>
      <c r="D2583" s="48" t="n"/>
      <c r="E2583" s="48" t="n"/>
      <c r="F2583" s="48" t="n"/>
      <c r="G2583" s="48" t="n"/>
      <c r="H2583" s="48" t="n"/>
      <c r="I2583" s="49" t="n"/>
      <c r="J2583" s="50" t="n"/>
      <c r="K2583" s="48" t="n"/>
      <c r="L2583" s="51">
        <f>IF(A2583="","",DATE(YEAR(A2583),MONTH(A2583),1))</f>
        <v/>
      </c>
      <c r="M2583" s="52">
        <f>IF(OR(A2583="",NOT(ISNUMBER(I2583))),"",IF(G2583=Lists!$B$5,I2583/2,IF(G2583=Lists!$B$6,I2583,0)))</f>
        <v/>
      </c>
      <c r="N2583" s="52">
        <f>IF(OR(A2583="",NOT(ISNUMBER(I2583))),"",IF(G2583=Lists!$B$5,I2583/2,IF(G2583=Lists!$B$7,I2583,0)))</f>
        <v/>
      </c>
      <c r="O2583" s="53">
        <f>IF(COUNTA(A2583:K2583)=0,"",IF(OR(A2583="",B2583="",C2583="",D2583="",E2583="",F2583="",G2583="",NOT(ISNUMBER(I2583))),"Incomplete",IF(COUNTIF(Lists!$H$4:$AA$4,C2583)=0,"Check category",IF(COUNTIF(INDEX(Lists!$H$6:$AA$45,0,MATCH(C2583,Lists!$H$4:$AA$4,0)),D2583)=0,"Check sub-category","OK"))))</f>
        <v/>
      </c>
      <c r="P2583">
        <f>IF(ISNUMBER(I2583),I2583+ROW()/10000000,"")</f>
        <v/>
      </c>
      <c r="Q2583">
        <f>IF(AND(ISNUMBER(P2583),ISNUMBER(A2583)),IF(AND(A2583&gt;=Dashboard!$Q$3,A2583&lt;=Dashboard!$Q$4,OR(J2583&lt;&gt;"Yes",Dashboard!$Q$15="Yes")),P2583,""),"")</f>
        <v/>
      </c>
    </row>
    <row r="2584">
      <c r="A2584" s="47" t="n"/>
      <c r="B2584" s="48" t="n"/>
      <c r="C2584" s="48" t="n"/>
      <c r="D2584" s="48" t="n"/>
      <c r="E2584" s="48" t="n"/>
      <c r="F2584" s="48" t="n"/>
      <c r="G2584" s="48" t="n"/>
      <c r="H2584" s="48" t="n"/>
      <c r="I2584" s="49" t="n"/>
      <c r="J2584" s="50" t="n"/>
      <c r="K2584" s="48" t="n"/>
      <c r="L2584" s="51">
        <f>IF(A2584="","",DATE(YEAR(A2584),MONTH(A2584),1))</f>
        <v/>
      </c>
      <c r="M2584" s="52">
        <f>IF(OR(A2584="",NOT(ISNUMBER(I2584))),"",IF(G2584=Lists!$B$5,I2584/2,IF(G2584=Lists!$B$6,I2584,0)))</f>
        <v/>
      </c>
      <c r="N2584" s="52">
        <f>IF(OR(A2584="",NOT(ISNUMBER(I2584))),"",IF(G2584=Lists!$B$5,I2584/2,IF(G2584=Lists!$B$7,I2584,0)))</f>
        <v/>
      </c>
      <c r="O2584" s="53">
        <f>IF(COUNTA(A2584:K2584)=0,"",IF(OR(A2584="",B2584="",C2584="",D2584="",E2584="",F2584="",G2584="",NOT(ISNUMBER(I2584))),"Incomplete",IF(COUNTIF(Lists!$H$4:$AA$4,C2584)=0,"Check category",IF(COUNTIF(INDEX(Lists!$H$6:$AA$45,0,MATCH(C2584,Lists!$H$4:$AA$4,0)),D2584)=0,"Check sub-category","OK"))))</f>
        <v/>
      </c>
      <c r="P2584">
        <f>IF(ISNUMBER(I2584),I2584+ROW()/10000000,"")</f>
        <v/>
      </c>
      <c r="Q2584">
        <f>IF(AND(ISNUMBER(P2584),ISNUMBER(A2584)),IF(AND(A2584&gt;=Dashboard!$Q$3,A2584&lt;=Dashboard!$Q$4,OR(J2584&lt;&gt;"Yes",Dashboard!$Q$15="Yes")),P2584,""),"")</f>
        <v/>
      </c>
    </row>
    <row r="2585">
      <c r="A2585" s="47" t="n"/>
      <c r="B2585" s="48" t="n"/>
      <c r="C2585" s="48" t="n"/>
      <c r="D2585" s="48" t="n"/>
      <c r="E2585" s="48" t="n"/>
      <c r="F2585" s="48" t="n"/>
      <c r="G2585" s="48" t="n"/>
      <c r="H2585" s="48" t="n"/>
      <c r="I2585" s="49" t="n"/>
      <c r="J2585" s="50" t="n"/>
      <c r="K2585" s="48" t="n"/>
      <c r="L2585" s="51">
        <f>IF(A2585="","",DATE(YEAR(A2585),MONTH(A2585),1))</f>
        <v/>
      </c>
      <c r="M2585" s="52">
        <f>IF(OR(A2585="",NOT(ISNUMBER(I2585))),"",IF(G2585=Lists!$B$5,I2585/2,IF(G2585=Lists!$B$6,I2585,0)))</f>
        <v/>
      </c>
      <c r="N2585" s="52">
        <f>IF(OR(A2585="",NOT(ISNUMBER(I2585))),"",IF(G2585=Lists!$B$5,I2585/2,IF(G2585=Lists!$B$7,I2585,0)))</f>
        <v/>
      </c>
      <c r="O2585" s="53">
        <f>IF(COUNTA(A2585:K2585)=0,"",IF(OR(A2585="",B2585="",C2585="",D2585="",E2585="",F2585="",G2585="",NOT(ISNUMBER(I2585))),"Incomplete",IF(COUNTIF(Lists!$H$4:$AA$4,C2585)=0,"Check category",IF(COUNTIF(INDEX(Lists!$H$6:$AA$45,0,MATCH(C2585,Lists!$H$4:$AA$4,0)),D2585)=0,"Check sub-category","OK"))))</f>
        <v/>
      </c>
      <c r="P2585">
        <f>IF(ISNUMBER(I2585),I2585+ROW()/10000000,"")</f>
        <v/>
      </c>
      <c r="Q2585">
        <f>IF(AND(ISNUMBER(P2585),ISNUMBER(A2585)),IF(AND(A2585&gt;=Dashboard!$Q$3,A2585&lt;=Dashboard!$Q$4,OR(J2585&lt;&gt;"Yes",Dashboard!$Q$15="Yes")),P2585,""),"")</f>
        <v/>
      </c>
    </row>
    <row r="2586">
      <c r="A2586" s="47" t="n"/>
      <c r="B2586" s="48" t="n"/>
      <c r="C2586" s="48" t="n"/>
      <c r="D2586" s="48" t="n"/>
      <c r="E2586" s="48" t="n"/>
      <c r="F2586" s="48" t="n"/>
      <c r="G2586" s="48" t="n"/>
      <c r="H2586" s="48" t="n"/>
      <c r="I2586" s="49" t="n"/>
      <c r="J2586" s="50" t="n"/>
      <c r="K2586" s="48" t="n"/>
      <c r="L2586" s="51">
        <f>IF(A2586="","",DATE(YEAR(A2586),MONTH(A2586),1))</f>
        <v/>
      </c>
      <c r="M2586" s="52">
        <f>IF(OR(A2586="",NOT(ISNUMBER(I2586))),"",IF(G2586=Lists!$B$5,I2586/2,IF(G2586=Lists!$B$6,I2586,0)))</f>
        <v/>
      </c>
      <c r="N2586" s="52">
        <f>IF(OR(A2586="",NOT(ISNUMBER(I2586))),"",IF(G2586=Lists!$B$5,I2586/2,IF(G2586=Lists!$B$7,I2586,0)))</f>
        <v/>
      </c>
      <c r="O2586" s="53">
        <f>IF(COUNTA(A2586:K2586)=0,"",IF(OR(A2586="",B2586="",C2586="",D2586="",E2586="",F2586="",G2586="",NOT(ISNUMBER(I2586))),"Incomplete",IF(COUNTIF(Lists!$H$4:$AA$4,C2586)=0,"Check category",IF(COUNTIF(INDEX(Lists!$H$6:$AA$45,0,MATCH(C2586,Lists!$H$4:$AA$4,0)),D2586)=0,"Check sub-category","OK"))))</f>
        <v/>
      </c>
      <c r="P2586">
        <f>IF(ISNUMBER(I2586),I2586+ROW()/10000000,"")</f>
        <v/>
      </c>
      <c r="Q2586">
        <f>IF(AND(ISNUMBER(P2586),ISNUMBER(A2586)),IF(AND(A2586&gt;=Dashboard!$Q$3,A2586&lt;=Dashboard!$Q$4,OR(J2586&lt;&gt;"Yes",Dashboard!$Q$15="Yes")),P2586,""),"")</f>
        <v/>
      </c>
    </row>
    <row r="2587">
      <c r="A2587" s="47" t="n"/>
      <c r="B2587" s="48" t="n"/>
      <c r="C2587" s="48" t="n"/>
      <c r="D2587" s="48" t="n"/>
      <c r="E2587" s="48" t="n"/>
      <c r="F2587" s="48" t="n"/>
      <c r="G2587" s="48" t="n"/>
      <c r="H2587" s="48" t="n"/>
      <c r="I2587" s="49" t="n"/>
      <c r="J2587" s="50" t="n"/>
      <c r="K2587" s="48" t="n"/>
      <c r="L2587" s="51">
        <f>IF(A2587="","",DATE(YEAR(A2587),MONTH(A2587),1))</f>
        <v/>
      </c>
      <c r="M2587" s="52">
        <f>IF(OR(A2587="",NOT(ISNUMBER(I2587))),"",IF(G2587=Lists!$B$5,I2587/2,IF(G2587=Lists!$B$6,I2587,0)))</f>
        <v/>
      </c>
      <c r="N2587" s="52">
        <f>IF(OR(A2587="",NOT(ISNUMBER(I2587))),"",IF(G2587=Lists!$B$5,I2587/2,IF(G2587=Lists!$B$7,I2587,0)))</f>
        <v/>
      </c>
      <c r="O2587" s="53">
        <f>IF(COUNTA(A2587:K2587)=0,"",IF(OR(A2587="",B2587="",C2587="",D2587="",E2587="",F2587="",G2587="",NOT(ISNUMBER(I2587))),"Incomplete",IF(COUNTIF(Lists!$H$4:$AA$4,C2587)=0,"Check category",IF(COUNTIF(INDEX(Lists!$H$6:$AA$45,0,MATCH(C2587,Lists!$H$4:$AA$4,0)),D2587)=0,"Check sub-category","OK"))))</f>
        <v/>
      </c>
      <c r="P2587">
        <f>IF(ISNUMBER(I2587),I2587+ROW()/10000000,"")</f>
        <v/>
      </c>
      <c r="Q2587">
        <f>IF(AND(ISNUMBER(P2587),ISNUMBER(A2587)),IF(AND(A2587&gt;=Dashboard!$Q$3,A2587&lt;=Dashboard!$Q$4,OR(J2587&lt;&gt;"Yes",Dashboard!$Q$15="Yes")),P2587,""),"")</f>
        <v/>
      </c>
    </row>
    <row r="2588">
      <c r="A2588" s="47" t="n"/>
      <c r="B2588" s="48" t="n"/>
      <c r="C2588" s="48" t="n"/>
      <c r="D2588" s="48" t="n"/>
      <c r="E2588" s="48" t="n"/>
      <c r="F2588" s="48" t="n"/>
      <c r="G2588" s="48" t="n"/>
      <c r="H2588" s="48" t="n"/>
      <c r="I2588" s="49" t="n"/>
      <c r="J2588" s="50" t="n"/>
      <c r="K2588" s="48" t="n"/>
      <c r="L2588" s="51">
        <f>IF(A2588="","",DATE(YEAR(A2588),MONTH(A2588),1))</f>
        <v/>
      </c>
      <c r="M2588" s="52">
        <f>IF(OR(A2588="",NOT(ISNUMBER(I2588))),"",IF(G2588=Lists!$B$5,I2588/2,IF(G2588=Lists!$B$6,I2588,0)))</f>
        <v/>
      </c>
      <c r="N2588" s="52">
        <f>IF(OR(A2588="",NOT(ISNUMBER(I2588))),"",IF(G2588=Lists!$B$5,I2588/2,IF(G2588=Lists!$B$7,I2588,0)))</f>
        <v/>
      </c>
      <c r="O2588" s="53">
        <f>IF(COUNTA(A2588:K2588)=0,"",IF(OR(A2588="",B2588="",C2588="",D2588="",E2588="",F2588="",G2588="",NOT(ISNUMBER(I2588))),"Incomplete",IF(COUNTIF(Lists!$H$4:$AA$4,C2588)=0,"Check category",IF(COUNTIF(INDEX(Lists!$H$6:$AA$45,0,MATCH(C2588,Lists!$H$4:$AA$4,0)),D2588)=0,"Check sub-category","OK"))))</f>
        <v/>
      </c>
      <c r="P2588">
        <f>IF(ISNUMBER(I2588),I2588+ROW()/10000000,"")</f>
        <v/>
      </c>
      <c r="Q2588">
        <f>IF(AND(ISNUMBER(P2588),ISNUMBER(A2588)),IF(AND(A2588&gt;=Dashboard!$Q$3,A2588&lt;=Dashboard!$Q$4,OR(J2588&lt;&gt;"Yes",Dashboard!$Q$15="Yes")),P2588,""),"")</f>
        <v/>
      </c>
    </row>
    <row r="2589">
      <c r="A2589" s="47" t="n"/>
      <c r="B2589" s="48" t="n"/>
      <c r="C2589" s="48" t="n"/>
      <c r="D2589" s="48" t="n"/>
      <c r="E2589" s="48" t="n"/>
      <c r="F2589" s="48" t="n"/>
      <c r="G2589" s="48" t="n"/>
      <c r="H2589" s="48" t="n"/>
      <c r="I2589" s="49" t="n"/>
      <c r="J2589" s="50" t="n"/>
      <c r="K2589" s="48" t="n"/>
      <c r="L2589" s="51">
        <f>IF(A2589="","",DATE(YEAR(A2589),MONTH(A2589),1))</f>
        <v/>
      </c>
      <c r="M2589" s="52">
        <f>IF(OR(A2589="",NOT(ISNUMBER(I2589))),"",IF(G2589=Lists!$B$5,I2589/2,IF(G2589=Lists!$B$6,I2589,0)))</f>
        <v/>
      </c>
      <c r="N2589" s="52">
        <f>IF(OR(A2589="",NOT(ISNUMBER(I2589))),"",IF(G2589=Lists!$B$5,I2589/2,IF(G2589=Lists!$B$7,I2589,0)))</f>
        <v/>
      </c>
      <c r="O2589" s="53">
        <f>IF(COUNTA(A2589:K2589)=0,"",IF(OR(A2589="",B2589="",C2589="",D2589="",E2589="",F2589="",G2589="",NOT(ISNUMBER(I2589))),"Incomplete",IF(COUNTIF(Lists!$H$4:$AA$4,C2589)=0,"Check category",IF(COUNTIF(INDEX(Lists!$H$6:$AA$45,0,MATCH(C2589,Lists!$H$4:$AA$4,0)),D2589)=0,"Check sub-category","OK"))))</f>
        <v/>
      </c>
      <c r="P2589">
        <f>IF(ISNUMBER(I2589),I2589+ROW()/10000000,"")</f>
        <v/>
      </c>
      <c r="Q2589">
        <f>IF(AND(ISNUMBER(P2589),ISNUMBER(A2589)),IF(AND(A2589&gt;=Dashboard!$Q$3,A2589&lt;=Dashboard!$Q$4,OR(J2589&lt;&gt;"Yes",Dashboard!$Q$15="Yes")),P2589,""),"")</f>
        <v/>
      </c>
    </row>
    <row r="2590">
      <c r="A2590" s="47" t="n"/>
      <c r="B2590" s="48" t="n"/>
      <c r="C2590" s="48" t="n"/>
      <c r="D2590" s="48" t="n"/>
      <c r="E2590" s="48" t="n"/>
      <c r="F2590" s="48" t="n"/>
      <c r="G2590" s="48" t="n"/>
      <c r="H2590" s="48" t="n"/>
      <c r="I2590" s="49" t="n"/>
      <c r="J2590" s="50" t="n"/>
      <c r="K2590" s="48" t="n"/>
      <c r="L2590" s="51">
        <f>IF(A2590="","",DATE(YEAR(A2590),MONTH(A2590),1))</f>
        <v/>
      </c>
      <c r="M2590" s="52">
        <f>IF(OR(A2590="",NOT(ISNUMBER(I2590))),"",IF(G2590=Lists!$B$5,I2590/2,IF(G2590=Lists!$B$6,I2590,0)))</f>
        <v/>
      </c>
      <c r="N2590" s="52">
        <f>IF(OR(A2590="",NOT(ISNUMBER(I2590))),"",IF(G2590=Lists!$B$5,I2590/2,IF(G2590=Lists!$B$7,I2590,0)))</f>
        <v/>
      </c>
      <c r="O2590" s="53">
        <f>IF(COUNTA(A2590:K2590)=0,"",IF(OR(A2590="",B2590="",C2590="",D2590="",E2590="",F2590="",G2590="",NOT(ISNUMBER(I2590))),"Incomplete",IF(COUNTIF(Lists!$H$4:$AA$4,C2590)=0,"Check category",IF(COUNTIF(INDEX(Lists!$H$6:$AA$45,0,MATCH(C2590,Lists!$H$4:$AA$4,0)),D2590)=0,"Check sub-category","OK"))))</f>
        <v/>
      </c>
      <c r="P2590">
        <f>IF(ISNUMBER(I2590),I2590+ROW()/10000000,"")</f>
        <v/>
      </c>
      <c r="Q2590">
        <f>IF(AND(ISNUMBER(P2590),ISNUMBER(A2590)),IF(AND(A2590&gt;=Dashboard!$Q$3,A2590&lt;=Dashboard!$Q$4,OR(J2590&lt;&gt;"Yes",Dashboard!$Q$15="Yes")),P2590,""),"")</f>
        <v/>
      </c>
    </row>
    <row r="2591">
      <c r="A2591" s="47" t="n"/>
      <c r="B2591" s="48" t="n"/>
      <c r="C2591" s="48" t="n"/>
      <c r="D2591" s="48" t="n"/>
      <c r="E2591" s="48" t="n"/>
      <c r="F2591" s="48" t="n"/>
      <c r="G2591" s="48" t="n"/>
      <c r="H2591" s="48" t="n"/>
      <c r="I2591" s="49" t="n"/>
      <c r="J2591" s="50" t="n"/>
      <c r="K2591" s="48" t="n"/>
      <c r="L2591" s="51">
        <f>IF(A2591="","",DATE(YEAR(A2591),MONTH(A2591),1))</f>
        <v/>
      </c>
      <c r="M2591" s="52">
        <f>IF(OR(A2591="",NOT(ISNUMBER(I2591))),"",IF(G2591=Lists!$B$5,I2591/2,IF(G2591=Lists!$B$6,I2591,0)))</f>
        <v/>
      </c>
      <c r="N2591" s="52">
        <f>IF(OR(A2591="",NOT(ISNUMBER(I2591))),"",IF(G2591=Lists!$B$5,I2591/2,IF(G2591=Lists!$B$7,I2591,0)))</f>
        <v/>
      </c>
      <c r="O2591" s="53">
        <f>IF(COUNTA(A2591:K2591)=0,"",IF(OR(A2591="",B2591="",C2591="",D2591="",E2591="",F2591="",G2591="",NOT(ISNUMBER(I2591))),"Incomplete",IF(COUNTIF(Lists!$H$4:$AA$4,C2591)=0,"Check category",IF(COUNTIF(INDEX(Lists!$H$6:$AA$45,0,MATCH(C2591,Lists!$H$4:$AA$4,0)),D2591)=0,"Check sub-category","OK"))))</f>
        <v/>
      </c>
      <c r="P2591">
        <f>IF(ISNUMBER(I2591),I2591+ROW()/10000000,"")</f>
        <v/>
      </c>
      <c r="Q2591">
        <f>IF(AND(ISNUMBER(P2591),ISNUMBER(A2591)),IF(AND(A2591&gt;=Dashboard!$Q$3,A2591&lt;=Dashboard!$Q$4,OR(J2591&lt;&gt;"Yes",Dashboard!$Q$15="Yes")),P2591,""),"")</f>
        <v/>
      </c>
    </row>
    <row r="2592">
      <c r="A2592" s="47" t="n"/>
      <c r="B2592" s="48" t="n"/>
      <c r="C2592" s="48" t="n"/>
      <c r="D2592" s="48" t="n"/>
      <c r="E2592" s="48" t="n"/>
      <c r="F2592" s="48" t="n"/>
      <c r="G2592" s="48" t="n"/>
      <c r="H2592" s="48" t="n"/>
      <c r="I2592" s="49" t="n"/>
      <c r="J2592" s="50" t="n"/>
      <c r="K2592" s="48" t="n"/>
      <c r="L2592" s="51">
        <f>IF(A2592="","",DATE(YEAR(A2592),MONTH(A2592),1))</f>
        <v/>
      </c>
      <c r="M2592" s="52">
        <f>IF(OR(A2592="",NOT(ISNUMBER(I2592))),"",IF(G2592=Lists!$B$5,I2592/2,IF(G2592=Lists!$B$6,I2592,0)))</f>
        <v/>
      </c>
      <c r="N2592" s="52">
        <f>IF(OR(A2592="",NOT(ISNUMBER(I2592))),"",IF(G2592=Lists!$B$5,I2592/2,IF(G2592=Lists!$B$7,I2592,0)))</f>
        <v/>
      </c>
      <c r="O2592" s="53">
        <f>IF(COUNTA(A2592:K2592)=0,"",IF(OR(A2592="",B2592="",C2592="",D2592="",E2592="",F2592="",G2592="",NOT(ISNUMBER(I2592))),"Incomplete",IF(COUNTIF(Lists!$H$4:$AA$4,C2592)=0,"Check category",IF(COUNTIF(INDEX(Lists!$H$6:$AA$45,0,MATCH(C2592,Lists!$H$4:$AA$4,0)),D2592)=0,"Check sub-category","OK"))))</f>
        <v/>
      </c>
      <c r="P2592">
        <f>IF(ISNUMBER(I2592),I2592+ROW()/10000000,"")</f>
        <v/>
      </c>
      <c r="Q2592">
        <f>IF(AND(ISNUMBER(P2592),ISNUMBER(A2592)),IF(AND(A2592&gt;=Dashboard!$Q$3,A2592&lt;=Dashboard!$Q$4,OR(J2592&lt;&gt;"Yes",Dashboard!$Q$15="Yes")),P2592,""),"")</f>
        <v/>
      </c>
    </row>
    <row r="2593">
      <c r="A2593" s="47" t="n"/>
      <c r="B2593" s="48" t="n"/>
      <c r="C2593" s="48" t="n"/>
      <c r="D2593" s="48" t="n"/>
      <c r="E2593" s="48" t="n"/>
      <c r="F2593" s="48" t="n"/>
      <c r="G2593" s="48" t="n"/>
      <c r="H2593" s="48" t="n"/>
      <c r="I2593" s="49" t="n"/>
      <c r="J2593" s="50" t="n"/>
      <c r="K2593" s="48" t="n"/>
      <c r="L2593" s="51">
        <f>IF(A2593="","",DATE(YEAR(A2593),MONTH(A2593),1))</f>
        <v/>
      </c>
      <c r="M2593" s="52">
        <f>IF(OR(A2593="",NOT(ISNUMBER(I2593))),"",IF(G2593=Lists!$B$5,I2593/2,IF(G2593=Lists!$B$6,I2593,0)))</f>
        <v/>
      </c>
      <c r="N2593" s="52">
        <f>IF(OR(A2593="",NOT(ISNUMBER(I2593))),"",IF(G2593=Lists!$B$5,I2593/2,IF(G2593=Lists!$B$7,I2593,0)))</f>
        <v/>
      </c>
      <c r="O2593" s="53">
        <f>IF(COUNTA(A2593:K2593)=0,"",IF(OR(A2593="",B2593="",C2593="",D2593="",E2593="",F2593="",G2593="",NOT(ISNUMBER(I2593))),"Incomplete",IF(COUNTIF(Lists!$H$4:$AA$4,C2593)=0,"Check category",IF(COUNTIF(INDEX(Lists!$H$6:$AA$45,0,MATCH(C2593,Lists!$H$4:$AA$4,0)),D2593)=0,"Check sub-category","OK"))))</f>
        <v/>
      </c>
      <c r="P2593">
        <f>IF(ISNUMBER(I2593),I2593+ROW()/10000000,"")</f>
        <v/>
      </c>
      <c r="Q2593">
        <f>IF(AND(ISNUMBER(P2593),ISNUMBER(A2593)),IF(AND(A2593&gt;=Dashboard!$Q$3,A2593&lt;=Dashboard!$Q$4,OR(J2593&lt;&gt;"Yes",Dashboard!$Q$15="Yes")),P2593,""),"")</f>
        <v/>
      </c>
    </row>
    <row r="2594">
      <c r="A2594" s="47" t="n"/>
      <c r="B2594" s="48" t="n"/>
      <c r="C2594" s="48" t="n"/>
      <c r="D2594" s="48" t="n"/>
      <c r="E2594" s="48" t="n"/>
      <c r="F2594" s="48" t="n"/>
      <c r="G2594" s="48" t="n"/>
      <c r="H2594" s="48" t="n"/>
      <c r="I2594" s="49" t="n"/>
      <c r="J2594" s="50" t="n"/>
      <c r="K2594" s="48" t="n"/>
      <c r="L2594" s="51">
        <f>IF(A2594="","",DATE(YEAR(A2594),MONTH(A2594),1))</f>
        <v/>
      </c>
      <c r="M2594" s="52">
        <f>IF(OR(A2594="",NOT(ISNUMBER(I2594))),"",IF(G2594=Lists!$B$5,I2594/2,IF(G2594=Lists!$B$6,I2594,0)))</f>
        <v/>
      </c>
      <c r="N2594" s="52">
        <f>IF(OR(A2594="",NOT(ISNUMBER(I2594))),"",IF(G2594=Lists!$B$5,I2594/2,IF(G2594=Lists!$B$7,I2594,0)))</f>
        <v/>
      </c>
      <c r="O2594" s="53">
        <f>IF(COUNTA(A2594:K2594)=0,"",IF(OR(A2594="",B2594="",C2594="",D2594="",E2594="",F2594="",G2594="",NOT(ISNUMBER(I2594))),"Incomplete",IF(COUNTIF(Lists!$H$4:$AA$4,C2594)=0,"Check category",IF(COUNTIF(INDEX(Lists!$H$6:$AA$45,0,MATCH(C2594,Lists!$H$4:$AA$4,0)),D2594)=0,"Check sub-category","OK"))))</f>
        <v/>
      </c>
      <c r="P2594">
        <f>IF(ISNUMBER(I2594),I2594+ROW()/10000000,"")</f>
        <v/>
      </c>
      <c r="Q2594">
        <f>IF(AND(ISNUMBER(P2594),ISNUMBER(A2594)),IF(AND(A2594&gt;=Dashboard!$Q$3,A2594&lt;=Dashboard!$Q$4,OR(J2594&lt;&gt;"Yes",Dashboard!$Q$15="Yes")),P2594,""),"")</f>
        <v/>
      </c>
    </row>
    <row r="2595">
      <c r="A2595" s="47" t="n"/>
      <c r="B2595" s="48" t="n"/>
      <c r="C2595" s="48" t="n"/>
      <c r="D2595" s="48" t="n"/>
      <c r="E2595" s="48" t="n"/>
      <c r="F2595" s="48" t="n"/>
      <c r="G2595" s="48" t="n"/>
      <c r="H2595" s="48" t="n"/>
      <c r="I2595" s="49" t="n"/>
      <c r="J2595" s="50" t="n"/>
      <c r="K2595" s="48" t="n"/>
      <c r="L2595" s="51">
        <f>IF(A2595="","",DATE(YEAR(A2595),MONTH(A2595),1))</f>
        <v/>
      </c>
      <c r="M2595" s="52">
        <f>IF(OR(A2595="",NOT(ISNUMBER(I2595))),"",IF(G2595=Lists!$B$5,I2595/2,IF(G2595=Lists!$B$6,I2595,0)))</f>
        <v/>
      </c>
      <c r="N2595" s="52">
        <f>IF(OR(A2595="",NOT(ISNUMBER(I2595))),"",IF(G2595=Lists!$B$5,I2595/2,IF(G2595=Lists!$B$7,I2595,0)))</f>
        <v/>
      </c>
      <c r="O2595" s="53">
        <f>IF(COUNTA(A2595:K2595)=0,"",IF(OR(A2595="",B2595="",C2595="",D2595="",E2595="",F2595="",G2595="",NOT(ISNUMBER(I2595))),"Incomplete",IF(COUNTIF(Lists!$H$4:$AA$4,C2595)=0,"Check category",IF(COUNTIF(INDEX(Lists!$H$6:$AA$45,0,MATCH(C2595,Lists!$H$4:$AA$4,0)),D2595)=0,"Check sub-category","OK"))))</f>
        <v/>
      </c>
      <c r="P2595">
        <f>IF(ISNUMBER(I2595),I2595+ROW()/10000000,"")</f>
        <v/>
      </c>
      <c r="Q2595">
        <f>IF(AND(ISNUMBER(P2595),ISNUMBER(A2595)),IF(AND(A2595&gt;=Dashboard!$Q$3,A2595&lt;=Dashboard!$Q$4,OR(J2595&lt;&gt;"Yes",Dashboard!$Q$15="Yes")),P2595,""),"")</f>
        <v/>
      </c>
    </row>
    <row r="2596">
      <c r="A2596" s="47" t="n"/>
      <c r="B2596" s="48" t="n"/>
      <c r="C2596" s="48" t="n"/>
      <c r="D2596" s="48" t="n"/>
      <c r="E2596" s="48" t="n"/>
      <c r="F2596" s="48" t="n"/>
      <c r="G2596" s="48" t="n"/>
      <c r="H2596" s="48" t="n"/>
      <c r="I2596" s="49" t="n"/>
      <c r="J2596" s="50" t="n"/>
      <c r="K2596" s="48" t="n"/>
      <c r="L2596" s="51">
        <f>IF(A2596="","",DATE(YEAR(A2596),MONTH(A2596),1))</f>
        <v/>
      </c>
      <c r="M2596" s="52">
        <f>IF(OR(A2596="",NOT(ISNUMBER(I2596))),"",IF(G2596=Lists!$B$5,I2596/2,IF(G2596=Lists!$B$6,I2596,0)))</f>
        <v/>
      </c>
      <c r="N2596" s="52">
        <f>IF(OR(A2596="",NOT(ISNUMBER(I2596))),"",IF(G2596=Lists!$B$5,I2596/2,IF(G2596=Lists!$B$7,I2596,0)))</f>
        <v/>
      </c>
      <c r="O2596" s="53">
        <f>IF(COUNTA(A2596:K2596)=0,"",IF(OR(A2596="",B2596="",C2596="",D2596="",E2596="",F2596="",G2596="",NOT(ISNUMBER(I2596))),"Incomplete",IF(COUNTIF(Lists!$H$4:$AA$4,C2596)=0,"Check category",IF(COUNTIF(INDEX(Lists!$H$6:$AA$45,0,MATCH(C2596,Lists!$H$4:$AA$4,0)),D2596)=0,"Check sub-category","OK"))))</f>
        <v/>
      </c>
      <c r="P2596">
        <f>IF(ISNUMBER(I2596),I2596+ROW()/10000000,"")</f>
        <v/>
      </c>
      <c r="Q2596">
        <f>IF(AND(ISNUMBER(P2596),ISNUMBER(A2596)),IF(AND(A2596&gt;=Dashboard!$Q$3,A2596&lt;=Dashboard!$Q$4,OR(J2596&lt;&gt;"Yes",Dashboard!$Q$15="Yes")),P2596,""),"")</f>
        <v/>
      </c>
    </row>
    <row r="2597">
      <c r="A2597" s="47" t="n"/>
      <c r="B2597" s="48" t="n"/>
      <c r="C2597" s="48" t="n"/>
      <c r="D2597" s="48" t="n"/>
      <c r="E2597" s="48" t="n"/>
      <c r="F2597" s="48" t="n"/>
      <c r="G2597" s="48" t="n"/>
      <c r="H2597" s="48" t="n"/>
      <c r="I2597" s="49" t="n"/>
      <c r="J2597" s="50" t="n"/>
      <c r="K2597" s="48" t="n"/>
      <c r="L2597" s="51">
        <f>IF(A2597="","",DATE(YEAR(A2597),MONTH(A2597),1))</f>
        <v/>
      </c>
      <c r="M2597" s="52">
        <f>IF(OR(A2597="",NOT(ISNUMBER(I2597))),"",IF(G2597=Lists!$B$5,I2597/2,IF(G2597=Lists!$B$6,I2597,0)))</f>
        <v/>
      </c>
      <c r="N2597" s="52">
        <f>IF(OR(A2597="",NOT(ISNUMBER(I2597))),"",IF(G2597=Lists!$B$5,I2597/2,IF(G2597=Lists!$B$7,I2597,0)))</f>
        <v/>
      </c>
      <c r="O2597" s="53">
        <f>IF(COUNTA(A2597:K2597)=0,"",IF(OR(A2597="",B2597="",C2597="",D2597="",E2597="",F2597="",G2597="",NOT(ISNUMBER(I2597))),"Incomplete",IF(COUNTIF(Lists!$H$4:$AA$4,C2597)=0,"Check category",IF(COUNTIF(INDEX(Lists!$H$6:$AA$45,0,MATCH(C2597,Lists!$H$4:$AA$4,0)),D2597)=0,"Check sub-category","OK"))))</f>
        <v/>
      </c>
      <c r="P2597">
        <f>IF(ISNUMBER(I2597),I2597+ROW()/10000000,"")</f>
        <v/>
      </c>
      <c r="Q2597">
        <f>IF(AND(ISNUMBER(P2597),ISNUMBER(A2597)),IF(AND(A2597&gt;=Dashboard!$Q$3,A2597&lt;=Dashboard!$Q$4,OR(J2597&lt;&gt;"Yes",Dashboard!$Q$15="Yes")),P2597,""),"")</f>
        <v/>
      </c>
    </row>
    <row r="2598">
      <c r="A2598" s="47" t="n"/>
      <c r="B2598" s="48" t="n"/>
      <c r="C2598" s="48" t="n"/>
      <c r="D2598" s="48" t="n"/>
      <c r="E2598" s="48" t="n"/>
      <c r="F2598" s="48" t="n"/>
      <c r="G2598" s="48" t="n"/>
      <c r="H2598" s="48" t="n"/>
      <c r="I2598" s="49" t="n"/>
      <c r="J2598" s="50" t="n"/>
      <c r="K2598" s="48" t="n"/>
      <c r="L2598" s="51">
        <f>IF(A2598="","",DATE(YEAR(A2598),MONTH(A2598),1))</f>
        <v/>
      </c>
      <c r="M2598" s="52">
        <f>IF(OR(A2598="",NOT(ISNUMBER(I2598))),"",IF(G2598=Lists!$B$5,I2598/2,IF(G2598=Lists!$B$6,I2598,0)))</f>
        <v/>
      </c>
      <c r="N2598" s="52">
        <f>IF(OR(A2598="",NOT(ISNUMBER(I2598))),"",IF(G2598=Lists!$B$5,I2598/2,IF(G2598=Lists!$B$7,I2598,0)))</f>
        <v/>
      </c>
      <c r="O2598" s="53">
        <f>IF(COUNTA(A2598:K2598)=0,"",IF(OR(A2598="",B2598="",C2598="",D2598="",E2598="",F2598="",G2598="",NOT(ISNUMBER(I2598))),"Incomplete",IF(COUNTIF(Lists!$H$4:$AA$4,C2598)=0,"Check category",IF(COUNTIF(INDEX(Lists!$H$6:$AA$45,0,MATCH(C2598,Lists!$H$4:$AA$4,0)),D2598)=0,"Check sub-category","OK"))))</f>
        <v/>
      </c>
      <c r="P2598">
        <f>IF(ISNUMBER(I2598),I2598+ROW()/10000000,"")</f>
        <v/>
      </c>
      <c r="Q2598">
        <f>IF(AND(ISNUMBER(P2598),ISNUMBER(A2598)),IF(AND(A2598&gt;=Dashboard!$Q$3,A2598&lt;=Dashboard!$Q$4,OR(J2598&lt;&gt;"Yes",Dashboard!$Q$15="Yes")),P2598,""),"")</f>
        <v/>
      </c>
    </row>
    <row r="2599">
      <c r="A2599" s="47" t="n"/>
      <c r="B2599" s="48" t="n"/>
      <c r="C2599" s="48" t="n"/>
      <c r="D2599" s="48" t="n"/>
      <c r="E2599" s="48" t="n"/>
      <c r="F2599" s="48" t="n"/>
      <c r="G2599" s="48" t="n"/>
      <c r="H2599" s="48" t="n"/>
      <c r="I2599" s="49" t="n"/>
      <c r="J2599" s="50" t="n"/>
      <c r="K2599" s="48" t="n"/>
      <c r="L2599" s="51">
        <f>IF(A2599="","",DATE(YEAR(A2599),MONTH(A2599),1))</f>
        <v/>
      </c>
      <c r="M2599" s="52">
        <f>IF(OR(A2599="",NOT(ISNUMBER(I2599))),"",IF(G2599=Lists!$B$5,I2599/2,IF(G2599=Lists!$B$6,I2599,0)))</f>
        <v/>
      </c>
      <c r="N2599" s="52">
        <f>IF(OR(A2599="",NOT(ISNUMBER(I2599))),"",IF(G2599=Lists!$B$5,I2599/2,IF(G2599=Lists!$B$7,I2599,0)))</f>
        <v/>
      </c>
      <c r="O2599" s="53">
        <f>IF(COUNTA(A2599:K2599)=0,"",IF(OR(A2599="",B2599="",C2599="",D2599="",E2599="",F2599="",G2599="",NOT(ISNUMBER(I2599))),"Incomplete",IF(COUNTIF(Lists!$H$4:$AA$4,C2599)=0,"Check category",IF(COUNTIF(INDEX(Lists!$H$6:$AA$45,0,MATCH(C2599,Lists!$H$4:$AA$4,0)),D2599)=0,"Check sub-category","OK"))))</f>
        <v/>
      </c>
      <c r="P2599">
        <f>IF(ISNUMBER(I2599),I2599+ROW()/10000000,"")</f>
        <v/>
      </c>
      <c r="Q2599">
        <f>IF(AND(ISNUMBER(P2599),ISNUMBER(A2599)),IF(AND(A2599&gt;=Dashboard!$Q$3,A2599&lt;=Dashboard!$Q$4,OR(J2599&lt;&gt;"Yes",Dashboard!$Q$15="Yes")),P2599,""),"")</f>
        <v/>
      </c>
    </row>
    <row r="2600">
      <c r="A2600" s="47" t="n"/>
      <c r="B2600" s="48" t="n"/>
      <c r="C2600" s="48" t="n"/>
      <c r="D2600" s="48" t="n"/>
      <c r="E2600" s="48" t="n"/>
      <c r="F2600" s="48" t="n"/>
      <c r="G2600" s="48" t="n"/>
      <c r="H2600" s="48" t="n"/>
      <c r="I2600" s="49" t="n"/>
      <c r="J2600" s="50" t="n"/>
      <c r="K2600" s="48" t="n"/>
      <c r="L2600" s="51">
        <f>IF(A2600="","",DATE(YEAR(A2600),MONTH(A2600),1))</f>
        <v/>
      </c>
      <c r="M2600" s="52">
        <f>IF(OR(A2600="",NOT(ISNUMBER(I2600))),"",IF(G2600=Lists!$B$5,I2600/2,IF(G2600=Lists!$B$6,I2600,0)))</f>
        <v/>
      </c>
      <c r="N2600" s="52">
        <f>IF(OR(A2600="",NOT(ISNUMBER(I2600))),"",IF(G2600=Lists!$B$5,I2600/2,IF(G2600=Lists!$B$7,I2600,0)))</f>
        <v/>
      </c>
      <c r="O2600" s="53">
        <f>IF(COUNTA(A2600:K2600)=0,"",IF(OR(A2600="",B2600="",C2600="",D2600="",E2600="",F2600="",G2600="",NOT(ISNUMBER(I2600))),"Incomplete",IF(COUNTIF(Lists!$H$4:$AA$4,C2600)=0,"Check category",IF(COUNTIF(INDEX(Lists!$H$6:$AA$45,0,MATCH(C2600,Lists!$H$4:$AA$4,0)),D2600)=0,"Check sub-category","OK"))))</f>
        <v/>
      </c>
      <c r="P2600">
        <f>IF(ISNUMBER(I2600),I2600+ROW()/10000000,"")</f>
        <v/>
      </c>
      <c r="Q2600">
        <f>IF(AND(ISNUMBER(P2600),ISNUMBER(A2600)),IF(AND(A2600&gt;=Dashboard!$Q$3,A2600&lt;=Dashboard!$Q$4,OR(J2600&lt;&gt;"Yes",Dashboard!$Q$15="Yes")),P2600,""),"")</f>
        <v/>
      </c>
    </row>
    <row r="2601">
      <c r="A2601" s="47" t="n"/>
      <c r="B2601" s="48" t="n"/>
      <c r="C2601" s="48" t="n"/>
      <c r="D2601" s="48" t="n"/>
      <c r="E2601" s="48" t="n"/>
      <c r="F2601" s="48" t="n"/>
      <c r="G2601" s="48" t="n"/>
      <c r="H2601" s="48" t="n"/>
      <c r="I2601" s="49" t="n"/>
      <c r="J2601" s="50" t="n"/>
      <c r="K2601" s="48" t="n"/>
      <c r="L2601" s="51">
        <f>IF(A2601="","",DATE(YEAR(A2601),MONTH(A2601),1))</f>
        <v/>
      </c>
      <c r="M2601" s="52">
        <f>IF(OR(A2601="",NOT(ISNUMBER(I2601))),"",IF(G2601=Lists!$B$5,I2601/2,IF(G2601=Lists!$B$6,I2601,0)))</f>
        <v/>
      </c>
      <c r="N2601" s="52">
        <f>IF(OR(A2601="",NOT(ISNUMBER(I2601))),"",IF(G2601=Lists!$B$5,I2601/2,IF(G2601=Lists!$B$7,I2601,0)))</f>
        <v/>
      </c>
      <c r="O2601" s="53">
        <f>IF(COUNTA(A2601:K2601)=0,"",IF(OR(A2601="",B2601="",C2601="",D2601="",E2601="",F2601="",G2601="",NOT(ISNUMBER(I2601))),"Incomplete",IF(COUNTIF(Lists!$H$4:$AA$4,C2601)=0,"Check category",IF(COUNTIF(INDEX(Lists!$H$6:$AA$45,0,MATCH(C2601,Lists!$H$4:$AA$4,0)),D2601)=0,"Check sub-category","OK"))))</f>
        <v/>
      </c>
      <c r="P2601">
        <f>IF(ISNUMBER(I2601),I2601+ROW()/10000000,"")</f>
        <v/>
      </c>
      <c r="Q2601">
        <f>IF(AND(ISNUMBER(P2601),ISNUMBER(A2601)),IF(AND(A2601&gt;=Dashboard!$Q$3,A2601&lt;=Dashboard!$Q$4,OR(J2601&lt;&gt;"Yes",Dashboard!$Q$15="Yes")),P2601,""),"")</f>
        <v/>
      </c>
    </row>
    <row r="2602">
      <c r="A2602" s="47" t="n"/>
      <c r="B2602" s="48" t="n"/>
      <c r="C2602" s="48" t="n"/>
      <c r="D2602" s="48" t="n"/>
      <c r="E2602" s="48" t="n"/>
      <c r="F2602" s="48" t="n"/>
      <c r="G2602" s="48" t="n"/>
      <c r="H2602" s="48" t="n"/>
      <c r="I2602" s="49" t="n"/>
      <c r="J2602" s="50" t="n"/>
      <c r="K2602" s="48" t="n"/>
      <c r="L2602" s="51">
        <f>IF(A2602="","",DATE(YEAR(A2602),MONTH(A2602),1))</f>
        <v/>
      </c>
      <c r="M2602" s="52">
        <f>IF(OR(A2602="",NOT(ISNUMBER(I2602))),"",IF(G2602=Lists!$B$5,I2602/2,IF(G2602=Lists!$B$6,I2602,0)))</f>
        <v/>
      </c>
      <c r="N2602" s="52">
        <f>IF(OR(A2602="",NOT(ISNUMBER(I2602))),"",IF(G2602=Lists!$B$5,I2602/2,IF(G2602=Lists!$B$7,I2602,0)))</f>
        <v/>
      </c>
      <c r="O2602" s="53">
        <f>IF(COUNTA(A2602:K2602)=0,"",IF(OR(A2602="",B2602="",C2602="",D2602="",E2602="",F2602="",G2602="",NOT(ISNUMBER(I2602))),"Incomplete",IF(COUNTIF(Lists!$H$4:$AA$4,C2602)=0,"Check category",IF(COUNTIF(INDEX(Lists!$H$6:$AA$45,0,MATCH(C2602,Lists!$H$4:$AA$4,0)),D2602)=0,"Check sub-category","OK"))))</f>
        <v/>
      </c>
      <c r="P2602">
        <f>IF(ISNUMBER(I2602),I2602+ROW()/10000000,"")</f>
        <v/>
      </c>
      <c r="Q2602">
        <f>IF(AND(ISNUMBER(P2602),ISNUMBER(A2602)),IF(AND(A2602&gt;=Dashboard!$Q$3,A2602&lt;=Dashboard!$Q$4,OR(J2602&lt;&gt;"Yes",Dashboard!$Q$15="Yes")),P2602,""),"")</f>
        <v/>
      </c>
    </row>
    <row r="2603">
      <c r="A2603" s="47" t="n"/>
      <c r="B2603" s="48" t="n"/>
      <c r="C2603" s="48" t="n"/>
      <c r="D2603" s="48" t="n"/>
      <c r="E2603" s="48" t="n"/>
      <c r="F2603" s="48" t="n"/>
      <c r="G2603" s="48" t="n"/>
      <c r="H2603" s="48" t="n"/>
      <c r="I2603" s="49" t="n"/>
      <c r="J2603" s="50" t="n"/>
      <c r="K2603" s="48" t="n"/>
      <c r="L2603" s="51">
        <f>IF(A2603="","",DATE(YEAR(A2603),MONTH(A2603),1))</f>
        <v/>
      </c>
      <c r="M2603" s="52">
        <f>IF(OR(A2603="",NOT(ISNUMBER(I2603))),"",IF(G2603=Lists!$B$5,I2603/2,IF(G2603=Lists!$B$6,I2603,0)))</f>
        <v/>
      </c>
      <c r="N2603" s="52">
        <f>IF(OR(A2603="",NOT(ISNUMBER(I2603))),"",IF(G2603=Lists!$B$5,I2603/2,IF(G2603=Lists!$B$7,I2603,0)))</f>
        <v/>
      </c>
      <c r="O2603" s="53">
        <f>IF(COUNTA(A2603:K2603)=0,"",IF(OR(A2603="",B2603="",C2603="",D2603="",E2603="",F2603="",G2603="",NOT(ISNUMBER(I2603))),"Incomplete",IF(COUNTIF(Lists!$H$4:$AA$4,C2603)=0,"Check category",IF(COUNTIF(INDEX(Lists!$H$6:$AA$45,0,MATCH(C2603,Lists!$H$4:$AA$4,0)),D2603)=0,"Check sub-category","OK"))))</f>
        <v/>
      </c>
      <c r="P2603">
        <f>IF(ISNUMBER(I2603),I2603+ROW()/10000000,"")</f>
        <v/>
      </c>
      <c r="Q2603">
        <f>IF(AND(ISNUMBER(P2603),ISNUMBER(A2603)),IF(AND(A2603&gt;=Dashboard!$Q$3,A2603&lt;=Dashboard!$Q$4,OR(J2603&lt;&gt;"Yes",Dashboard!$Q$15="Yes")),P2603,""),"")</f>
        <v/>
      </c>
    </row>
    <row r="2604">
      <c r="A2604" s="47" t="n"/>
      <c r="B2604" s="48" t="n"/>
      <c r="C2604" s="48" t="n"/>
      <c r="D2604" s="48" t="n"/>
      <c r="E2604" s="48" t="n"/>
      <c r="F2604" s="48" t="n"/>
      <c r="G2604" s="48" t="n"/>
      <c r="H2604" s="48" t="n"/>
      <c r="I2604" s="49" t="n"/>
      <c r="J2604" s="50" t="n"/>
      <c r="K2604" s="48" t="n"/>
      <c r="L2604" s="51">
        <f>IF(A2604="","",DATE(YEAR(A2604),MONTH(A2604),1))</f>
        <v/>
      </c>
      <c r="M2604" s="52">
        <f>IF(OR(A2604="",NOT(ISNUMBER(I2604))),"",IF(G2604=Lists!$B$5,I2604/2,IF(G2604=Lists!$B$6,I2604,0)))</f>
        <v/>
      </c>
      <c r="N2604" s="52">
        <f>IF(OR(A2604="",NOT(ISNUMBER(I2604))),"",IF(G2604=Lists!$B$5,I2604/2,IF(G2604=Lists!$B$7,I2604,0)))</f>
        <v/>
      </c>
      <c r="O2604" s="53">
        <f>IF(COUNTA(A2604:K2604)=0,"",IF(OR(A2604="",B2604="",C2604="",D2604="",E2604="",F2604="",G2604="",NOT(ISNUMBER(I2604))),"Incomplete",IF(COUNTIF(Lists!$H$4:$AA$4,C2604)=0,"Check category",IF(COUNTIF(INDEX(Lists!$H$6:$AA$45,0,MATCH(C2604,Lists!$H$4:$AA$4,0)),D2604)=0,"Check sub-category","OK"))))</f>
        <v/>
      </c>
      <c r="P2604">
        <f>IF(ISNUMBER(I2604),I2604+ROW()/10000000,"")</f>
        <v/>
      </c>
      <c r="Q2604">
        <f>IF(AND(ISNUMBER(P2604),ISNUMBER(A2604)),IF(AND(A2604&gt;=Dashboard!$Q$3,A2604&lt;=Dashboard!$Q$4,OR(J2604&lt;&gt;"Yes",Dashboard!$Q$15="Yes")),P2604,""),"")</f>
        <v/>
      </c>
    </row>
    <row r="2605">
      <c r="A2605" s="47" t="n"/>
      <c r="B2605" s="48" t="n"/>
      <c r="C2605" s="48" t="n"/>
      <c r="D2605" s="48" t="n"/>
      <c r="E2605" s="48" t="n"/>
      <c r="F2605" s="48" t="n"/>
      <c r="G2605" s="48" t="n"/>
      <c r="H2605" s="48" t="n"/>
      <c r="I2605" s="49" t="n"/>
      <c r="J2605" s="50" t="n"/>
      <c r="K2605" s="48" t="n"/>
      <c r="L2605" s="51">
        <f>IF(A2605="","",DATE(YEAR(A2605),MONTH(A2605),1))</f>
        <v/>
      </c>
      <c r="M2605" s="52">
        <f>IF(OR(A2605="",NOT(ISNUMBER(I2605))),"",IF(G2605=Lists!$B$5,I2605/2,IF(G2605=Lists!$B$6,I2605,0)))</f>
        <v/>
      </c>
      <c r="N2605" s="52">
        <f>IF(OR(A2605="",NOT(ISNUMBER(I2605))),"",IF(G2605=Lists!$B$5,I2605/2,IF(G2605=Lists!$B$7,I2605,0)))</f>
        <v/>
      </c>
      <c r="O2605" s="53">
        <f>IF(COUNTA(A2605:K2605)=0,"",IF(OR(A2605="",B2605="",C2605="",D2605="",E2605="",F2605="",G2605="",NOT(ISNUMBER(I2605))),"Incomplete",IF(COUNTIF(Lists!$H$4:$AA$4,C2605)=0,"Check category",IF(COUNTIF(INDEX(Lists!$H$6:$AA$45,0,MATCH(C2605,Lists!$H$4:$AA$4,0)),D2605)=0,"Check sub-category","OK"))))</f>
        <v/>
      </c>
      <c r="P2605">
        <f>IF(ISNUMBER(I2605),I2605+ROW()/10000000,"")</f>
        <v/>
      </c>
      <c r="Q2605">
        <f>IF(AND(ISNUMBER(P2605),ISNUMBER(A2605)),IF(AND(A2605&gt;=Dashboard!$Q$3,A2605&lt;=Dashboard!$Q$4,OR(J2605&lt;&gt;"Yes",Dashboard!$Q$15="Yes")),P2605,""),"")</f>
        <v/>
      </c>
    </row>
    <row r="2606">
      <c r="A2606" s="47" t="n"/>
      <c r="B2606" s="48" t="n"/>
      <c r="C2606" s="48" t="n"/>
      <c r="D2606" s="48" t="n"/>
      <c r="E2606" s="48" t="n"/>
      <c r="F2606" s="48" t="n"/>
      <c r="G2606" s="48" t="n"/>
      <c r="H2606" s="48" t="n"/>
      <c r="I2606" s="49" t="n"/>
      <c r="J2606" s="50" t="n"/>
      <c r="K2606" s="48" t="n"/>
      <c r="L2606" s="51">
        <f>IF(A2606="","",DATE(YEAR(A2606),MONTH(A2606),1))</f>
        <v/>
      </c>
      <c r="M2606" s="52">
        <f>IF(OR(A2606="",NOT(ISNUMBER(I2606))),"",IF(G2606=Lists!$B$5,I2606/2,IF(G2606=Lists!$B$6,I2606,0)))</f>
        <v/>
      </c>
      <c r="N2606" s="52">
        <f>IF(OR(A2606="",NOT(ISNUMBER(I2606))),"",IF(G2606=Lists!$B$5,I2606/2,IF(G2606=Lists!$B$7,I2606,0)))</f>
        <v/>
      </c>
      <c r="O2606" s="53">
        <f>IF(COUNTA(A2606:K2606)=0,"",IF(OR(A2606="",B2606="",C2606="",D2606="",E2606="",F2606="",G2606="",NOT(ISNUMBER(I2606))),"Incomplete",IF(COUNTIF(Lists!$H$4:$AA$4,C2606)=0,"Check category",IF(COUNTIF(INDEX(Lists!$H$6:$AA$45,0,MATCH(C2606,Lists!$H$4:$AA$4,0)),D2606)=0,"Check sub-category","OK"))))</f>
        <v/>
      </c>
      <c r="P2606">
        <f>IF(ISNUMBER(I2606),I2606+ROW()/10000000,"")</f>
        <v/>
      </c>
      <c r="Q2606">
        <f>IF(AND(ISNUMBER(P2606),ISNUMBER(A2606)),IF(AND(A2606&gt;=Dashboard!$Q$3,A2606&lt;=Dashboard!$Q$4,OR(J2606&lt;&gt;"Yes",Dashboard!$Q$15="Yes")),P2606,""),"")</f>
        <v/>
      </c>
    </row>
    <row r="2607">
      <c r="A2607" s="47" t="n"/>
      <c r="B2607" s="48" t="n"/>
      <c r="C2607" s="48" t="n"/>
      <c r="D2607" s="48" t="n"/>
      <c r="E2607" s="48" t="n"/>
      <c r="F2607" s="48" t="n"/>
      <c r="G2607" s="48" t="n"/>
      <c r="H2607" s="48" t="n"/>
      <c r="I2607" s="49" t="n"/>
      <c r="J2607" s="50" t="n"/>
      <c r="K2607" s="48" t="n"/>
      <c r="L2607" s="51">
        <f>IF(A2607="","",DATE(YEAR(A2607),MONTH(A2607),1))</f>
        <v/>
      </c>
      <c r="M2607" s="52">
        <f>IF(OR(A2607="",NOT(ISNUMBER(I2607))),"",IF(G2607=Lists!$B$5,I2607/2,IF(G2607=Lists!$B$6,I2607,0)))</f>
        <v/>
      </c>
      <c r="N2607" s="52">
        <f>IF(OR(A2607="",NOT(ISNUMBER(I2607))),"",IF(G2607=Lists!$B$5,I2607/2,IF(G2607=Lists!$B$7,I2607,0)))</f>
        <v/>
      </c>
      <c r="O2607" s="53">
        <f>IF(COUNTA(A2607:K2607)=0,"",IF(OR(A2607="",B2607="",C2607="",D2607="",E2607="",F2607="",G2607="",NOT(ISNUMBER(I2607))),"Incomplete",IF(COUNTIF(Lists!$H$4:$AA$4,C2607)=0,"Check category",IF(COUNTIF(INDEX(Lists!$H$6:$AA$45,0,MATCH(C2607,Lists!$H$4:$AA$4,0)),D2607)=0,"Check sub-category","OK"))))</f>
        <v/>
      </c>
      <c r="P2607">
        <f>IF(ISNUMBER(I2607),I2607+ROW()/10000000,"")</f>
        <v/>
      </c>
      <c r="Q2607">
        <f>IF(AND(ISNUMBER(P2607),ISNUMBER(A2607)),IF(AND(A2607&gt;=Dashboard!$Q$3,A2607&lt;=Dashboard!$Q$4,OR(J2607&lt;&gt;"Yes",Dashboard!$Q$15="Yes")),P2607,""),"")</f>
        <v/>
      </c>
    </row>
    <row r="2608">
      <c r="A2608" s="47" t="n"/>
      <c r="B2608" s="48" t="n"/>
      <c r="C2608" s="48" t="n"/>
      <c r="D2608" s="48" t="n"/>
      <c r="E2608" s="48" t="n"/>
      <c r="F2608" s="48" t="n"/>
      <c r="G2608" s="48" t="n"/>
      <c r="H2608" s="48" t="n"/>
      <c r="I2608" s="49" t="n"/>
      <c r="J2608" s="50" t="n"/>
      <c r="K2608" s="48" t="n"/>
      <c r="L2608" s="51">
        <f>IF(A2608="","",DATE(YEAR(A2608),MONTH(A2608),1))</f>
        <v/>
      </c>
      <c r="M2608" s="52">
        <f>IF(OR(A2608="",NOT(ISNUMBER(I2608))),"",IF(G2608=Lists!$B$5,I2608/2,IF(G2608=Lists!$B$6,I2608,0)))</f>
        <v/>
      </c>
      <c r="N2608" s="52">
        <f>IF(OR(A2608="",NOT(ISNUMBER(I2608))),"",IF(G2608=Lists!$B$5,I2608/2,IF(G2608=Lists!$B$7,I2608,0)))</f>
        <v/>
      </c>
      <c r="O2608" s="53">
        <f>IF(COUNTA(A2608:K2608)=0,"",IF(OR(A2608="",B2608="",C2608="",D2608="",E2608="",F2608="",G2608="",NOT(ISNUMBER(I2608))),"Incomplete",IF(COUNTIF(Lists!$H$4:$AA$4,C2608)=0,"Check category",IF(COUNTIF(INDEX(Lists!$H$6:$AA$45,0,MATCH(C2608,Lists!$H$4:$AA$4,0)),D2608)=0,"Check sub-category","OK"))))</f>
        <v/>
      </c>
      <c r="P2608">
        <f>IF(ISNUMBER(I2608),I2608+ROW()/10000000,"")</f>
        <v/>
      </c>
      <c r="Q2608">
        <f>IF(AND(ISNUMBER(P2608),ISNUMBER(A2608)),IF(AND(A2608&gt;=Dashboard!$Q$3,A2608&lt;=Dashboard!$Q$4,OR(J2608&lt;&gt;"Yes",Dashboard!$Q$15="Yes")),P2608,""),"")</f>
        <v/>
      </c>
    </row>
    <row r="2609">
      <c r="A2609" s="47" t="n"/>
      <c r="B2609" s="48" t="n"/>
      <c r="C2609" s="48" t="n"/>
      <c r="D2609" s="48" t="n"/>
      <c r="E2609" s="48" t="n"/>
      <c r="F2609" s="48" t="n"/>
      <c r="G2609" s="48" t="n"/>
      <c r="H2609" s="48" t="n"/>
      <c r="I2609" s="49" t="n"/>
      <c r="J2609" s="50" t="n"/>
      <c r="K2609" s="48" t="n"/>
      <c r="L2609" s="51">
        <f>IF(A2609="","",DATE(YEAR(A2609),MONTH(A2609),1))</f>
        <v/>
      </c>
      <c r="M2609" s="52">
        <f>IF(OR(A2609="",NOT(ISNUMBER(I2609))),"",IF(G2609=Lists!$B$5,I2609/2,IF(G2609=Lists!$B$6,I2609,0)))</f>
        <v/>
      </c>
      <c r="N2609" s="52">
        <f>IF(OR(A2609="",NOT(ISNUMBER(I2609))),"",IF(G2609=Lists!$B$5,I2609/2,IF(G2609=Lists!$B$7,I2609,0)))</f>
        <v/>
      </c>
      <c r="O2609" s="53">
        <f>IF(COUNTA(A2609:K2609)=0,"",IF(OR(A2609="",B2609="",C2609="",D2609="",E2609="",F2609="",G2609="",NOT(ISNUMBER(I2609))),"Incomplete",IF(COUNTIF(Lists!$H$4:$AA$4,C2609)=0,"Check category",IF(COUNTIF(INDEX(Lists!$H$6:$AA$45,0,MATCH(C2609,Lists!$H$4:$AA$4,0)),D2609)=0,"Check sub-category","OK"))))</f>
        <v/>
      </c>
      <c r="P2609">
        <f>IF(ISNUMBER(I2609),I2609+ROW()/10000000,"")</f>
        <v/>
      </c>
      <c r="Q2609">
        <f>IF(AND(ISNUMBER(P2609),ISNUMBER(A2609)),IF(AND(A2609&gt;=Dashboard!$Q$3,A2609&lt;=Dashboard!$Q$4,OR(J2609&lt;&gt;"Yes",Dashboard!$Q$15="Yes")),P2609,""),"")</f>
        <v/>
      </c>
    </row>
    <row r="2610">
      <c r="A2610" s="47" t="n"/>
      <c r="B2610" s="48" t="n"/>
      <c r="C2610" s="48" t="n"/>
      <c r="D2610" s="48" t="n"/>
      <c r="E2610" s="48" t="n"/>
      <c r="F2610" s="48" t="n"/>
      <c r="G2610" s="48" t="n"/>
      <c r="H2610" s="48" t="n"/>
      <c r="I2610" s="49" t="n"/>
      <c r="J2610" s="50" t="n"/>
      <c r="K2610" s="48" t="n"/>
      <c r="L2610" s="51">
        <f>IF(A2610="","",DATE(YEAR(A2610),MONTH(A2610),1))</f>
        <v/>
      </c>
      <c r="M2610" s="52">
        <f>IF(OR(A2610="",NOT(ISNUMBER(I2610))),"",IF(G2610=Lists!$B$5,I2610/2,IF(G2610=Lists!$B$6,I2610,0)))</f>
        <v/>
      </c>
      <c r="N2610" s="52">
        <f>IF(OR(A2610="",NOT(ISNUMBER(I2610))),"",IF(G2610=Lists!$B$5,I2610/2,IF(G2610=Lists!$B$7,I2610,0)))</f>
        <v/>
      </c>
      <c r="O2610" s="53">
        <f>IF(COUNTA(A2610:K2610)=0,"",IF(OR(A2610="",B2610="",C2610="",D2610="",E2610="",F2610="",G2610="",NOT(ISNUMBER(I2610))),"Incomplete",IF(COUNTIF(Lists!$H$4:$AA$4,C2610)=0,"Check category",IF(COUNTIF(INDEX(Lists!$H$6:$AA$45,0,MATCH(C2610,Lists!$H$4:$AA$4,0)),D2610)=0,"Check sub-category","OK"))))</f>
        <v/>
      </c>
      <c r="P2610">
        <f>IF(ISNUMBER(I2610),I2610+ROW()/10000000,"")</f>
        <v/>
      </c>
      <c r="Q2610">
        <f>IF(AND(ISNUMBER(P2610),ISNUMBER(A2610)),IF(AND(A2610&gt;=Dashboard!$Q$3,A2610&lt;=Dashboard!$Q$4,OR(J2610&lt;&gt;"Yes",Dashboard!$Q$15="Yes")),P2610,""),"")</f>
        <v/>
      </c>
    </row>
    <row r="2611">
      <c r="A2611" s="47" t="n"/>
      <c r="B2611" s="48" t="n"/>
      <c r="C2611" s="48" t="n"/>
      <c r="D2611" s="48" t="n"/>
      <c r="E2611" s="48" t="n"/>
      <c r="F2611" s="48" t="n"/>
      <c r="G2611" s="48" t="n"/>
      <c r="H2611" s="48" t="n"/>
      <c r="I2611" s="49" t="n"/>
      <c r="J2611" s="50" t="n"/>
      <c r="K2611" s="48" t="n"/>
      <c r="L2611" s="51">
        <f>IF(A2611="","",DATE(YEAR(A2611),MONTH(A2611),1))</f>
        <v/>
      </c>
      <c r="M2611" s="52">
        <f>IF(OR(A2611="",NOT(ISNUMBER(I2611))),"",IF(G2611=Lists!$B$5,I2611/2,IF(G2611=Lists!$B$6,I2611,0)))</f>
        <v/>
      </c>
      <c r="N2611" s="52">
        <f>IF(OR(A2611="",NOT(ISNUMBER(I2611))),"",IF(G2611=Lists!$B$5,I2611/2,IF(G2611=Lists!$B$7,I2611,0)))</f>
        <v/>
      </c>
      <c r="O2611" s="53">
        <f>IF(COUNTA(A2611:K2611)=0,"",IF(OR(A2611="",B2611="",C2611="",D2611="",E2611="",F2611="",G2611="",NOT(ISNUMBER(I2611))),"Incomplete",IF(COUNTIF(Lists!$H$4:$AA$4,C2611)=0,"Check category",IF(COUNTIF(INDEX(Lists!$H$6:$AA$45,0,MATCH(C2611,Lists!$H$4:$AA$4,0)),D2611)=0,"Check sub-category","OK"))))</f>
        <v/>
      </c>
      <c r="P2611">
        <f>IF(ISNUMBER(I2611),I2611+ROW()/10000000,"")</f>
        <v/>
      </c>
      <c r="Q2611">
        <f>IF(AND(ISNUMBER(P2611),ISNUMBER(A2611)),IF(AND(A2611&gt;=Dashboard!$Q$3,A2611&lt;=Dashboard!$Q$4,OR(J2611&lt;&gt;"Yes",Dashboard!$Q$15="Yes")),P2611,""),"")</f>
        <v/>
      </c>
    </row>
    <row r="2612">
      <c r="A2612" s="47" t="n"/>
      <c r="B2612" s="48" t="n"/>
      <c r="C2612" s="48" t="n"/>
      <c r="D2612" s="48" t="n"/>
      <c r="E2612" s="48" t="n"/>
      <c r="F2612" s="48" t="n"/>
      <c r="G2612" s="48" t="n"/>
      <c r="H2612" s="48" t="n"/>
      <c r="I2612" s="49" t="n"/>
      <c r="J2612" s="50" t="n"/>
      <c r="K2612" s="48" t="n"/>
      <c r="L2612" s="51">
        <f>IF(A2612="","",DATE(YEAR(A2612),MONTH(A2612),1))</f>
        <v/>
      </c>
      <c r="M2612" s="52">
        <f>IF(OR(A2612="",NOT(ISNUMBER(I2612))),"",IF(G2612=Lists!$B$5,I2612/2,IF(G2612=Lists!$B$6,I2612,0)))</f>
        <v/>
      </c>
      <c r="N2612" s="52">
        <f>IF(OR(A2612="",NOT(ISNUMBER(I2612))),"",IF(G2612=Lists!$B$5,I2612/2,IF(G2612=Lists!$B$7,I2612,0)))</f>
        <v/>
      </c>
      <c r="O2612" s="53">
        <f>IF(COUNTA(A2612:K2612)=0,"",IF(OR(A2612="",B2612="",C2612="",D2612="",E2612="",F2612="",G2612="",NOT(ISNUMBER(I2612))),"Incomplete",IF(COUNTIF(Lists!$H$4:$AA$4,C2612)=0,"Check category",IF(COUNTIF(INDEX(Lists!$H$6:$AA$45,0,MATCH(C2612,Lists!$H$4:$AA$4,0)),D2612)=0,"Check sub-category","OK"))))</f>
        <v/>
      </c>
      <c r="P2612">
        <f>IF(ISNUMBER(I2612),I2612+ROW()/10000000,"")</f>
        <v/>
      </c>
      <c r="Q2612">
        <f>IF(AND(ISNUMBER(P2612),ISNUMBER(A2612)),IF(AND(A2612&gt;=Dashboard!$Q$3,A2612&lt;=Dashboard!$Q$4,OR(J2612&lt;&gt;"Yes",Dashboard!$Q$15="Yes")),P2612,""),"")</f>
        <v/>
      </c>
    </row>
    <row r="2613">
      <c r="A2613" s="47" t="n"/>
      <c r="B2613" s="48" t="n"/>
      <c r="C2613" s="48" t="n"/>
      <c r="D2613" s="48" t="n"/>
      <c r="E2613" s="48" t="n"/>
      <c r="F2613" s="48" t="n"/>
      <c r="G2613" s="48" t="n"/>
      <c r="H2613" s="48" t="n"/>
      <c r="I2613" s="49" t="n"/>
      <c r="J2613" s="50" t="n"/>
      <c r="K2613" s="48" t="n"/>
      <c r="L2613" s="51">
        <f>IF(A2613="","",DATE(YEAR(A2613),MONTH(A2613),1))</f>
        <v/>
      </c>
      <c r="M2613" s="52">
        <f>IF(OR(A2613="",NOT(ISNUMBER(I2613))),"",IF(G2613=Lists!$B$5,I2613/2,IF(G2613=Lists!$B$6,I2613,0)))</f>
        <v/>
      </c>
      <c r="N2613" s="52">
        <f>IF(OR(A2613="",NOT(ISNUMBER(I2613))),"",IF(G2613=Lists!$B$5,I2613/2,IF(G2613=Lists!$B$7,I2613,0)))</f>
        <v/>
      </c>
      <c r="O2613" s="53">
        <f>IF(COUNTA(A2613:K2613)=0,"",IF(OR(A2613="",B2613="",C2613="",D2613="",E2613="",F2613="",G2613="",NOT(ISNUMBER(I2613))),"Incomplete",IF(COUNTIF(Lists!$H$4:$AA$4,C2613)=0,"Check category",IF(COUNTIF(INDEX(Lists!$H$6:$AA$45,0,MATCH(C2613,Lists!$H$4:$AA$4,0)),D2613)=0,"Check sub-category","OK"))))</f>
        <v/>
      </c>
      <c r="P2613">
        <f>IF(ISNUMBER(I2613),I2613+ROW()/10000000,"")</f>
        <v/>
      </c>
      <c r="Q2613">
        <f>IF(AND(ISNUMBER(P2613),ISNUMBER(A2613)),IF(AND(A2613&gt;=Dashboard!$Q$3,A2613&lt;=Dashboard!$Q$4,OR(J2613&lt;&gt;"Yes",Dashboard!$Q$15="Yes")),P2613,""),"")</f>
        <v/>
      </c>
    </row>
    <row r="2614">
      <c r="A2614" s="47" t="n"/>
      <c r="B2614" s="48" t="n"/>
      <c r="C2614" s="48" t="n"/>
      <c r="D2614" s="48" t="n"/>
      <c r="E2614" s="48" t="n"/>
      <c r="F2614" s="48" t="n"/>
      <c r="G2614" s="48" t="n"/>
      <c r="H2614" s="48" t="n"/>
      <c r="I2614" s="49" t="n"/>
      <c r="J2614" s="50" t="n"/>
      <c r="K2614" s="48" t="n"/>
      <c r="L2614" s="51">
        <f>IF(A2614="","",DATE(YEAR(A2614),MONTH(A2614),1))</f>
        <v/>
      </c>
      <c r="M2614" s="52">
        <f>IF(OR(A2614="",NOT(ISNUMBER(I2614))),"",IF(G2614=Lists!$B$5,I2614/2,IF(G2614=Lists!$B$6,I2614,0)))</f>
        <v/>
      </c>
      <c r="N2614" s="52">
        <f>IF(OR(A2614="",NOT(ISNUMBER(I2614))),"",IF(G2614=Lists!$B$5,I2614/2,IF(G2614=Lists!$B$7,I2614,0)))</f>
        <v/>
      </c>
      <c r="O2614" s="53">
        <f>IF(COUNTA(A2614:K2614)=0,"",IF(OR(A2614="",B2614="",C2614="",D2614="",E2614="",F2614="",G2614="",NOT(ISNUMBER(I2614))),"Incomplete",IF(COUNTIF(Lists!$H$4:$AA$4,C2614)=0,"Check category",IF(COUNTIF(INDEX(Lists!$H$6:$AA$45,0,MATCH(C2614,Lists!$H$4:$AA$4,0)),D2614)=0,"Check sub-category","OK"))))</f>
        <v/>
      </c>
      <c r="P2614">
        <f>IF(ISNUMBER(I2614),I2614+ROW()/10000000,"")</f>
        <v/>
      </c>
      <c r="Q2614">
        <f>IF(AND(ISNUMBER(P2614),ISNUMBER(A2614)),IF(AND(A2614&gt;=Dashboard!$Q$3,A2614&lt;=Dashboard!$Q$4,OR(J2614&lt;&gt;"Yes",Dashboard!$Q$15="Yes")),P2614,""),"")</f>
        <v/>
      </c>
    </row>
    <row r="2615">
      <c r="A2615" s="47" t="n"/>
      <c r="B2615" s="48" t="n"/>
      <c r="C2615" s="48" t="n"/>
      <c r="D2615" s="48" t="n"/>
      <c r="E2615" s="48" t="n"/>
      <c r="F2615" s="48" t="n"/>
      <c r="G2615" s="48" t="n"/>
      <c r="H2615" s="48" t="n"/>
      <c r="I2615" s="49" t="n"/>
      <c r="J2615" s="50" t="n"/>
      <c r="K2615" s="48" t="n"/>
      <c r="L2615" s="51">
        <f>IF(A2615="","",DATE(YEAR(A2615),MONTH(A2615),1))</f>
        <v/>
      </c>
      <c r="M2615" s="52">
        <f>IF(OR(A2615="",NOT(ISNUMBER(I2615))),"",IF(G2615=Lists!$B$5,I2615/2,IF(G2615=Lists!$B$6,I2615,0)))</f>
        <v/>
      </c>
      <c r="N2615" s="52">
        <f>IF(OR(A2615="",NOT(ISNUMBER(I2615))),"",IF(G2615=Lists!$B$5,I2615/2,IF(G2615=Lists!$B$7,I2615,0)))</f>
        <v/>
      </c>
      <c r="O2615" s="53">
        <f>IF(COUNTA(A2615:K2615)=0,"",IF(OR(A2615="",B2615="",C2615="",D2615="",E2615="",F2615="",G2615="",NOT(ISNUMBER(I2615))),"Incomplete",IF(COUNTIF(Lists!$H$4:$AA$4,C2615)=0,"Check category",IF(COUNTIF(INDEX(Lists!$H$6:$AA$45,0,MATCH(C2615,Lists!$H$4:$AA$4,0)),D2615)=0,"Check sub-category","OK"))))</f>
        <v/>
      </c>
      <c r="P2615">
        <f>IF(ISNUMBER(I2615),I2615+ROW()/10000000,"")</f>
        <v/>
      </c>
      <c r="Q2615">
        <f>IF(AND(ISNUMBER(P2615),ISNUMBER(A2615)),IF(AND(A2615&gt;=Dashboard!$Q$3,A2615&lt;=Dashboard!$Q$4,OR(J2615&lt;&gt;"Yes",Dashboard!$Q$15="Yes")),P2615,""),"")</f>
        <v/>
      </c>
    </row>
    <row r="2616">
      <c r="A2616" s="47" t="n"/>
      <c r="B2616" s="48" t="n"/>
      <c r="C2616" s="48" t="n"/>
      <c r="D2616" s="48" t="n"/>
      <c r="E2616" s="48" t="n"/>
      <c r="F2616" s="48" t="n"/>
      <c r="G2616" s="48" t="n"/>
      <c r="H2616" s="48" t="n"/>
      <c r="I2616" s="49" t="n"/>
      <c r="J2616" s="50" t="n"/>
      <c r="K2616" s="48" t="n"/>
      <c r="L2616" s="51">
        <f>IF(A2616="","",DATE(YEAR(A2616),MONTH(A2616),1))</f>
        <v/>
      </c>
      <c r="M2616" s="52">
        <f>IF(OR(A2616="",NOT(ISNUMBER(I2616))),"",IF(G2616=Lists!$B$5,I2616/2,IF(G2616=Lists!$B$6,I2616,0)))</f>
        <v/>
      </c>
      <c r="N2616" s="52">
        <f>IF(OR(A2616="",NOT(ISNUMBER(I2616))),"",IF(G2616=Lists!$B$5,I2616/2,IF(G2616=Lists!$B$7,I2616,0)))</f>
        <v/>
      </c>
      <c r="O2616" s="53">
        <f>IF(COUNTA(A2616:K2616)=0,"",IF(OR(A2616="",B2616="",C2616="",D2616="",E2616="",F2616="",G2616="",NOT(ISNUMBER(I2616))),"Incomplete",IF(COUNTIF(Lists!$H$4:$AA$4,C2616)=0,"Check category",IF(COUNTIF(INDEX(Lists!$H$6:$AA$45,0,MATCH(C2616,Lists!$H$4:$AA$4,0)),D2616)=0,"Check sub-category","OK"))))</f>
        <v/>
      </c>
      <c r="P2616">
        <f>IF(ISNUMBER(I2616),I2616+ROW()/10000000,"")</f>
        <v/>
      </c>
      <c r="Q2616">
        <f>IF(AND(ISNUMBER(P2616),ISNUMBER(A2616)),IF(AND(A2616&gt;=Dashboard!$Q$3,A2616&lt;=Dashboard!$Q$4,OR(J2616&lt;&gt;"Yes",Dashboard!$Q$15="Yes")),P2616,""),"")</f>
        <v/>
      </c>
    </row>
    <row r="2617">
      <c r="A2617" s="47" t="n"/>
      <c r="B2617" s="48" t="n"/>
      <c r="C2617" s="48" t="n"/>
      <c r="D2617" s="48" t="n"/>
      <c r="E2617" s="48" t="n"/>
      <c r="F2617" s="48" t="n"/>
      <c r="G2617" s="48" t="n"/>
      <c r="H2617" s="48" t="n"/>
      <c r="I2617" s="49" t="n"/>
      <c r="J2617" s="50" t="n"/>
      <c r="K2617" s="48" t="n"/>
      <c r="L2617" s="51">
        <f>IF(A2617="","",DATE(YEAR(A2617),MONTH(A2617),1))</f>
        <v/>
      </c>
      <c r="M2617" s="52">
        <f>IF(OR(A2617="",NOT(ISNUMBER(I2617))),"",IF(G2617=Lists!$B$5,I2617/2,IF(G2617=Lists!$B$6,I2617,0)))</f>
        <v/>
      </c>
      <c r="N2617" s="52">
        <f>IF(OR(A2617="",NOT(ISNUMBER(I2617))),"",IF(G2617=Lists!$B$5,I2617/2,IF(G2617=Lists!$B$7,I2617,0)))</f>
        <v/>
      </c>
      <c r="O2617" s="53">
        <f>IF(COUNTA(A2617:K2617)=0,"",IF(OR(A2617="",B2617="",C2617="",D2617="",E2617="",F2617="",G2617="",NOT(ISNUMBER(I2617))),"Incomplete",IF(COUNTIF(Lists!$H$4:$AA$4,C2617)=0,"Check category",IF(COUNTIF(INDEX(Lists!$H$6:$AA$45,0,MATCH(C2617,Lists!$H$4:$AA$4,0)),D2617)=0,"Check sub-category","OK"))))</f>
        <v/>
      </c>
      <c r="P2617">
        <f>IF(ISNUMBER(I2617),I2617+ROW()/10000000,"")</f>
        <v/>
      </c>
      <c r="Q2617">
        <f>IF(AND(ISNUMBER(P2617),ISNUMBER(A2617)),IF(AND(A2617&gt;=Dashboard!$Q$3,A2617&lt;=Dashboard!$Q$4,OR(J2617&lt;&gt;"Yes",Dashboard!$Q$15="Yes")),P2617,""),"")</f>
        <v/>
      </c>
    </row>
    <row r="2618">
      <c r="A2618" s="47" t="n"/>
      <c r="B2618" s="48" t="n"/>
      <c r="C2618" s="48" t="n"/>
      <c r="D2618" s="48" t="n"/>
      <c r="E2618" s="48" t="n"/>
      <c r="F2618" s="48" t="n"/>
      <c r="G2618" s="48" t="n"/>
      <c r="H2618" s="48" t="n"/>
      <c r="I2618" s="49" t="n"/>
      <c r="J2618" s="50" t="n"/>
      <c r="K2618" s="48" t="n"/>
      <c r="L2618" s="51">
        <f>IF(A2618="","",DATE(YEAR(A2618),MONTH(A2618),1))</f>
        <v/>
      </c>
      <c r="M2618" s="52">
        <f>IF(OR(A2618="",NOT(ISNUMBER(I2618))),"",IF(G2618=Lists!$B$5,I2618/2,IF(G2618=Lists!$B$6,I2618,0)))</f>
        <v/>
      </c>
      <c r="N2618" s="52">
        <f>IF(OR(A2618="",NOT(ISNUMBER(I2618))),"",IF(G2618=Lists!$B$5,I2618/2,IF(G2618=Lists!$B$7,I2618,0)))</f>
        <v/>
      </c>
      <c r="O2618" s="53">
        <f>IF(COUNTA(A2618:K2618)=0,"",IF(OR(A2618="",B2618="",C2618="",D2618="",E2618="",F2618="",G2618="",NOT(ISNUMBER(I2618))),"Incomplete",IF(COUNTIF(Lists!$H$4:$AA$4,C2618)=0,"Check category",IF(COUNTIF(INDEX(Lists!$H$6:$AA$45,0,MATCH(C2618,Lists!$H$4:$AA$4,0)),D2618)=0,"Check sub-category","OK"))))</f>
        <v/>
      </c>
      <c r="P2618">
        <f>IF(ISNUMBER(I2618),I2618+ROW()/10000000,"")</f>
        <v/>
      </c>
      <c r="Q2618">
        <f>IF(AND(ISNUMBER(P2618),ISNUMBER(A2618)),IF(AND(A2618&gt;=Dashboard!$Q$3,A2618&lt;=Dashboard!$Q$4,OR(J2618&lt;&gt;"Yes",Dashboard!$Q$15="Yes")),P2618,""),"")</f>
        <v/>
      </c>
    </row>
    <row r="2619">
      <c r="A2619" s="47" t="n"/>
      <c r="B2619" s="48" t="n"/>
      <c r="C2619" s="48" t="n"/>
      <c r="D2619" s="48" t="n"/>
      <c r="E2619" s="48" t="n"/>
      <c r="F2619" s="48" t="n"/>
      <c r="G2619" s="48" t="n"/>
      <c r="H2619" s="48" t="n"/>
      <c r="I2619" s="49" t="n"/>
      <c r="J2619" s="50" t="n"/>
      <c r="K2619" s="48" t="n"/>
      <c r="L2619" s="51">
        <f>IF(A2619="","",DATE(YEAR(A2619),MONTH(A2619),1))</f>
        <v/>
      </c>
      <c r="M2619" s="52">
        <f>IF(OR(A2619="",NOT(ISNUMBER(I2619))),"",IF(G2619=Lists!$B$5,I2619/2,IF(G2619=Lists!$B$6,I2619,0)))</f>
        <v/>
      </c>
      <c r="N2619" s="52">
        <f>IF(OR(A2619="",NOT(ISNUMBER(I2619))),"",IF(G2619=Lists!$B$5,I2619/2,IF(G2619=Lists!$B$7,I2619,0)))</f>
        <v/>
      </c>
      <c r="O2619" s="53">
        <f>IF(COUNTA(A2619:K2619)=0,"",IF(OR(A2619="",B2619="",C2619="",D2619="",E2619="",F2619="",G2619="",NOT(ISNUMBER(I2619))),"Incomplete",IF(COUNTIF(Lists!$H$4:$AA$4,C2619)=0,"Check category",IF(COUNTIF(INDEX(Lists!$H$6:$AA$45,0,MATCH(C2619,Lists!$H$4:$AA$4,0)),D2619)=0,"Check sub-category","OK"))))</f>
        <v/>
      </c>
      <c r="P2619">
        <f>IF(ISNUMBER(I2619),I2619+ROW()/10000000,"")</f>
        <v/>
      </c>
      <c r="Q2619">
        <f>IF(AND(ISNUMBER(P2619),ISNUMBER(A2619)),IF(AND(A2619&gt;=Dashboard!$Q$3,A2619&lt;=Dashboard!$Q$4,OR(J2619&lt;&gt;"Yes",Dashboard!$Q$15="Yes")),P2619,""),"")</f>
        <v/>
      </c>
    </row>
    <row r="2620">
      <c r="A2620" s="47" t="n"/>
      <c r="B2620" s="48" t="n"/>
      <c r="C2620" s="48" t="n"/>
      <c r="D2620" s="48" t="n"/>
      <c r="E2620" s="48" t="n"/>
      <c r="F2620" s="48" t="n"/>
      <c r="G2620" s="48" t="n"/>
      <c r="H2620" s="48" t="n"/>
      <c r="I2620" s="49" t="n"/>
      <c r="J2620" s="50" t="n"/>
      <c r="K2620" s="48" t="n"/>
      <c r="L2620" s="51">
        <f>IF(A2620="","",DATE(YEAR(A2620),MONTH(A2620),1))</f>
        <v/>
      </c>
      <c r="M2620" s="52">
        <f>IF(OR(A2620="",NOT(ISNUMBER(I2620))),"",IF(G2620=Lists!$B$5,I2620/2,IF(G2620=Lists!$B$6,I2620,0)))</f>
        <v/>
      </c>
      <c r="N2620" s="52">
        <f>IF(OR(A2620="",NOT(ISNUMBER(I2620))),"",IF(G2620=Lists!$B$5,I2620/2,IF(G2620=Lists!$B$7,I2620,0)))</f>
        <v/>
      </c>
      <c r="O2620" s="53">
        <f>IF(COUNTA(A2620:K2620)=0,"",IF(OR(A2620="",B2620="",C2620="",D2620="",E2620="",F2620="",G2620="",NOT(ISNUMBER(I2620))),"Incomplete",IF(COUNTIF(Lists!$H$4:$AA$4,C2620)=0,"Check category",IF(COUNTIF(INDEX(Lists!$H$6:$AA$45,0,MATCH(C2620,Lists!$H$4:$AA$4,0)),D2620)=0,"Check sub-category","OK"))))</f>
        <v/>
      </c>
      <c r="P2620">
        <f>IF(ISNUMBER(I2620),I2620+ROW()/10000000,"")</f>
        <v/>
      </c>
      <c r="Q2620">
        <f>IF(AND(ISNUMBER(P2620),ISNUMBER(A2620)),IF(AND(A2620&gt;=Dashboard!$Q$3,A2620&lt;=Dashboard!$Q$4,OR(J2620&lt;&gt;"Yes",Dashboard!$Q$15="Yes")),P2620,""),"")</f>
        <v/>
      </c>
    </row>
    <row r="2621">
      <c r="A2621" s="47" t="n"/>
      <c r="B2621" s="48" t="n"/>
      <c r="C2621" s="48" t="n"/>
      <c r="D2621" s="48" t="n"/>
      <c r="E2621" s="48" t="n"/>
      <c r="F2621" s="48" t="n"/>
      <c r="G2621" s="48" t="n"/>
      <c r="H2621" s="48" t="n"/>
      <c r="I2621" s="49" t="n"/>
      <c r="J2621" s="50" t="n"/>
      <c r="K2621" s="48" t="n"/>
      <c r="L2621" s="51">
        <f>IF(A2621="","",DATE(YEAR(A2621),MONTH(A2621),1))</f>
        <v/>
      </c>
      <c r="M2621" s="52">
        <f>IF(OR(A2621="",NOT(ISNUMBER(I2621))),"",IF(G2621=Lists!$B$5,I2621/2,IF(G2621=Lists!$B$6,I2621,0)))</f>
        <v/>
      </c>
      <c r="N2621" s="52">
        <f>IF(OR(A2621="",NOT(ISNUMBER(I2621))),"",IF(G2621=Lists!$B$5,I2621/2,IF(G2621=Lists!$B$7,I2621,0)))</f>
        <v/>
      </c>
      <c r="O2621" s="53">
        <f>IF(COUNTA(A2621:K2621)=0,"",IF(OR(A2621="",B2621="",C2621="",D2621="",E2621="",F2621="",G2621="",NOT(ISNUMBER(I2621))),"Incomplete",IF(COUNTIF(Lists!$H$4:$AA$4,C2621)=0,"Check category",IF(COUNTIF(INDEX(Lists!$H$6:$AA$45,0,MATCH(C2621,Lists!$H$4:$AA$4,0)),D2621)=0,"Check sub-category","OK"))))</f>
        <v/>
      </c>
      <c r="P2621">
        <f>IF(ISNUMBER(I2621),I2621+ROW()/10000000,"")</f>
        <v/>
      </c>
      <c r="Q2621">
        <f>IF(AND(ISNUMBER(P2621),ISNUMBER(A2621)),IF(AND(A2621&gt;=Dashboard!$Q$3,A2621&lt;=Dashboard!$Q$4,OR(J2621&lt;&gt;"Yes",Dashboard!$Q$15="Yes")),P2621,""),"")</f>
        <v/>
      </c>
    </row>
    <row r="2622">
      <c r="A2622" s="47" t="n"/>
      <c r="B2622" s="48" t="n"/>
      <c r="C2622" s="48" t="n"/>
      <c r="D2622" s="48" t="n"/>
      <c r="E2622" s="48" t="n"/>
      <c r="F2622" s="48" t="n"/>
      <c r="G2622" s="48" t="n"/>
      <c r="H2622" s="48" t="n"/>
      <c r="I2622" s="49" t="n"/>
      <c r="J2622" s="50" t="n"/>
      <c r="K2622" s="48" t="n"/>
      <c r="L2622" s="51">
        <f>IF(A2622="","",DATE(YEAR(A2622),MONTH(A2622),1))</f>
        <v/>
      </c>
      <c r="M2622" s="52">
        <f>IF(OR(A2622="",NOT(ISNUMBER(I2622))),"",IF(G2622=Lists!$B$5,I2622/2,IF(G2622=Lists!$B$6,I2622,0)))</f>
        <v/>
      </c>
      <c r="N2622" s="52">
        <f>IF(OR(A2622="",NOT(ISNUMBER(I2622))),"",IF(G2622=Lists!$B$5,I2622/2,IF(G2622=Lists!$B$7,I2622,0)))</f>
        <v/>
      </c>
      <c r="O2622" s="53">
        <f>IF(COUNTA(A2622:K2622)=0,"",IF(OR(A2622="",B2622="",C2622="",D2622="",E2622="",F2622="",G2622="",NOT(ISNUMBER(I2622))),"Incomplete",IF(COUNTIF(Lists!$H$4:$AA$4,C2622)=0,"Check category",IF(COUNTIF(INDEX(Lists!$H$6:$AA$45,0,MATCH(C2622,Lists!$H$4:$AA$4,0)),D2622)=0,"Check sub-category","OK"))))</f>
        <v/>
      </c>
      <c r="P2622">
        <f>IF(ISNUMBER(I2622),I2622+ROW()/10000000,"")</f>
        <v/>
      </c>
      <c r="Q2622">
        <f>IF(AND(ISNUMBER(P2622),ISNUMBER(A2622)),IF(AND(A2622&gt;=Dashboard!$Q$3,A2622&lt;=Dashboard!$Q$4,OR(J2622&lt;&gt;"Yes",Dashboard!$Q$15="Yes")),P2622,""),"")</f>
        <v/>
      </c>
    </row>
    <row r="2623">
      <c r="A2623" s="47" t="n"/>
      <c r="B2623" s="48" t="n"/>
      <c r="C2623" s="48" t="n"/>
      <c r="D2623" s="48" t="n"/>
      <c r="E2623" s="48" t="n"/>
      <c r="F2623" s="48" t="n"/>
      <c r="G2623" s="48" t="n"/>
      <c r="H2623" s="48" t="n"/>
      <c r="I2623" s="49" t="n"/>
      <c r="J2623" s="50" t="n"/>
      <c r="K2623" s="48" t="n"/>
      <c r="L2623" s="51">
        <f>IF(A2623="","",DATE(YEAR(A2623),MONTH(A2623),1))</f>
        <v/>
      </c>
      <c r="M2623" s="52">
        <f>IF(OR(A2623="",NOT(ISNUMBER(I2623))),"",IF(G2623=Lists!$B$5,I2623/2,IF(G2623=Lists!$B$6,I2623,0)))</f>
        <v/>
      </c>
      <c r="N2623" s="52">
        <f>IF(OR(A2623="",NOT(ISNUMBER(I2623))),"",IF(G2623=Lists!$B$5,I2623/2,IF(G2623=Lists!$B$7,I2623,0)))</f>
        <v/>
      </c>
      <c r="O2623" s="53">
        <f>IF(COUNTA(A2623:K2623)=0,"",IF(OR(A2623="",B2623="",C2623="",D2623="",E2623="",F2623="",G2623="",NOT(ISNUMBER(I2623))),"Incomplete",IF(COUNTIF(Lists!$H$4:$AA$4,C2623)=0,"Check category",IF(COUNTIF(INDEX(Lists!$H$6:$AA$45,0,MATCH(C2623,Lists!$H$4:$AA$4,0)),D2623)=0,"Check sub-category","OK"))))</f>
        <v/>
      </c>
      <c r="P2623">
        <f>IF(ISNUMBER(I2623),I2623+ROW()/10000000,"")</f>
        <v/>
      </c>
      <c r="Q2623">
        <f>IF(AND(ISNUMBER(P2623),ISNUMBER(A2623)),IF(AND(A2623&gt;=Dashboard!$Q$3,A2623&lt;=Dashboard!$Q$4,OR(J2623&lt;&gt;"Yes",Dashboard!$Q$15="Yes")),P2623,""),"")</f>
        <v/>
      </c>
    </row>
    <row r="2624">
      <c r="A2624" s="47" t="n"/>
      <c r="B2624" s="48" t="n"/>
      <c r="C2624" s="48" t="n"/>
      <c r="D2624" s="48" t="n"/>
      <c r="E2624" s="48" t="n"/>
      <c r="F2624" s="48" t="n"/>
      <c r="G2624" s="48" t="n"/>
      <c r="H2624" s="48" t="n"/>
      <c r="I2624" s="49" t="n"/>
      <c r="J2624" s="50" t="n"/>
      <c r="K2624" s="48" t="n"/>
      <c r="L2624" s="51">
        <f>IF(A2624="","",DATE(YEAR(A2624),MONTH(A2624),1))</f>
        <v/>
      </c>
      <c r="M2624" s="52">
        <f>IF(OR(A2624="",NOT(ISNUMBER(I2624))),"",IF(G2624=Lists!$B$5,I2624/2,IF(G2624=Lists!$B$6,I2624,0)))</f>
        <v/>
      </c>
      <c r="N2624" s="52">
        <f>IF(OR(A2624="",NOT(ISNUMBER(I2624))),"",IF(G2624=Lists!$B$5,I2624/2,IF(G2624=Lists!$B$7,I2624,0)))</f>
        <v/>
      </c>
      <c r="O2624" s="53">
        <f>IF(COUNTA(A2624:K2624)=0,"",IF(OR(A2624="",B2624="",C2624="",D2624="",E2624="",F2624="",G2624="",NOT(ISNUMBER(I2624))),"Incomplete",IF(COUNTIF(Lists!$H$4:$AA$4,C2624)=0,"Check category",IF(COUNTIF(INDEX(Lists!$H$6:$AA$45,0,MATCH(C2624,Lists!$H$4:$AA$4,0)),D2624)=0,"Check sub-category","OK"))))</f>
        <v/>
      </c>
      <c r="P2624">
        <f>IF(ISNUMBER(I2624),I2624+ROW()/10000000,"")</f>
        <v/>
      </c>
      <c r="Q2624">
        <f>IF(AND(ISNUMBER(P2624),ISNUMBER(A2624)),IF(AND(A2624&gt;=Dashboard!$Q$3,A2624&lt;=Dashboard!$Q$4,OR(J2624&lt;&gt;"Yes",Dashboard!$Q$15="Yes")),P2624,""),"")</f>
        <v/>
      </c>
    </row>
    <row r="2625">
      <c r="A2625" s="47" t="n"/>
      <c r="B2625" s="48" t="n"/>
      <c r="C2625" s="48" t="n"/>
      <c r="D2625" s="48" t="n"/>
      <c r="E2625" s="48" t="n"/>
      <c r="F2625" s="48" t="n"/>
      <c r="G2625" s="48" t="n"/>
      <c r="H2625" s="48" t="n"/>
      <c r="I2625" s="49" t="n"/>
      <c r="J2625" s="50" t="n"/>
      <c r="K2625" s="48" t="n"/>
      <c r="L2625" s="51">
        <f>IF(A2625="","",DATE(YEAR(A2625),MONTH(A2625),1))</f>
        <v/>
      </c>
      <c r="M2625" s="52">
        <f>IF(OR(A2625="",NOT(ISNUMBER(I2625))),"",IF(G2625=Lists!$B$5,I2625/2,IF(G2625=Lists!$B$6,I2625,0)))</f>
        <v/>
      </c>
      <c r="N2625" s="52">
        <f>IF(OR(A2625="",NOT(ISNUMBER(I2625))),"",IF(G2625=Lists!$B$5,I2625/2,IF(G2625=Lists!$B$7,I2625,0)))</f>
        <v/>
      </c>
      <c r="O2625" s="53">
        <f>IF(COUNTA(A2625:K2625)=0,"",IF(OR(A2625="",B2625="",C2625="",D2625="",E2625="",F2625="",G2625="",NOT(ISNUMBER(I2625))),"Incomplete",IF(COUNTIF(Lists!$H$4:$AA$4,C2625)=0,"Check category",IF(COUNTIF(INDEX(Lists!$H$6:$AA$45,0,MATCH(C2625,Lists!$H$4:$AA$4,0)),D2625)=0,"Check sub-category","OK"))))</f>
        <v/>
      </c>
      <c r="P2625">
        <f>IF(ISNUMBER(I2625),I2625+ROW()/10000000,"")</f>
        <v/>
      </c>
      <c r="Q2625">
        <f>IF(AND(ISNUMBER(P2625),ISNUMBER(A2625)),IF(AND(A2625&gt;=Dashboard!$Q$3,A2625&lt;=Dashboard!$Q$4,OR(J2625&lt;&gt;"Yes",Dashboard!$Q$15="Yes")),P2625,""),"")</f>
        <v/>
      </c>
    </row>
    <row r="2626">
      <c r="A2626" s="47" t="n"/>
      <c r="B2626" s="48" t="n"/>
      <c r="C2626" s="48" t="n"/>
      <c r="D2626" s="48" t="n"/>
      <c r="E2626" s="48" t="n"/>
      <c r="F2626" s="48" t="n"/>
      <c r="G2626" s="48" t="n"/>
      <c r="H2626" s="48" t="n"/>
      <c r="I2626" s="49" t="n"/>
      <c r="J2626" s="50" t="n"/>
      <c r="K2626" s="48" t="n"/>
      <c r="L2626" s="51">
        <f>IF(A2626="","",DATE(YEAR(A2626),MONTH(A2626),1))</f>
        <v/>
      </c>
      <c r="M2626" s="52">
        <f>IF(OR(A2626="",NOT(ISNUMBER(I2626))),"",IF(G2626=Lists!$B$5,I2626/2,IF(G2626=Lists!$B$6,I2626,0)))</f>
        <v/>
      </c>
      <c r="N2626" s="52">
        <f>IF(OR(A2626="",NOT(ISNUMBER(I2626))),"",IF(G2626=Lists!$B$5,I2626/2,IF(G2626=Lists!$B$7,I2626,0)))</f>
        <v/>
      </c>
      <c r="O2626" s="53">
        <f>IF(COUNTA(A2626:K2626)=0,"",IF(OR(A2626="",B2626="",C2626="",D2626="",E2626="",F2626="",G2626="",NOT(ISNUMBER(I2626))),"Incomplete",IF(COUNTIF(Lists!$H$4:$AA$4,C2626)=0,"Check category",IF(COUNTIF(INDEX(Lists!$H$6:$AA$45,0,MATCH(C2626,Lists!$H$4:$AA$4,0)),D2626)=0,"Check sub-category","OK"))))</f>
        <v/>
      </c>
      <c r="P2626">
        <f>IF(ISNUMBER(I2626),I2626+ROW()/10000000,"")</f>
        <v/>
      </c>
      <c r="Q2626">
        <f>IF(AND(ISNUMBER(P2626),ISNUMBER(A2626)),IF(AND(A2626&gt;=Dashboard!$Q$3,A2626&lt;=Dashboard!$Q$4,OR(J2626&lt;&gt;"Yes",Dashboard!$Q$15="Yes")),P2626,""),"")</f>
        <v/>
      </c>
    </row>
    <row r="2627">
      <c r="A2627" s="47" t="n"/>
      <c r="B2627" s="48" t="n"/>
      <c r="C2627" s="48" t="n"/>
      <c r="D2627" s="48" t="n"/>
      <c r="E2627" s="48" t="n"/>
      <c r="F2627" s="48" t="n"/>
      <c r="G2627" s="48" t="n"/>
      <c r="H2627" s="48" t="n"/>
      <c r="I2627" s="49" t="n"/>
      <c r="J2627" s="50" t="n"/>
      <c r="K2627" s="48" t="n"/>
      <c r="L2627" s="51">
        <f>IF(A2627="","",DATE(YEAR(A2627),MONTH(A2627),1))</f>
        <v/>
      </c>
      <c r="M2627" s="52">
        <f>IF(OR(A2627="",NOT(ISNUMBER(I2627))),"",IF(G2627=Lists!$B$5,I2627/2,IF(G2627=Lists!$B$6,I2627,0)))</f>
        <v/>
      </c>
      <c r="N2627" s="52">
        <f>IF(OR(A2627="",NOT(ISNUMBER(I2627))),"",IF(G2627=Lists!$B$5,I2627/2,IF(G2627=Lists!$B$7,I2627,0)))</f>
        <v/>
      </c>
      <c r="O2627" s="53">
        <f>IF(COUNTA(A2627:K2627)=0,"",IF(OR(A2627="",B2627="",C2627="",D2627="",E2627="",F2627="",G2627="",NOT(ISNUMBER(I2627))),"Incomplete",IF(COUNTIF(Lists!$H$4:$AA$4,C2627)=0,"Check category",IF(COUNTIF(INDEX(Lists!$H$6:$AA$45,0,MATCH(C2627,Lists!$H$4:$AA$4,0)),D2627)=0,"Check sub-category","OK"))))</f>
        <v/>
      </c>
      <c r="P2627">
        <f>IF(ISNUMBER(I2627),I2627+ROW()/10000000,"")</f>
        <v/>
      </c>
      <c r="Q2627">
        <f>IF(AND(ISNUMBER(P2627),ISNUMBER(A2627)),IF(AND(A2627&gt;=Dashboard!$Q$3,A2627&lt;=Dashboard!$Q$4,OR(J2627&lt;&gt;"Yes",Dashboard!$Q$15="Yes")),P2627,""),"")</f>
        <v/>
      </c>
    </row>
    <row r="2628">
      <c r="A2628" s="47" t="n"/>
      <c r="B2628" s="48" t="n"/>
      <c r="C2628" s="48" t="n"/>
      <c r="D2628" s="48" t="n"/>
      <c r="E2628" s="48" t="n"/>
      <c r="F2628" s="48" t="n"/>
      <c r="G2628" s="48" t="n"/>
      <c r="H2628" s="48" t="n"/>
      <c r="I2628" s="49" t="n"/>
      <c r="J2628" s="50" t="n"/>
      <c r="K2628" s="48" t="n"/>
      <c r="L2628" s="51">
        <f>IF(A2628="","",DATE(YEAR(A2628),MONTH(A2628),1))</f>
        <v/>
      </c>
      <c r="M2628" s="52">
        <f>IF(OR(A2628="",NOT(ISNUMBER(I2628))),"",IF(G2628=Lists!$B$5,I2628/2,IF(G2628=Lists!$B$6,I2628,0)))</f>
        <v/>
      </c>
      <c r="N2628" s="52">
        <f>IF(OR(A2628="",NOT(ISNUMBER(I2628))),"",IF(G2628=Lists!$B$5,I2628/2,IF(G2628=Lists!$B$7,I2628,0)))</f>
        <v/>
      </c>
      <c r="O2628" s="53">
        <f>IF(COUNTA(A2628:K2628)=0,"",IF(OR(A2628="",B2628="",C2628="",D2628="",E2628="",F2628="",G2628="",NOT(ISNUMBER(I2628))),"Incomplete",IF(COUNTIF(Lists!$H$4:$AA$4,C2628)=0,"Check category",IF(COUNTIF(INDEX(Lists!$H$6:$AA$45,0,MATCH(C2628,Lists!$H$4:$AA$4,0)),D2628)=0,"Check sub-category","OK"))))</f>
        <v/>
      </c>
      <c r="P2628">
        <f>IF(ISNUMBER(I2628),I2628+ROW()/10000000,"")</f>
        <v/>
      </c>
      <c r="Q2628">
        <f>IF(AND(ISNUMBER(P2628),ISNUMBER(A2628)),IF(AND(A2628&gt;=Dashboard!$Q$3,A2628&lt;=Dashboard!$Q$4,OR(J2628&lt;&gt;"Yes",Dashboard!$Q$15="Yes")),P2628,""),"")</f>
        <v/>
      </c>
    </row>
    <row r="2629">
      <c r="A2629" s="47" t="n"/>
      <c r="B2629" s="48" t="n"/>
      <c r="C2629" s="48" t="n"/>
      <c r="D2629" s="48" t="n"/>
      <c r="E2629" s="48" t="n"/>
      <c r="F2629" s="48" t="n"/>
      <c r="G2629" s="48" t="n"/>
      <c r="H2629" s="48" t="n"/>
      <c r="I2629" s="49" t="n"/>
      <c r="J2629" s="50" t="n"/>
      <c r="K2629" s="48" t="n"/>
      <c r="L2629" s="51">
        <f>IF(A2629="","",DATE(YEAR(A2629),MONTH(A2629),1))</f>
        <v/>
      </c>
      <c r="M2629" s="52">
        <f>IF(OR(A2629="",NOT(ISNUMBER(I2629))),"",IF(G2629=Lists!$B$5,I2629/2,IF(G2629=Lists!$B$6,I2629,0)))</f>
        <v/>
      </c>
      <c r="N2629" s="52">
        <f>IF(OR(A2629="",NOT(ISNUMBER(I2629))),"",IF(G2629=Lists!$B$5,I2629/2,IF(G2629=Lists!$B$7,I2629,0)))</f>
        <v/>
      </c>
      <c r="O2629" s="53">
        <f>IF(COUNTA(A2629:K2629)=0,"",IF(OR(A2629="",B2629="",C2629="",D2629="",E2629="",F2629="",G2629="",NOT(ISNUMBER(I2629))),"Incomplete",IF(COUNTIF(Lists!$H$4:$AA$4,C2629)=0,"Check category",IF(COUNTIF(INDEX(Lists!$H$6:$AA$45,0,MATCH(C2629,Lists!$H$4:$AA$4,0)),D2629)=0,"Check sub-category","OK"))))</f>
        <v/>
      </c>
      <c r="P2629">
        <f>IF(ISNUMBER(I2629),I2629+ROW()/10000000,"")</f>
        <v/>
      </c>
      <c r="Q2629">
        <f>IF(AND(ISNUMBER(P2629),ISNUMBER(A2629)),IF(AND(A2629&gt;=Dashboard!$Q$3,A2629&lt;=Dashboard!$Q$4,OR(J2629&lt;&gt;"Yes",Dashboard!$Q$15="Yes")),P2629,""),"")</f>
        <v/>
      </c>
    </row>
    <row r="2630">
      <c r="A2630" s="47" t="n"/>
      <c r="B2630" s="48" t="n"/>
      <c r="C2630" s="48" t="n"/>
      <c r="D2630" s="48" t="n"/>
      <c r="E2630" s="48" t="n"/>
      <c r="F2630" s="48" t="n"/>
      <c r="G2630" s="48" t="n"/>
      <c r="H2630" s="48" t="n"/>
      <c r="I2630" s="49" t="n"/>
      <c r="J2630" s="50" t="n"/>
      <c r="K2630" s="48" t="n"/>
      <c r="L2630" s="51">
        <f>IF(A2630="","",DATE(YEAR(A2630),MONTH(A2630),1))</f>
        <v/>
      </c>
      <c r="M2630" s="52">
        <f>IF(OR(A2630="",NOT(ISNUMBER(I2630))),"",IF(G2630=Lists!$B$5,I2630/2,IF(G2630=Lists!$B$6,I2630,0)))</f>
        <v/>
      </c>
      <c r="N2630" s="52">
        <f>IF(OR(A2630="",NOT(ISNUMBER(I2630))),"",IF(G2630=Lists!$B$5,I2630/2,IF(G2630=Lists!$B$7,I2630,0)))</f>
        <v/>
      </c>
      <c r="O2630" s="53">
        <f>IF(COUNTA(A2630:K2630)=0,"",IF(OR(A2630="",B2630="",C2630="",D2630="",E2630="",F2630="",G2630="",NOT(ISNUMBER(I2630))),"Incomplete",IF(COUNTIF(Lists!$H$4:$AA$4,C2630)=0,"Check category",IF(COUNTIF(INDEX(Lists!$H$6:$AA$45,0,MATCH(C2630,Lists!$H$4:$AA$4,0)),D2630)=0,"Check sub-category","OK"))))</f>
        <v/>
      </c>
      <c r="P2630">
        <f>IF(ISNUMBER(I2630),I2630+ROW()/10000000,"")</f>
        <v/>
      </c>
      <c r="Q2630">
        <f>IF(AND(ISNUMBER(P2630),ISNUMBER(A2630)),IF(AND(A2630&gt;=Dashboard!$Q$3,A2630&lt;=Dashboard!$Q$4,OR(J2630&lt;&gt;"Yes",Dashboard!$Q$15="Yes")),P2630,""),"")</f>
        <v/>
      </c>
    </row>
    <row r="2631">
      <c r="A2631" s="47" t="n"/>
      <c r="B2631" s="48" t="n"/>
      <c r="C2631" s="48" t="n"/>
      <c r="D2631" s="48" t="n"/>
      <c r="E2631" s="48" t="n"/>
      <c r="F2631" s="48" t="n"/>
      <c r="G2631" s="48" t="n"/>
      <c r="H2631" s="48" t="n"/>
      <c r="I2631" s="49" t="n"/>
      <c r="J2631" s="50" t="n"/>
      <c r="K2631" s="48" t="n"/>
      <c r="L2631" s="51">
        <f>IF(A2631="","",DATE(YEAR(A2631),MONTH(A2631),1))</f>
        <v/>
      </c>
      <c r="M2631" s="52">
        <f>IF(OR(A2631="",NOT(ISNUMBER(I2631))),"",IF(G2631=Lists!$B$5,I2631/2,IF(G2631=Lists!$B$6,I2631,0)))</f>
        <v/>
      </c>
      <c r="N2631" s="52">
        <f>IF(OR(A2631="",NOT(ISNUMBER(I2631))),"",IF(G2631=Lists!$B$5,I2631/2,IF(G2631=Lists!$B$7,I2631,0)))</f>
        <v/>
      </c>
      <c r="O2631" s="53">
        <f>IF(COUNTA(A2631:K2631)=0,"",IF(OR(A2631="",B2631="",C2631="",D2631="",E2631="",F2631="",G2631="",NOT(ISNUMBER(I2631))),"Incomplete",IF(COUNTIF(Lists!$H$4:$AA$4,C2631)=0,"Check category",IF(COUNTIF(INDEX(Lists!$H$6:$AA$45,0,MATCH(C2631,Lists!$H$4:$AA$4,0)),D2631)=0,"Check sub-category","OK"))))</f>
        <v/>
      </c>
      <c r="P2631">
        <f>IF(ISNUMBER(I2631),I2631+ROW()/10000000,"")</f>
        <v/>
      </c>
      <c r="Q2631">
        <f>IF(AND(ISNUMBER(P2631),ISNUMBER(A2631)),IF(AND(A2631&gt;=Dashboard!$Q$3,A2631&lt;=Dashboard!$Q$4,OR(J2631&lt;&gt;"Yes",Dashboard!$Q$15="Yes")),P2631,""),"")</f>
        <v/>
      </c>
    </row>
    <row r="2632">
      <c r="A2632" s="47" t="n"/>
      <c r="B2632" s="48" t="n"/>
      <c r="C2632" s="48" t="n"/>
      <c r="D2632" s="48" t="n"/>
      <c r="E2632" s="48" t="n"/>
      <c r="F2632" s="48" t="n"/>
      <c r="G2632" s="48" t="n"/>
      <c r="H2632" s="48" t="n"/>
      <c r="I2632" s="49" t="n"/>
      <c r="J2632" s="50" t="n"/>
      <c r="K2632" s="48" t="n"/>
      <c r="L2632" s="51">
        <f>IF(A2632="","",DATE(YEAR(A2632),MONTH(A2632),1))</f>
        <v/>
      </c>
      <c r="M2632" s="52">
        <f>IF(OR(A2632="",NOT(ISNUMBER(I2632))),"",IF(G2632=Lists!$B$5,I2632/2,IF(G2632=Lists!$B$6,I2632,0)))</f>
        <v/>
      </c>
      <c r="N2632" s="52">
        <f>IF(OR(A2632="",NOT(ISNUMBER(I2632))),"",IF(G2632=Lists!$B$5,I2632/2,IF(G2632=Lists!$B$7,I2632,0)))</f>
        <v/>
      </c>
      <c r="O2632" s="53">
        <f>IF(COUNTA(A2632:K2632)=0,"",IF(OR(A2632="",B2632="",C2632="",D2632="",E2632="",F2632="",G2632="",NOT(ISNUMBER(I2632))),"Incomplete",IF(COUNTIF(Lists!$H$4:$AA$4,C2632)=0,"Check category",IF(COUNTIF(INDEX(Lists!$H$6:$AA$45,0,MATCH(C2632,Lists!$H$4:$AA$4,0)),D2632)=0,"Check sub-category","OK"))))</f>
        <v/>
      </c>
      <c r="P2632">
        <f>IF(ISNUMBER(I2632),I2632+ROW()/10000000,"")</f>
        <v/>
      </c>
      <c r="Q2632">
        <f>IF(AND(ISNUMBER(P2632),ISNUMBER(A2632)),IF(AND(A2632&gt;=Dashboard!$Q$3,A2632&lt;=Dashboard!$Q$4,OR(J2632&lt;&gt;"Yes",Dashboard!$Q$15="Yes")),P2632,""),"")</f>
        <v/>
      </c>
    </row>
    <row r="2633">
      <c r="A2633" s="47" t="n"/>
      <c r="B2633" s="48" t="n"/>
      <c r="C2633" s="48" t="n"/>
      <c r="D2633" s="48" t="n"/>
      <c r="E2633" s="48" t="n"/>
      <c r="F2633" s="48" t="n"/>
      <c r="G2633" s="48" t="n"/>
      <c r="H2633" s="48" t="n"/>
      <c r="I2633" s="49" t="n"/>
      <c r="J2633" s="50" t="n"/>
      <c r="K2633" s="48" t="n"/>
      <c r="L2633" s="51">
        <f>IF(A2633="","",DATE(YEAR(A2633),MONTH(A2633),1))</f>
        <v/>
      </c>
      <c r="M2633" s="52">
        <f>IF(OR(A2633="",NOT(ISNUMBER(I2633))),"",IF(G2633=Lists!$B$5,I2633/2,IF(G2633=Lists!$B$6,I2633,0)))</f>
        <v/>
      </c>
      <c r="N2633" s="52">
        <f>IF(OR(A2633="",NOT(ISNUMBER(I2633))),"",IF(G2633=Lists!$B$5,I2633/2,IF(G2633=Lists!$B$7,I2633,0)))</f>
        <v/>
      </c>
      <c r="O2633" s="53">
        <f>IF(COUNTA(A2633:K2633)=0,"",IF(OR(A2633="",B2633="",C2633="",D2633="",E2633="",F2633="",G2633="",NOT(ISNUMBER(I2633))),"Incomplete",IF(COUNTIF(Lists!$H$4:$AA$4,C2633)=0,"Check category",IF(COUNTIF(INDEX(Lists!$H$6:$AA$45,0,MATCH(C2633,Lists!$H$4:$AA$4,0)),D2633)=0,"Check sub-category","OK"))))</f>
        <v/>
      </c>
      <c r="P2633">
        <f>IF(ISNUMBER(I2633),I2633+ROW()/10000000,"")</f>
        <v/>
      </c>
      <c r="Q2633">
        <f>IF(AND(ISNUMBER(P2633),ISNUMBER(A2633)),IF(AND(A2633&gt;=Dashboard!$Q$3,A2633&lt;=Dashboard!$Q$4,OR(J2633&lt;&gt;"Yes",Dashboard!$Q$15="Yes")),P2633,""),"")</f>
        <v/>
      </c>
    </row>
    <row r="2634">
      <c r="A2634" s="47" t="n"/>
      <c r="B2634" s="48" t="n"/>
      <c r="C2634" s="48" t="n"/>
      <c r="D2634" s="48" t="n"/>
      <c r="E2634" s="48" t="n"/>
      <c r="F2634" s="48" t="n"/>
      <c r="G2634" s="48" t="n"/>
      <c r="H2634" s="48" t="n"/>
      <c r="I2634" s="49" t="n"/>
      <c r="J2634" s="50" t="n"/>
      <c r="K2634" s="48" t="n"/>
      <c r="L2634" s="51">
        <f>IF(A2634="","",DATE(YEAR(A2634),MONTH(A2634),1))</f>
        <v/>
      </c>
      <c r="M2634" s="52">
        <f>IF(OR(A2634="",NOT(ISNUMBER(I2634))),"",IF(G2634=Lists!$B$5,I2634/2,IF(G2634=Lists!$B$6,I2634,0)))</f>
        <v/>
      </c>
      <c r="N2634" s="52">
        <f>IF(OR(A2634="",NOT(ISNUMBER(I2634))),"",IF(G2634=Lists!$B$5,I2634/2,IF(G2634=Lists!$B$7,I2634,0)))</f>
        <v/>
      </c>
      <c r="O2634" s="53">
        <f>IF(COUNTA(A2634:K2634)=0,"",IF(OR(A2634="",B2634="",C2634="",D2634="",E2634="",F2634="",G2634="",NOT(ISNUMBER(I2634))),"Incomplete",IF(COUNTIF(Lists!$H$4:$AA$4,C2634)=0,"Check category",IF(COUNTIF(INDEX(Lists!$H$6:$AA$45,0,MATCH(C2634,Lists!$H$4:$AA$4,0)),D2634)=0,"Check sub-category","OK"))))</f>
        <v/>
      </c>
      <c r="P2634">
        <f>IF(ISNUMBER(I2634),I2634+ROW()/10000000,"")</f>
        <v/>
      </c>
      <c r="Q2634">
        <f>IF(AND(ISNUMBER(P2634),ISNUMBER(A2634)),IF(AND(A2634&gt;=Dashboard!$Q$3,A2634&lt;=Dashboard!$Q$4,OR(J2634&lt;&gt;"Yes",Dashboard!$Q$15="Yes")),P2634,""),"")</f>
        <v/>
      </c>
    </row>
    <row r="2635">
      <c r="A2635" s="47" t="n"/>
      <c r="B2635" s="48" t="n"/>
      <c r="C2635" s="48" t="n"/>
      <c r="D2635" s="48" t="n"/>
      <c r="E2635" s="48" t="n"/>
      <c r="F2635" s="48" t="n"/>
      <c r="G2635" s="48" t="n"/>
      <c r="H2635" s="48" t="n"/>
      <c r="I2635" s="49" t="n"/>
      <c r="J2635" s="50" t="n"/>
      <c r="K2635" s="48" t="n"/>
      <c r="L2635" s="51">
        <f>IF(A2635="","",DATE(YEAR(A2635),MONTH(A2635),1))</f>
        <v/>
      </c>
      <c r="M2635" s="52">
        <f>IF(OR(A2635="",NOT(ISNUMBER(I2635))),"",IF(G2635=Lists!$B$5,I2635/2,IF(G2635=Lists!$B$6,I2635,0)))</f>
        <v/>
      </c>
      <c r="N2635" s="52">
        <f>IF(OR(A2635="",NOT(ISNUMBER(I2635))),"",IF(G2635=Lists!$B$5,I2635/2,IF(G2635=Lists!$B$7,I2635,0)))</f>
        <v/>
      </c>
      <c r="O2635" s="53">
        <f>IF(COUNTA(A2635:K2635)=0,"",IF(OR(A2635="",B2635="",C2635="",D2635="",E2635="",F2635="",G2635="",NOT(ISNUMBER(I2635))),"Incomplete",IF(COUNTIF(Lists!$H$4:$AA$4,C2635)=0,"Check category",IF(COUNTIF(INDEX(Lists!$H$6:$AA$45,0,MATCH(C2635,Lists!$H$4:$AA$4,0)),D2635)=0,"Check sub-category","OK"))))</f>
        <v/>
      </c>
      <c r="P2635">
        <f>IF(ISNUMBER(I2635),I2635+ROW()/10000000,"")</f>
        <v/>
      </c>
      <c r="Q2635">
        <f>IF(AND(ISNUMBER(P2635),ISNUMBER(A2635)),IF(AND(A2635&gt;=Dashboard!$Q$3,A2635&lt;=Dashboard!$Q$4,OR(J2635&lt;&gt;"Yes",Dashboard!$Q$15="Yes")),P2635,""),"")</f>
        <v/>
      </c>
    </row>
    <row r="2636">
      <c r="A2636" s="47" t="n"/>
      <c r="B2636" s="48" t="n"/>
      <c r="C2636" s="48" t="n"/>
      <c r="D2636" s="48" t="n"/>
      <c r="E2636" s="48" t="n"/>
      <c r="F2636" s="48" t="n"/>
      <c r="G2636" s="48" t="n"/>
      <c r="H2636" s="48" t="n"/>
      <c r="I2636" s="49" t="n"/>
      <c r="J2636" s="50" t="n"/>
      <c r="K2636" s="48" t="n"/>
      <c r="L2636" s="51">
        <f>IF(A2636="","",DATE(YEAR(A2636),MONTH(A2636),1))</f>
        <v/>
      </c>
      <c r="M2636" s="52">
        <f>IF(OR(A2636="",NOT(ISNUMBER(I2636))),"",IF(G2636=Lists!$B$5,I2636/2,IF(G2636=Lists!$B$6,I2636,0)))</f>
        <v/>
      </c>
      <c r="N2636" s="52">
        <f>IF(OR(A2636="",NOT(ISNUMBER(I2636))),"",IF(G2636=Lists!$B$5,I2636/2,IF(G2636=Lists!$B$7,I2636,0)))</f>
        <v/>
      </c>
      <c r="O2636" s="53">
        <f>IF(COUNTA(A2636:K2636)=0,"",IF(OR(A2636="",B2636="",C2636="",D2636="",E2636="",F2636="",G2636="",NOT(ISNUMBER(I2636))),"Incomplete",IF(COUNTIF(Lists!$H$4:$AA$4,C2636)=0,"Check category",IF(COUNTIF(INDEX(Lists!$H$6:$AA$45,0,MATCH(C2636,Lists!$H$4:$AA$4,0)),D2636)=0,"Check sub-category","OK"))))</f>
        <v/>
      </c>
      <c r="P2636">
        <f>IF(ISNUMBER(I2636),I2636+ROW()/10000000,"")</f>
        <v/>
      </c>
      <c r="Q2636">
        <f>IF(AND(ISNUMBER(P2636),ISNUMBER(A2636)),IF(AND(A2636&gt;=Dashboard!$Q$3,A2636&lt;=Dashboard!$Q$4,OR(J2636&lt;&gt;"Yes",Dashboard!$Q$15="Yes")),P2636,""),"")</f>
        <v/>
      </c>
    </row>
    <row r="2637">
      <c r="A2637" s="47" t="n"/>
      <c r="B2637" s="48" t="n"/>
      <c r="C2637" s="48" t="n"/>
      <c r="D2637" s="48" t="n"/>
      <c r="E2637" s="48" t="n"/>
      <c r="F2637" s="48" t="n"/>
      <c r="G2637" s="48" t="n"/>
      <c r="H2637" s="48" t="n"/>
      <c r="I2637" s="49" t="n"/>
      <c r="J2637" s="50" t="n"/>
      <c r="K2637" s="48" t="n"/>
      <c r="L2637" s="51">
        <f>IF(A2637="","",DATE(YEAR(A2637),MONTH(A2637),1))</f>
        <v/>
      </c>
      <c r="M2637" s="52">
        <f>IF(OR(A2637="",NOT(ISNUMBER(I2637))),"",IF(G2637=Lists!$B$5,I2637/2,IF(G2637=Lists!$B$6,I2637,0)))</f>
        <v/>
      </c>
      <c r="N2637" s="52">
        <f>IF(OR(A2637="",NOT(ISNUMBER(I2637))),"",IF(G2637=Lists!$B$5,I2637/2,IF(G2637=Lists!$B$7,I2637,0)))</f>
        <v/>
      </c>
      <c r="O2637" s="53">
        <f>IF(COUNTA(A2637:K2637)=0,"",IF(OR(A2637="",B2637="",C2637="",D2637="",E2637="",F2637="",G2637="",NOT(ISNUMBER(I2637))),"Incomplete",IF(COUNTIF(Lists!$H$4:$AA$4,C2637)=0,"Check category",IF(COUNTIF(INDEX(Lists!$H$6:$AA$45,0,MATCH(C2637,Lists!$H$4:$AA$4,0)),D2637)=0,"Check sub-category","OK"))))</f>
        <v/>
      </c>
      <c r="P2637">
        <f>IF(ISNUMBER(I2637),I2637+ROW()/10000000,"")</f>
        <v/>
      </c>
      <c r="Q2637">
        <f>IF(AND(ISNUMBER(P2637),ISNUMBER(A2637)),IF(AND(A2637&gt;=Dashboard!$Q$3,A2637&lt;=Dashboard!$Q$4,OR(J2637&lt;&gt;"Yes",Dashboard!$Q$15="Yes")),P2637,""),"")</f>
        <v/>
      </c>
    </row>
    <row r="2638">
      <c r="A2638" s="47" t="n"/>
      <c r="B2638" s="48" t="n"/>
      <c r="C2638" s="48" t="n"/>
      <c r="D2638" s="48" t="n"/>
      <c r="E2638" s="48" t="n"/>
      <c r="F2638" s="48" t="n"/>
      <c r="G2638" s="48" t="n"/>
      <c r="H2638" s="48" t="n"/>
      <c r="I2638" s="49" t="n"/>
      <c r="J2638" s="50" t="n"/>
      <c r="K2638" s="48" t="n"/>
      <c r="L2638" s="51">
        <f>IF(A2638="","",DATE(YEAR(A2638),MONTH(A2638),1))</f>
        <v/>
      </c>
      <c r="M2638" s="52">
        <f>IF(OR(A2638="",NOT(ISNUMBER(I2638))),"",IF(G2638=Lists!$B$5,I2638/2,IF(G2638=Lists!$B$6,I2638,0)))</f>
        <v/>
      </c>
      <c r="N2638" s="52">
        <f>IF(OR(A2638="",NOT(ISNUMBER(I2638))),"",IF(G2638=Lists!$B$5,I2638/2,IF(G2638=Lists!$B$7,I2638,0)))</f>
        <v/>
      </c>
      <c r="O2638" s="53">
        <f>IF(COUNTA(A2638:K2638)=0,"",IF(OR(A2638="",B2638="",C2638="",D2638="",E2638="",F2638="",G2638="",NOT(ISNUMBER(I2638))),"Incomplete",IF(COUNTIF(Lists!$H$4:$AA$4,C2638)=0,"Check category",IF(COUNTIF(INDEX(Lists!$H$6:$AA$45,0,MATCH(C2638,Lists!$H$4:$AA$4,0)),D2638)=0,"Check sub-category","OK"))))</f>
        <v/>
      </c>
      <c r="P2638">
        <f>IF(ISNUMBER(I2638),I2638+ROW()/10000000,"")</f>
        <v/>
      </c>
      <c r="Q2638">
        <f>IF(AND(ISNUMBER(P2638),ISNUMBER(A2638)),IF(AND(A2638&gt;=Dashboard!$Q$3,A2638&lt;=Dashboard!$Q$4,OR(J2638&lt;&gt;"Yes",Dashboard!$Q$15="Yes")),P2638,""),"")</f>
        <v/>
      </c>
    </row>
    <row r="2639">
      <c r="A2639" s="47" t="n"/>
      <c r="B2639" s="48" t="n"/>
      <c r="C2639" s="48" t="n"/>
      <c r="D2639" s="48" t="n"/>
      <c r="E2639" s="48" t="n"/>
      <c r="F2639" s="48" t="n"/>
      <c r="G2639" s="48" t="n"/>
      <c r="H2639" s="48" t="n"/>
      <c r="I2639" s="49" t="n"/>
      <c r="J2639" s="50" t="n"/>
      <c r="K2639" s="48" t="n"/>
      <c r="L2639" s="51">
        <f>IF(A2639="","",DATE(YEAR(A2639),MONTH(A2639),1))</f>
        <v/>
      </c>
      <c r="M2639" s="52">
        <f>IF(OR(A2639="",NOT(ISNUMBER(I2639))),"",IF(G2639=Lists!$B$5,I2639/2,IF(G2639=Lists!$B$6,I2639,0)))</f>
        <v/>
      </c>
      <c r="N2639" s="52">
        <f>IF(OR(A2639="",NOT(ISNUMBER(I2639))),"",IF(G2639=Lists!$B$5,I2639/2,IF(G2639=Lists!$B$7,I2639,0)))</f>
        <v/>
      </c>
      <c r="O2639" s="53">
        <f>IF(COUNTA(A2639:K2639)=0,"",IF(OR(A2639="",B2639="",C2639="",D2639="",E2639="",F2639="",G2639="",NOT(ISNUMBER(I2639))),"Incomplete",IF(COUNTIF(Lists!$H$4:$AA$4,C2639)=0,"Check category",IF(COUNTIF(INDEX(Lists!$H$6:$AA$45,0,MATCH(C2639,Lists!$H$4:$AA$4,0)),D2639)=0,"Check sub-category","OK"))))</f>
        <v/>
      </c>
      <c r="P2639">
        <f>IF(ISNUMBER(I2639),I2639+ROW()/10000000,"")</f>
        <v/>
      </c>
      <c r="Q2639">
        <f>IF(AND(ISNUMBER(P2639),ISNUMBER(A2639)),IF(AND(A2639&gt;=Dashboard!$Q$3,A2639&lt;=Dashboard!$Q$4,OR(J2639&lt;&gt;"Yes",Dashboard!$Q$15="Yes")),P2639,""),"")</f>
        <v/>
      </c>
    </row>
    <row r="2640">
      <c r="A2640" s="47" t="n"/>
      <c r="B2640" s="48" t="n"/>
      <c r="C2640" s="48" t="n"/>
      <c r="D2640" s="48" t="n"/>
      <c r="E2640" s="48" t="n"/>
      <c r="F2640" s="48" t="n"/>
      <c r="G2640" s="48" t="n"/>
      <c r="H2640" s="48" t="n"/>
      <c r="I2640" s="49" t="n"/>
      <c r="J2640" s="50" t="n"/>
      <c r="K2640" s="48" t="n"/>
      <c r="L2640" s="51">
        <f>IF(A2640="","",DATE(YEAR(A2640),MONTH(A2640),1))</f>
        <v/>
      </c>
      <c r="M2640" s="52">
        <f>IF(OR(A2640="",NOT(ISNUMBER(I2640))),"",IF(G2640=Lists!$B$5,I2640/2,IF(G2640=Lists!$B$6,I2640,0)))</f>
        <v/>
      </c>
      <c r="N2640" s="52">
        <f>IF(OR(A2640="",NOT(ISNUMBER(I2640))),"",IF(G2640=Lists!$B$5,I2640/2,IF(G2640=Lists!$B$7,I2640,0)))</f>
        <v/>
      </c>
      <c r="O2640" s="53">
        <f>IF(COUNTA(A2640:K2640)=0,"",IF(OR(A2640="",B2640="",C2640="",D2640="",E2640="",F2640="",G2640="",NOT(ISNUMBER(I2640))),"Incomplete",IF(COUNTIF(Lists!$H$4:$AA$4,C2640)=0,"Check category",IF(COUNTIF(INDEX(Lists!$H$6:$AA$45,0,MATCH(C2640,Lists!$H$4:$AA$4,0)),D2640)=0,"Check sub-category","OK"))))</f>
        <v/>
      </c>
      <c r="P2640">
        <f>IF(ISNUMBER(I2640),I2640+ROW()/10000000,"")</f>
        <v/>
      </c>
      <c r="Q2640">
        <f>IF(AND(ISNUMBER(P2640),ISNUMBER(A2640)),IF(AND(A2640&gt;=Dashboard!$Q$3,A2640&lt;=Dashboard!$Q$4,OR(J2640&lt;&gt;"Yes",Dashboard!$Q$15="Yes")),P2640,""),"")</f>
        <v/>
      </c>
    </row>
    <row r="2641">
      <c r="A2641" s="47" t="n"/>
      <c r="B2641" s="48" t="n"/>
      <c r="C2641" s="48" t="n"/>
      <c r="D2641" s="48" t="n"/>
      <c r="E2641" s="48" t="n"/>
      <c r="F2641" s="48" t="n"/>
      <c r="G2641" s="48" t="n"/>
      <c r="H2641" s="48" t="n"/>
      <c r="I2641" s="49" t="n"/>
      <c r="J2641" s="50" t="n"/>
      <c r="K2641" s="48" t="n"/>
      <c r="L2641" s="51">
        <f>IF(A2641="","",DATE(YEAR(A2641),MONTH(A2641),1))</f>
        <v/>
      </c>
      <c r="M2641" s="52">
        <f>IF(OR(A2641="",NOT(ISNUMBER(I2641))),"",IF(G2641=Lists!$B$5,I2641/2,IF(G2641=Lists!$B$6,I2641,0)))</f>
        <v/>
      </c>
      <c r="N2641" s="52">
        <f>IF(OR(A2641="",NOT(ISNUMBER(I2641))),"",IF(G2641=Lists!$B$5,I2641/2,IF(G2641=Lists!$B$7,I2641,0)))</f>
        <v/>
      </c>
      <c r="O2641" s="53">
        <f>IF(COUNTA(A2641:K2641)=0,"",IF(OR(A2641="",B2641="",C2641="",D2641="",E2641="",F2641="",G2641="",NOT(ISNUMBER(I2641))),"Incomplete",IF(COUNTIF(Lists!$H$4:$AA$4,C2641)=0,"Check category",IF(COUNTIF(INDEX(Lists!$H$6:$AA$45,0,MATCH(C2641,Lists!$H$4:$AA$4,0)),D2641)=0,"Check sub-category","OK"))))</f>
        <v/>
      </c>
      <c r="P2641">
        <f>IF(ISNUMBER(I2641),I2641+ROW()/10000000,"")</f>
        <v/>
      </c>
      <c r="Q2641">
        <f>IF(AND(ISNUMBER(P2641),ISNUMBER(A2641)),IF(AND(A2641&gt;=Dashboard!$Q$3,A2641&lt;=Dashboard!$Q$4,OR(J2641&lt;&gt;"Yes",Dashboard!$Q$15="Yes")),P2641,""),"")</f>
        <v/>
      </c>
    </row>
    <row r="2642">
      <c r="A2642" s="47" t="n"/>
      <c r="B2642" s="48" t="n"/>
      <c r="C2642" s="48" t="n"/>
      <c r="D2642" s="48" t="n"/>
      <c r="E2642" s="48" t="n"/>
      <c r="F2642" s="48" t="n"/>
      <c r="G2642" s="48" t="n"/>
      <c r="H2642" s="48" t="n"/>
      <c r="I2642" s="49" t="n"/>
      <c r="J2642" s="50" t="n"/>
      <c r="K2642" s="48" t="n"/>
      <c r="L2642" s="51">
        <f>IF(A2642="","",DATE(YEAR(A2642),MONTH(A2642),1))</f>
        <v/>
      </c>
      <c r="M2642" s="52">
        <f>IF(OR(A2642="",NOT(ISNUMBER(I2642))),"",IF(G2642=Lists!$B$5,I2642/2,IF(G2642=Lists!$B$6,I2642,0)))</f>
        <v/>
      </c>
      <c r="N2642" s="52">
        <f>IF(OR(A2642="",NOT(ISNUMBER(I2642))),"",IF(G2642=Lists!$B$5,I2642/2,IF(G2642=Lists!$B$7,I2642,0)))</f>
        <v/>
      </c>
      <c r="O2642" s="53">
        <f>IF(COUNTA(A2642:K2642)=0,"",IF(OR(A2642="",B2642="",C2642="",D2642="",E2642="",F2642="",G2642="",NOT(ISNUMBER(I2642))),"Incomplete",IF(COUNTIF(Lists!$H$4:$AA$4,C2642)=0,"Check category",IF(COUNTIF(INDEX(Lists!$H$6:$AA$45,0,MATCH(C2642,Lists!$H$4:$AA$4,0)),D2642)=0,"Check sub-category","OK"))))</f>
        <v/>
      </c>
      <c r="P2642">
        <f>IF(ISNUMBER(I2642),I2642+ROW()/10000000,"")</f>
        <v/>
      </c>
      <c r="Q2642">
        <f>IF(AND(ISNUMBER(P2642),ISNUMBER(A2642)),IF(AND(A2642&gt;=Dashboard!$Q$3,A2642&lt;=Dashboard!$Q$4,OR(J2642&lt;&gt;"Yes",Dashboard!$Q$15="Yes")),P2642,""),"")</f>
        <v/>
      </c>
    </row>
    <row r="2643">
      <c r="A2643" s="47" t="n"/>
      <c r="B2643" s="48" t="n"/>
      <c r="C2643" s="48" t="n"/>
      <c r="D2643" s="48" t="n"/>
      <c r="E2643" s="48" t="n"/>
      <c r="F2643" s="48" t="n"/>
      <c r="G2643" s="48" t="n"/>
      <c r="H2643" s="48" t="n"/>
      <c r="I2643" s="49" t="n"/>
      <c r="J2643" s="50" t="n"/>
      <c r="K2643" s="48" t="n"/>
      <c r="L2643" s="51">
        <f>IF(A2643="","",DATE(YEAR(A2643),MONTH(A2643),1))</f>
        <v/>
      </c>
      <c r="M2643" s="52">
        <f>IF(OR(A2643="",NOT(ISNUMBER(I2643))),"",IF(G2643=Lists!$B$5,I2643/2,IF(G2643=Lists!$B$6,I2643,0)))</f>
        <v/>
      </c>
      <c r="N2643" s="52">
        <f>IF(OR(A2643="",NOT(ISNUMBER(I2643))),"",IF(G2643=Lists!$B$5,I2643/2,IF(G2643=Lists!$B$7,I2643,0)))</f>
        <v/>
      </c>
      <c r="O2643" s="53">
        <f>IF(COUNTA(A2643:K2643)=0,"",IF(OR(A2643="",B2643="",C2643="",D2643="",E2643="",F2643="",G2643="",NOT(ISNUMBER(I2643))),"Incomplete",IF(COUNTIF(Lists!$H$4:$AA$4,C2643)=0,"Check category",IF(COUNTIF(INDEX(Lists!$H$6:$AA$45,0,MATCH(C2643,Lists!$H$4:$AA$4,0)),D2643)=0,"Check sub-category","OK"))))</f>
        <v/>
      </c>
      <c r="P2643">
        <f>IF(ISNUMBER(I2643),I2643+ROW()/10000000,"")</f>
        <v/>
      </c>
      <c r="Q2643">
        <f>IF(AND(ISNUMBER(P2643),ISNUMBER(A2643)),IF(AND(A2643&gt;=Dashboard!$Q$3,A2643&lt;=Dashboard!$Q$4,OR(J2643&lt;&gt;"Yes",Dashboard!$Q$15="Yes")),P2643,""),"")</f>
        <v/>
      </c>
    </row>
    <row r="2644">
      <c r="A2644" s="47" t="n"/>
      <c r="B2644" s="48" t="n"/>
      <c r="C2644" s="48" t="n"/>
      <c r="D2644" s="48" t="n"/>
      <c r="E2644" s="48" t="n"/>
      <c r="F2644" s="48" t="n"/>
      <c r="G2644" s="48" t="n"/>
      <c r="H2644" s="48" t="n"/>
      <c r="I2644" s="49" t="n"/>
      <c r="J2644" s="50" t="n"/>
      <c r="K2644" s="48" t="n"/>
      <c r="L2644" s="51">
        <f>IF(A2644="","",DATE(YEAR(A2644),MONTH(A2644),1))</f>
        <v/>
      </c>
      <c r="M2644" s="52">
        <f>IF(OR(A2644="",NOT(ISNUMBER(I2644))),"",IF(G2644=Lists!$B$5,I2644/2,IF(G2644=Lists!$B$6,I2644,0)))</f>
        <v/>
      </c>
      <c r="N2644" s="52">
        <f>IF(OR(A2644="",NOT(ISNUMBER(I2644))),"",IF(G2644=Lists!$B$5,I2644/2,IF(G2644=Lists!$B$7,I2644,0)))</f>
        <v/>
      </c>
      <c r="O2644" s="53">
        <f>IF(COUNTA(A2644:K2644)=0,"",IF(OR(A2644="",B2644="",C2644="",D2644="",E2644="",F2644="",G2644="",NOT(ISNUMBER(I2644))),"Incomplete",IF(COUNTIF(Lists!$H$4:$AA$4,C2644)=0,"Check category",IF(COUNTIF(INDEX(Lists!$H$6:$AA$45,0,MATCH(C2644,Lists!$H$4:$AA$4,0)),D2644)=0,"Check sub-category","OK"))))</f>
        <v/>
      </c>
      <c r="P2644">
        <f>IF(ISNUMBER(I2644),I2644+ROW()/10000000,"")</f>
        <v/>
      </c>
      <c r="Q2644">
        <f>IF(AND(ISNUMBER(P2644),ISNUMBER(A2644)),IF(AND(A2644&gt;=Dashboard!$Q$3,A2644&lt;=Dashboard!$Q$4,OR(J2644&lt;&gt;"Yes",Dashboard!$Q$15="Yes")),P2644,""),"")</f>
        <v/>
      </c>
    </row>
    <row r="2645">
      <c r="A2645" s="47" t="n"/>
      <c r="B2645" s="48" t="n"/>
      <c r="C2645" s="48" t="n"/>
      <c r="D2645" s="48" t="n"/>
      <c r="E2645" s="48" t="n"/>
      <c r="F2645" s="48" t="n"/>
      <c r="G2645" s="48" t="n"/>
      <c r="H2645" s="48" t="n"/>
      <c r="I2645" s="49" t="n"/>
      <c r="J2645" s="50" t="n"/>
      <c r="K2645" s="48" t="n"/>
      <c r="L2645" s="51">
        <f>IF(A2645="","",DATE(YEAR(A2645),MONTH(A2645),1))</f>
        <v/>
      </c>
      <c r="M2645" s="52">
        <f>IF(OR(A2645="",NOT(ISNUMBER(I2645))),"",IF(G2645=Lists!$B$5,I2645/2,IF(G2645=Lists!$B$6,I2645,0)))</f>
        <v/>
      </c>
      <c r="N2645" s="52">
        <f>IF(OR(A2645="",NOT(ISNUMBER(I2645))),"",IF(G2645=Lists!$B$5,I2645/2,IF(G2645=Lists!$B$7,I2645,0)))</f>
        <v/>
      </c>
      <c r="O2645" s="53">
        <f>IF(COUNTA(A2645:K2645)=0,"",IF(OR(A2645="",B2645="",C2645="",D2645="",E2645="",F2645="",G2645="",NOT(ISNUMBER(I2645))),"Incomplete",IF(COUNTIF(Lists!$H$4:$AA$4,C2645)=0,"Check category",IF(COUNTIF(INDEX(Lists!$H$6:$AA$45,0,MATCH(C2645,Lists!$H$4:$AA$4,0)),D2645)=0,"Check sub-category","OK"))))</f>
        <v/>
      </c>
      <c r="P2645">
        <f>IF(ISNUMBER(I2645),I2645+ROW()/10000000,"")</f>
        <v/>
      </c>
      <c r="Q2645">
        <f>IF(AND(ISNUMBER(P2645),ISNUMBER(A2645)),IF(AND(A2645&gt;=Dashboard!$Q$3,A2645&lt;=Dashboard!$Q$4,OR(J2645&lt;&gt;"Yes",Dashboard!$Q$15="Yes")),P2645,""),"")</f>
        <v/>
      </c>
    </row>
    <row r="2646">
      <c r="A2646" s="47" t="n"/>
      <c r="B2646" s="48" t="n"/>
      <c r="C2646" s="48" t="n"/>
      <c r="D2646" s="48" t="n"/>
      <c r="E2646" s="48" t="n"/>
      <c r="F2646" s="48" t="n"/>
      <c r="G2646" s="48" t="n"/>
      <c r="H2646" s="48" t="n"/>
      <c r="I2646" s="49" t="n"/>
      <c r="J2646" s="50" t="n"/>
      <c r="K2646" s="48" t="n"/>
      <c r="L2646" s="51">
        <f>IF(A2646="","",DATE(YEAR(A2646),MONTH(A2646),1))</f>
        <v/>
      </c>
      <c r="M2646" s="52">
        <f>IF(OR(A2646="",NOT(ISNUMBER(I2646))),"",IF(G2646=Lists!$B$5,I2646/2,IF(G2646=Lists!$B$6,I2646,0)))</f>
        <v/>
      </c>
      <c r="N2646" s="52">
        <f>IF(OR(A2646="",NOT(ISNUMBER(I2646))),"",IF(G2646=Lists!$B$5,I2646/2,IF(G2646=Lists!$B$7,I2646,0)))</f>
        <v/>
      </c>
      <c r="O2646" s="53">
        <f>IF(COUNTA(A2646:K2646)=0,"",IF(OR(A2646="",B2646="",C2646="",D2646="",E2646="",F2646="",G2646="",NOT(ISNUMBER(I2646))),"Incomplete",IF(COUNTIF(Lists!$H$4:$AA$4,C2646)=0,"Check category",IF(COUNTIF(INDEX(Lists!$H$6:$AA$45,0,MATCH(C2646,Lists!$H$4:$AA$4,0)),D2646)=0,"Check sub-category","OK"))))</f>
        <v/>
      </c>
      <c r="P2646">
        <f>IF(ISNUMBER(I2646),I2646+ROW()/10000000,"")</f>
        <v/>
      </c>
      <c r="Q2646">
        <f>IF(AND(ISNUMBER(P2646),ISNUMBER(A2646)),IF(AND(A2646&gt;=Dashboard!$Q$3,A2646&lt;=Dashboard!$Q$4,OR(J2646&lt;&gt;"Yes",Dashboard!$Q$15="Yes")),P2646,""),"")</f>
        <v/>
      </c>
    </row>
    <row r="2647">
      <c r="A2647" s="47" t="n"/>
      <c r="B2647" s="48" t="n"/>
      <c r="C2647" s="48" t="n"/>
      <c r="D2647" s="48" t="n"/>
      <c r="E2647" s="48" t="n"/>
      <c r="F2647" s="48" t="n"/>
      <c r="G2647" s="48" t="n"/>
      <c r="H2647" s="48" t="n"/>
      <c r="I2647" s="49" t="n"/>
      <c r="J2647" s="50" t="n"/>
      <c r="K2647" s="48" t="n"/>
      <c r="L2647" s="51">
        <f>IF(A2647="","",DATE(YEAR(A2647),MONTH(A2647),1))</f>
        <v/>
      </c>
      <c r="M2647" s="52">
        <f>IF(OR(A2647="",NOT(ISNUMBER(I2647))),"",IF(G2647=Lists!$B$5,I2647/2,IF(G2647=Lists!$B$6,I2647,0)))</f>
        <v/>
      </c>
      <c r="N2647" s="52">
        <f>IF(OR(A2647="",NOT(ISNUMBER(I2647))),"",IF(G2647=Lists!$B$5,I2647/2,IF(G2647=Lists!$B$7,I2647,0)))</f>
        <v/>
      </c>
      <c r="O2647" s="53">
        <f>IF(COUNTA(A2647:K2647)=0,"",IF(OR(A2647="",B2647="",C2647="",D2647="",E2647="",F2647="",G2647="",NOT(ISNUMBER(I2647))),"Incomplete",IF(COUNTIF(Lists!$H$4:$AA$4,C2647)=0,"Check category",IF(COUNTIF(INDEX(Lists!$H$6:$AA$45,0,MATCH(C2647,Lists!$H$4:$AA$4,0)),D2647)=0,"Check sub-category","OK"))))</f>
        <v/>
      </c>
      <c r="P2647">
        <f>IF(ISNUMBER(I2647),I2647+ROW()/10000000,"")</f>
        <v/>
      </c>
      <c r="Q2647">
        <f>IF(AND(ISNUMBER(P2647),ISNUMBER(A2647)),IF(AND(A2647&gt;=Dashboard!$Q$3,A2647&lt;=Dashboard!$Q$4,OR(J2647&lt;&gt;"Yes",Dashboard!$Q$15="Yes")),P2647,""),"")</f>
        <v/>
      </c>
    </row>
    <row r="2648">
      <c r="A2648" s="47" t="n"/>
      <c r="B2648" s="48" t="n"/>
      <c r="C2648" s="48" t="n"/>
      <c r="D2648" s="48" t="n"/>
      <c r="E2648" s="48" t="n"/>
      <c r="F2648" s="48" t="n"/>
      <c r="G2648" s="48" t="n"/>
      <c r="H2648" s="48" t="n"/>
      <c r="I2648" s="49" t="n"/>
      <c r="J2648" s="50" t="n"/>
      <c r="K2648" s="48" t="n"/>
      <c r="L2648" s="51">
        <f>IF(A2648="","",DATE(YEAR(A2648),MONTH(A2648),1))</f>
        <v/>
      </c>
      <c r="M2648" s="52">
        <f>IF(OR(A2648="",NOT(ISNUMBER(I2648))),"",IF(G2648=Lists!$B$5,I2648/2,IF(G2648=Lists!$B$6,I2648,0)))</f>
        <v/>
      </c>
      <c r="N2648" s="52">
        <f>IF(OR(A2648="",NOT(ISNUMBER(I2648))),"",IF(G2648=Lists!$B$5,I2648/2,IF(G2648=Lists!$B$7,I2648,0)))</f>
        <v/>
      </c>
      <c r="O2648" s="53">
        <f>IF(COUNTA(A2648:K2648)=0,"",IF(OR(A2648="",B2648="",C2648="",D2648="",E2648="",F2648="",G2648="",NOT(ISNUMBER(I2648))),"Incomplete",IF(COUNTIF(Lists!$H$4:$AA$4,C2648)=0,"Check category",IF(COUNTIF(INDEX(Lists!$H$6:$AA$45,0,MATCH(C2648,Lists!$H$4:$AA$4,0)),D2648)=0,"Check sub-category","OK"))))</f>
        <v/>
      </c>
      <c r="P2648">
        <f>IF(ISNUMBER(I2648),I2648+ROW()/10000000,"")</f>
        <v/>
      </c>
      <c r="Q2648">
        <f>IF(AND(ISNUMBER(P2648),ISNUMBER(A2648)),IF(AND(A2648&gt;=Dashboard!$Q$3,A2648&lt;=Dashboard!$Q$4,OR(J2648&lt;&gt;"Yes",Dashboard!$Q$15="Yes")),P2648,""),"")</f>
        <v/>
      </c>
    </row>
    <row r="2649">
      <c r="A2649" s="47" t="n"/>
      <c r="B2649" s="48" t="n"/>
      <c r="C2649" s="48" t="n"/>
      <c r="D2649" s="48" t="n"/>
      <c r="E2649" s="48" t="n"/>
      <c r="F2649" s="48" t="n"/>
      <c r="G2649" s="48" t="n"/>
      <c r="H2649" s="48" t="n"/>
      <c r="I2649" s="49" t="n"/>
      <c r="J2649" s="50" t="n"/>
      <c r="K2649" s="48" t="n"/>
      <c r="L2649" s="51">
        <f>IF(A2649="","",DATE(YEAR(A2649),MONTH(A2649),1))</f>
        <v/>
      </c>
      <c r="M2649" s="52">
        <f>IF(OR(A2649="",NOT(ISNUMBER(I2649))),"",IF(G2649=Lists!$B$5,I2649/2,IF(G2649=Lists!$B$6,I2649,0)))</f>
        <v/>
      </c>
      <c r="N2649" s="52">
        <f>IF(OR(A2649="",NOT(ISNUMBER(I2649))),"",IF(G2649=Lists!$B$5,I2649/2,IF(G2649=Lists!$B$7,I2649,0)))</f>
        <v/>
      </c>
      <c r="O2649" s="53">
        <f>IF(COUNTA(A2649:K2649)=0,"",IF(OR(A2649="",B2649="",C2649="",D2649="",E2649="",F2649="",G2649="",NOT(ISNUMBER(I2649))),"Incomplete",IF(COUNTIF(Lists!$H$4:$AA$4,C2649)=0,"Check category",IF(COUNTIF(INDEX(Lists!$H$6:$AA$45,0,MATCH(C2649,Lists!$H$4:$AA$4,0)),D2649)=0,"Check sub-category","OK"))))</f>
        <v/>
      </c>
      <c r="P2649">
        <f>IF(ISNUMBER(I2649),I2649+ROW()/10000000,"")</f>
        <v/>
      </c>
      <c r="Q2649">
        <f>IF(AND(ISNUMBER(P2649),ISNUMBER(A2649)),IF(AND(A2649&gt;=Dashboard!$Q$3,A2649&lt;=Dashboard!$Q$4,OR(J2649&lt;&gt;"Yes",Dashboard!$Q$15="Yes")),P2649,""),"")</f>
        <v/>
      </c>
    </row>
    <row r="2650">
      <c r="A2650" s="47" t="n"/>
      <c r="B2650" s="48" t="n"/>
      <c r="C2650" s="48" t="n"/>
      <c r="D2650" s="48" t="n"/>
      <c r="E2650" s="48" t="n"/>
      <c r="F2650" s="48" t="n"/>
      <c r="G2650" s="48" t="n"/>
      <c r="H2650" s="48" t="n"/>
      <c r="I2650" s="49" t="n"/>
      <c r="J2650" s="50" t="n"/>
      <c r="K2650" s="48" t="n"/>
      <c r="L2650" s="51">
        <f>IF(A2650="","",DATE(YEAR(A2650),MONTH(A2650),1))</f>
        <v/>
      </c>
      <c r="M2650" s="52">
        <f>IF(OR(A2650="",NOT(ISNUMBER(I2650))),"",IF(G2650=Lists!$B$5,I2650/2,IF(G2650=Lists!$B$6,I2650,0)))</f>
        <v/>
      </c>
      <c r="N2650" s="52">
        <f>IF(OR(A2650="",NOT(ISNUMBER(I2650))),"",IF(G2650=Lists!$B$5,I2650/2,IF(G2650=Lists!$B$7,I2650,0)))</f>
        <v/>
      </c>
      <c r="O2650" s="53">
        <f>IF(COUNTA(A2650:K2650)=0,"",IF(OR(A2650="",B2650="",C2650="",D2650="",E2650="",F2650="",G2650="",NOT(ISNUMBER(I2650))),"Incomplete",IF(COUNTIF(Lists!$H$4:$AA$4,C2650)=0,"Check category",IF(COUNTIF(INDEX(Lists!$H$6:$AA$45,0,MATCH(C2650,Lists!$H$4:$AA$4,0)),D2650)=0,"Check sub-category","OK"))))</f>
        <v/>
      </c>
      <c r="P2650">
        <f>IF(ISNUMBER(I2650),I2650+ROW()/10000000,"")</f>
        <v/>
      </c>
      <c r="Q2650">
        <f>IF(AND(ISNUMBER(P2650),ISNUMBER(A2650)),IF(AND(A2650&gt;=Dashboard!$Q$3,A2650&lt;=Dashboard!$Q$4,OR(J2650&lt;&gt;"Yes",Dashboard!$Q$15="Yes")),P2650,""),"")</f>
        <v/>
      </c>
    </row>
    <row r="2651">
      <c r="A2651" s="47" t="n"/>
      <c r="B2651" s="48" t="n"/>
      <c r="C2651" s="48" t="n"/>
      <c r="D2651" s="48" t="n"/>
      <c r="E2651" s="48" t="n"/>
      <c r="F2651" s="48" t="n"/>
      <c r="G2651" s="48" t="n"/>
      <c r="H2651" s="48" t="n"/>
      <c r="I2651" s="49" t="n"/>
      <c r="J2651" s="50" t="n"/>
      <c r="K2651" s="48" t="n"/>
      <c r="L2651" s="51">
        <f>IF(A2651="","",DATE(YEAR(A2651),MONTH(A2651),1))</f>
        <v/>
      </c>
      <c r="M2651" s="52">
        <f>IF(OR(A2651="",NOT(ISNUMBER(I2651))),"",IF(G2651=Lists!$B$5,I2651/2,IF(G2651=Lists!$B$6,I2651,0)))</f>
        <v/>
      </c>
      <c r="N2651" s="52">
        <f>IF(OR(A2651="",NOT(ISNUMBER(I2651))),"",IF(G2651=Lists!$B$5,I2651/2,IF(G2651=Lists!$B$7,I2651,0)))</f>
        <v/>
      </c>
      <c r="O2651" s="53">
        <f>IF(COUNTA(A2651:K2651)=0,"",IF(OR(A2651="",B2651="",C2651="",D2651="",E2651="",F2651="",G2651="",NOT(ISNUMBER(I2651))),"Incomplete",IF(COUNTIF(Lists!$H$4:$AA$4,C2651)=0,"Check category",IF(COUNTIF(INDEX(Lists!$H$6:$AA$45,0,MATCH(C2651,Lists!$H$4:$AA$4,0)),D2651)=0,"Check sub-category","OK"))))</f>
        <v/>
      </c>
      <c r="P2651">
        <f>IF(ISNUMBER(I2651),I2651+ROW()/10000000,"")</f>
        <v/>
      </c>
      <c r="Q2651">
        <f>IF(AND(ISNUMBER(P2651),ISNUMBER(A2651)),IF(AND(A2651&gt;=Dashboard!$Q$3,A2651&lt;=Dashboard!$Q$4,OR(J2651&lt;&gt;"Yes",Dashboard!$Q$15="Yes")),P2651,""),"")</f>
        <v/>
      </c>
    </row>
    <row r="2652">
      <c r="A2652" s="47" t="n"/>
      <c r="B2652" s="48" t="n"/>
      <c r="C2652" s="48" t="n"/>
      <c r="D2652" s="48" t="n"/>
      <c r="E2652" s="48" t="n"/>
      <c r="F2652" s="48" t="n"/>
      <c r="G2652" s="48" t="n"/>
      <c r="H2652" s="48" t="n"/>
      <c r="I2652" s="49" t="n"/>
      <c r="J2652" s="50" t="n"/>
      <c r="K2652" s="48" t="n"/>
      <c r="L2652" s="51">
        <f>IF(A2652="","",DATE(YEAR(A2652),MONTH(A2652),1))</f>
        <v/>
      </c>
      <c r="M2652" s="52">
        <f>IF(OR(A2652="",NOT(ISNUMBER(I2652))),"",IF(G2652=Lists!$B$5,I2652/2,IF(G2652=Lists!$B$6,I2652,0)))</f>
        <v/>
      </c>
      <c r="N2652" s="52">
        <f>IF(OR(A2652="",NOT(ISNUMBER(I2652))),"",IF(G2652=Lists!$B$5,I2652/2,IF(G2652=Lists!$B$7,I2652,0)))</f>
        <v/>
      </c>
      <c r="O2652" s="53">
        <f>IF(COUNTA(A2652:K2652)=0,"",IF(OR(A2652="",B2652="",C2652="",D2652="",E2652="",F2652="",G2652="",NOT(ISNUMBER(I2652))),"Incomplete",IF(COUNTIF(Lists!$H$4:$AA$4,C2652)=0,"Check category",IF(COUNTIF(INDEX(Lists!$H$6:$AA$45,0,MATCH(C2652,Lists!$H$4:$AA$4,0)),D2652)=0,"Check sub-category","OK"))))</f>
        <v/>
      </c>
      <c r="P2652">
        <f>IF(ISNUMBER(I2652),I2652+ROW()/10000000,"")</f>
        <v/>
      </c>
      <c r="Q2652">
        <f>IF(AND(ISNUMBER(P2652),ISNUMBER(A2652)),IF(AND(A2652&gt;=Dashboard!$Q$3,A2652&lt;=Dashboard!$Q$4,OR(J2652&lt;&gt;"Yes",Dashboard!$Q$15="Yes")),P2652,""),"")</f>
        <v/>
      </c>
    </row>
    <row r="2653">
      <c r="A2653" s="47" t="n"/>
      <c r="B2653" s="48" t="n"/>
      <c r="C2653" s="48" t="n"/>
      <c r="D2653" s="48" t="n"/>
      <c r="E2653" s="48" t="n"/>
      <c r="F2653" s="48" t="n"/>
      <c r="G2653" s="48" t="n"/>
      <c r="H2653" s="48" t="n"/>
      <c r="I2653" s="49" t="n"/>
      <c r="J2653" s="50" t="n"/>
      <c r="K2653" s="48" t="n"/>
      <c r="L2653" s="51">
        <f>IF(A2653="","",DATE(YEAR(A2653),MONTH(A2653),1))</f>
        <v/>
      </c>
      <c r="M2653" s="52">
        <f>IF(OR(A2653="",NOT(ISNUMBER(I2653))),"",IF(G2653=Lists!$B$5,I2653/2,IF(G2653=Lists!$B$6,I2653,0)))</f>
        <v/>
      </c>
      <c r="N2653" s="52">
        <f>IF(OR(A2653="",NOT(ISNUMBER(I2653))),"",IF(G2653=Lists!$B$5,I2653/2,IF(G2653=Lists!$B$7,I2653,0)))</f>
        <v/>
      </c>
      <c r="O2653" s="53">
        <f>IF(COUNTA(A2653:K2653)=0,"",IF(OR(A2653="",B2653="",C2653="",D2653="",E2653="",F2653="",G2653="",NOT(ISNUMBER(I2653))),"Incomplete",IF(COUNTIF(Lists!$H$4:$AA$4,C2653)=0,"Check category",IF(COUNTIF(INDEX(Lists!$H$6:$AA$45,0,MATCH(C2653,Lists!$H$4:$AA$4,0)),D2653)=0,"Check sub-category","OK"))))</f>
        <v/>
      </c>
      <c r="P2653">
        <f>IF(ISNUMBER(I2653),I2653+ROW()/10000000,"")</f>
        <v/>
      </c>
      <c r="Q2653">
        <f>IF(AND(ISNUMBER(P2653),ISNUMBER(A2653)),IF(AND(A2653&gt;=Dashboard!$Q$3,A2653&lt;=Dashboard!$Q$4,OR(J2653&lt;&gt;"Yes",Dashboard!$Q$15="Yes")),P2653,""),"")</f>
        <v/>
      </c>
    </row>
    <row r="2654">
      <c r="A2654" s="47" t="n"/>
      <c r="B2654" s="48" t="n"/>
      <c r="C2654" s="48" t="n"/>
      <c r="D2654" s="48" t="n"/>
      <c r="E2654" s="48" t="n"/>
      <c r="F2654" s="48" t="n"/>
      <c r="G2654" s="48" t="n"/>
      <c r="H2654" s="48" t="n"/>
      <c r="I2654" s="49" t="n"/>
      <c r="J2654" s="50" t="n"/>
      <c r="K2654" s="48" t="n"/>
      <c r="L2654" s="51">
        <f>IF(A2654="","",DATE(YEAR(A2654),MONTH(A2654),1))</f>
        <v/>
      </c>
      <c r="M2654" s="52">
        <f>IF(OR(A2654="",NOT(ISNUMBER(I2654))),"",IF(G2654=Lists!$B$5,I2654/2,IF(G2654=Lists!$B$6,I2654,0)))</f>
        <v/>
      </c>
      <c r="N2654" s="52">
        <f>IF(OR(A2654="",NOT(ISNUMBER(I2654))),"",IF(G2654=Lists!$B$5,I2654/2,IF(G2654=Lists!$B$7,I2654,0)))</f>
        <v/>
      </c>
      <c r="O2654" s="53">
        <f>IF(COUNTA(A2654:K2654)=0,"",IF(OR(A2654="",B2654="",C2654="",D2654="",E2654="",F2654="",G2654="",NOT(ISNUMBER(I2654))),"Incomplete",IF(COUNTIF(Lists!$H$4:$AA$4,C2654)=0,"Check category",IF(COUNTIF(INDEX(Lists!$H$6:$AA$45,0,MATCH(C2654,Lists!$H$4:$AA$4,0)),D2654)=0,"Check sub-category","OK"))))</f>
        <v/>
      </c>
      <c r="P2654">
        <f>IF(ISNUMBER(I2654),I2654+ROW()/10000000,"")</f>
        <v/>
      </c>
      <c r="Q2654">
        <f>IF(AND(ISNUMBER(P2654),ISNUMBER(A2654)),IF(AND(A2654&gt;=Dashboard!$Q$3,A2654&lt;=Dashboard!$Q$4,OR(J2654&lt;&gt;"Yes",Dashboard!$Q$15="Yes")),P2654,""),"")</f>
        <v/>
      </c>
    </row>
    <row r="2655">
      <c r="A2655" s="47" t="n"/>
      <c r="B2655" s="48" t="n"/>
      <c r="C2655" s="48" t="n"/>
      <c r="D2655" s="48" t="n"/>
      <c r="E2655" s="48" t="n"/>
      <c r="F2655" s="48" t="n"/>
      <c r="G2655" s="48" t="n"/>
      <c r="H2655" s="48" t="n"/>
      <c r="I2655" s="49" t="n"/>
      <c r="J2655" s="50" t="n"/>
      <c r="K2655" s="48" t="n"/>
      <c r="L2655" s="51">
        <f>IF(A2655="","",DATE(YEAR(A2655),MONTH(A2655),1))</f>
        <v/>
      </c>
      <c r="M2655" s="52">
        <f>IF(OR(A2655="",NOT(ISNUMBER(I2655))),"",IF(G2655=Lists!$B$5,I2655/2,IF(G2655=Lists!$B$6,I2655,0)))</f>
        <v/>
      </c>
      <c r="N2655" s="52">
        <f>IF(OR(A2655="",NOT(ISNUMBER(I2655))),"",IF(G2655=Lists!$B$5,I2655/2,IF(G2655=Lists!$B$7,I2655,0)))</f>
        <v/>
      </c>
      <c r="O2655" s="53">
        <f>IF(COUNTA(A2655:K2655)=0,"",IF(OR(A2655="",B2655="",C2655="",D2655="",E2655="",F2655="",G2655="",NOT(ISNUMBER(I2655))),"Incomplete",IF(COUNTIF(Lists!$H$4:$AA$4,C2655)=0,"Check category",IF(COUNTIF(INDEX(Lists!$H$6:$AA$45,0,MATCH(C2655,Lists!$H$4:$AA$4,0)),D2655)=0,"Check sub-category","OK"))))</f>
        <v/>
      </c>
      <c r="P2655">
        <f>IF(ISNUMBER(I2655),I2655+ROW()/10000000,"")</f>
        <v/>
      </c>
      <c r="Q2655">
        <f>IF(AND(ISNUMBER(P2655),ISNUMBER(A2655)),IF(AND(A2655&gt;=Dashboard!$Q$3,A2655&lt;=Dashboard!$Q$4,OR(J2655&lt;&gt;"Yes",Dashboard!$Q$15="Yes")),P2655,""),"")</f>
        <v/>
      </c>
    </row>
    <row r="2656">
      <c r="A2656" s="47" t="n"/>
      <c r="B2656" s="48" t="n"/>
      <c r="C2656" s="48" t="n"/>
      <c r="D2656" s="48" t="n"/>
      <c r="E2656" s="48" t="n"/>
      <c r="F2656" s="48" t="n"/>
      <c r="G2656" s="48" t="n"/>
      <c r="H2656" s="48" t="n"/>
      <c r="I2656" s="49" t="n"/>
      <c r="J2656" s="50" t="n"/>
      <c r="K2656" s="48" t="n"/>
      <c r="L2656" s="51">
        <f>IF(A2656="","",DATE(YEAR(A2656),MONTH(A2656),1))</f>
        <v/>
      </c>
      <c r="M2656" s="52">
        <f>IF(OR(A2656="",NOT(ISNUMBER(I2656))),"",IF(G2656=Lists!$B$5,I2656/2,IF(G2656=Lists!$B$6,I2656,0)))</f>
        <v/>
      </c>
      <c r="N2656" s="52">
        <f>IF(OR(A2656="",NOT(ISNUMBER(I2656))),"",IF(G2656=Lists!$B$5,I2656/2,IF(G2656=Lists!$B$7,I2656,0)))</f>
        <v/>
      </c>
      <c r="O2656" s="53">
        <f>IF(COUNTA(A2656:K2656)=0,"",IF(OR(A2656="",B2656="",C2656="",D2656="",E2656="",F2656="",G2656="",NOT(ISNUMBER(I2656))),"Incomplete",IF(COUNTIF(Lists!$H$4:$AA$4,C2656)=0,"Check category",IF(COUNTIF(INDEX(Lists!$H$6:$AA$45,0,MATCH(C2656,Lists!$H$4:$AA$4,0)),D2656)=0,"Check sub-category","OK"))))</f>
        <v/>
      </c>
      <c r="P2656">
        <f>IF(ISNUMBER(I2656),I2656+ROW()/10000000,"")</f>
        <v/>
      </c>
      <c r="Q2656">
        <f>IF(AND(ISNUMBER(P2656),ISNUMBER(A2656)),IF(AND(A2656&gt;=Dashboard!$Q$3,A2656&lt;=Dashboard!$Q$4,OR(J2656&lt;&gt;"Yes",Dashboard!$Q$15="Yes")),P2656,""),"")</f>
        <v/>
      </c>
    </row>
    <row r="2657">
      <c r="A2657" s="47" t="n"/>
      <c r="B2657" s="48" t="n"/>
      <c r="C2657" s="48" t="n"/>
      <c r="D2657" s="48" t="n"/>
      <c r="E2657" s="48" t="n"/>
      <c r="F2657" s="48" t="n"/>
      <c r="G2657" s="48" t="n"/>
      <c r="H2657" s="48" t="n"/>
      <c r="I2657" s="49" t="n"/>
      <c r="J2657" s="50" t="n"/>
      <c r="K2657" s="48" t="n"/>
      <c r="L2657" s="51">
        <f>IF(A2657="","",DATE(YEAR(A2657),MONTH(A2657),1))</f>
        <v/>
      </c>
      <c r="M2657" s="52">
        <f>IF(OR(A2657="",NOT(ISNUMBER(I2657))),"",IF(G2657=Lists!$B$5,I2657/2,IF(G2657=Lists!$B$6,I2657,0)))</f>
        <v/>
      </c>
      <c r="N2657" s="52">
        <f>IF(OR(A2657="",NOT(ISNUMBER(I2657))),"",IF(G2657=Lists!$B$5,I2657/2,IF(G2657=Lists!$B$7,I2657,0)))</f>
        <v/>
      </c>
      <c r="O2657" s="53">
        <f>IF(COUNTA(A2657:K2657)=0,"",IF(OR(A2657="",B2657="",C2657="",D2657="",E2657="",F2657="",G2657="",NOT(ISNUMBER(I2657))),"Incomplete",IF(COUNTIF(Lists!$H$4:$AA$4,C2657)=0,"Check category",IF(COUNTIF(INDEX(Lists!$H$6:$AA$45,0,MATCH(C2657,Lists!$H$4:$AA$4,0)),D2657)=0,"Check sub-category","OK"))))</f>
        <v/>
      </c>
      <c r="P2657">
        <f>IF(ISNUMBER(I2657),I2657+ROW()/10000000,"")</f>
        <v/>
      </c>
      <c r="Q2657">
        <f>IF(AND(ISNUMBER(P2657),ISNUMBER(A2657)),IF(AND(A2657&gt;=Dashboard!$Q$3,A2657&lt;=Dashboard!$Q$4,OR(J2657&lt;&gt;"Yes",Dashboard!$Q$15="Yes")),P2657,""),"")</f>
        <v/>
      </c>
    </row>
    <row r="2658">
      <c r="A2658" s="47" t="n"/>
      <c r="B2658" s="48" t="n"/>
      <c r="C2658" s="48" t="n"/>
      <c r="D2658" s="48" t="n"/>
      <c r="E2658" s="48" t="n"/>
      <c r="F2658" s="48" t="n"/>
      <c r="G2658" s="48" t="n"/>
      <c r="H2658" s="48" t="n"/>
      <c r="I2658" s="49" t="n"/>
      <c r="J2658" s="50" t="n"/>
      <c r="K2658" s="48" t="n"/>
      <c r="L2658" s="51">
        <f>IF(A2658="","",DATE(YEAR(A2658),MONTH(A2658),1))</f>
        <v/>
      </c>
      <c r="M2658" s="52">
        <f>IF(OR(A2658="",NOT(ISNUMBER(I2658))),"",IF(G2658=Lists!$B$5,I2658/2,IF(G2658=Lists!$B$6,I2658,0)))</f>
        <v/>
      </c>
      <c r="N2658" s="52">
        <f>IF(OR(A2658="",NOT(ISNUMBER(I2658))),"",IF(G2658=Lists!$B$5,I2658/2,IF(G2658=Lists!$B$7,I2658,0)))</f>
        <v/>
      </c>
      <c r="O2658" s="53">
        <f>IF(COUNTA(A2658:K2658)=0,"",IF(OR(A2658="",B2658="",C2658="",D2658="",E2658="",F2658="",G2658="",NOT(ISNUMBER(I2658))),"Incomplete",IF(COUNTIF(Lists!$H$4:$AA$4,C2658)=0,"Check category",IF(COUNTIF(INDEX(Lists!$H$6:$AA$45,0,MATCH(C2658,Lists!$H$4:$AA$4,0)),D2658)=0,"Check sub-category","OK"))))</f>
        <v/>
      </c>
      <c r="P2658">
        <f>IF(ISNUMBER(I2658),I2658+ROW()/10000000,"")</f>
        <v/>
      </c>
      <c r="Q2658">
        <f>IF(AND(ISNUMBER(P2658),ISNUMBER(A2658)),IF(AND(A2658&gt;=Dashboard!$Q$3,A2658&lt;=Dashboard!$Q$4,OR(J2658&lt;&gt;"Yes",Dashboard!$Q$15="Yes")),P2658,""),"")</f>
        <v/>
      </c>
    </row>
    <row r="2659">
      <c r="A2659" s="47" t="n"/>
      <c r="B2659" s="48" t="n"/>
      <c r="C2659" s="48" t="n"/>
      <c r="D2659" s="48" t="n"/>
      <c r="E2659" s="48" t="n"/>
      <c r="F2659" s="48" t="n"/>
      <c r="G2659" s="48" t="n"/>
      <c r="H2659" s="48" t="n"/>
      <c r="I2659" s="49" t="n"/>
      <c r="J2659" s="50" t="n"/>
      <c r="K2659" s="48" t="n"/>
      <c r="L2659" s="51">
        <f>IF(A2659="","",DATE(YEAR(A2659),MONTH(A2659),1))</f>
        <v/>
      </c>
      <c r="M2659" s="52">
        <f>IF(OR(A2659="",NOT(ISNUMBER(I2659))),"",IF(G2659=Lists!$B$5,I2659/2,IF(G2659=Lists!$B$6,I2659,0)))</f>
        <v/>
      </c>
      <c r="N2659" s="52">
        <f>IF(OR(A2659="",NOT(ISNUMBER(I2659))),"",IF(G2659=Lists!$B$5,I2659/2,IF(G2659=Lists!$B$7,I2659,0)))</f>
        <v/>
      </c>
      <c r="O2659" s="53">
        <f>IF(COUNTA(A2659:K2659)=0,"",IF(OR(A2659="",B2659="",C2659="",D2659="",E2659="",F2659="",G2659="",NOT(ISNUMBER(I2659))),"Incomplete",IF(COUNTIF(Lists!$H$4:$AA$4,C2659)=0,"Check category",IF(COUNTIF(INDEX(Lists!$H$6:$AA$45,0,MATCH(C2659,Lists!$H$4:$AA$4,0)),D2659)=0,"Check sub-category","OK"))))</f>
        <v/>
      </c>
      <c r="P2659">
        <f>IF(ISNUMBER(I2659),I2659+ROW()/10000000,"")</f>
        <v/>
      </c>
      <c r="Q2659">
        <f>IF(AND(ISNUMBER(P2659),ISNUMBER(A2659)),IF(AND(A2659&gt;=Dashboard!$Q$3,A2659&lt;=Dashboard!$Q$4,OR(J2659&lt;&gt;"Yes",Dashboard!$Q$15="Yes")),P2659,""),"")</f>
        <v/>
      </c>
    </row>
    <row r="2660">
      <c r="A2660" s="47" t="n"/>
      <c r="B2660" s="48" t="n"/>
      <c r="C2660" s="48" t="n"/>
      <c r="D2660" s="48" t="n"/>
      <c r="E2660" s="48" t="n"/>
      <c r="F2660" s="48" t="n"/>
      <c r="G2660" s="48" t="n"/>
      <c r="H2660" s="48" t="n"/>
      <c r="I2660" s="49" t="n"/>
      <c r="J2660" s="50" t="n"/>
      <c r="K2660" s="48" t="n"/>
      <c r="L2660" s="51">
        <f>IF(A2660="","",DATE(YEAR(A2660),MONTH(A2660),1))</f>
        <v/>
      </c>
      <c r="M2660" s="52">
        <f>IF(OR(A2660="",NOT(ISNUMBER(I2660))),"",IF(G2660=Lists!$B$5,I2660/2,IF(G2660=Lists!$B$6,I2660,0)))</f>
        <v/>
      </c>
      <c r="N2660" s="52">
        <f>IF(OR(A2660="",NOT(ISNUMBER(I2660))),"",IF(G2660=Lists!$B$5,I2660/2,IF(G2660=Lists!$B$7,I2660,0)))</f>
        <v/>
      </c>
      <c r="O2660" s="53">
        <f>IF(COUNTA(A2660:K2660)=0,"",IF(OR(A2660="",B2660="",C2660="",D2660="",E2660="",F2660="",G2660="",NOT(ISNUMBER(I2660))),"Incomplete",IF(COUNTIF(Lists!$H$4:$AA$4,C2660)=0,"Check category",IF(COUNTIF(INDEX(Lists!$H$6:$AA$45,0,MATCH(C2660,Lists!$H$4:$AA$4,0)),D2660)=0,"Check sub-category","OK"))))</f>
        <v/>
      </c>
      <c r="P2660">
        <f>IF(ISNUMBER(I2660),I2660+ROW()/10000000,"")</f>
        <v/>
      </c>
      <c r="Q2660">
        <f>IF(AND(ISNUMBER(P2660),ISNUMBER(A2660)),IF(AND(A2660&gt;=Dashboard!$Q$3,A2660&lt;=Dashboard!$Q$4,OR(J2660&lt;&gt;"Yes",Dashboard!$Q$15="Yes")),P2660,""),"")</f>
        <v/>
      </c>
    </row>
    <row r="2661">
      <c r="A2661" s="47" t="n"/>
      <c r="B2661" s="48" t="n"/>
      <c r="C2661" s="48" t="n"/>
      <c r="D2661" s="48" t="n"/>
      <c r="E2661" s="48" t="n"/>
      <c r="F2661" s="48" t="n"/>
      <c r="G2661" s="48" t="n"/>
      <c r="H2661" s="48" t="n"/>
      <c r="I2661" s="49" t="n"/>
      <c r="J2661" s="50" t="n"/>
      <c r="K2661" s="48" t="n"/>
      <c r="L2661" s="51">
        <f>IF(A2661="","",DATE(YEAR(A2661),MONTH(A2661),1))</f>
        <v/>
      </c>
      <c r="M2661" s="52">
        <f>IF(OR(A2661="",NOT(ISNUMBER(I2661))),"",IF(G2661=Lists!$B$5,I2661/2,IF(G2661=Lists!$B$6,I2661,0)))</f>
        <v/>
      </c>
      <c r="N2661" s="52">
        <f>IF(OR(A2661="",NOT(ISNUMBER(I2661))),"",IF(G2661=Lists!$B$5,I2661/2,IF(G2661=Lists!$B$7,I2661,0)))</f>
        <v/>
      </c>
      <c r="O2661" s="53">
        <f>IF(COUNTA(A2661:K2661)=0,"",IF(OR(A2661="",B2661="",C2661="",D2661="",E2661="",F2661="",G2661="",NOT(ISNUMBER(I2661))),"Incomplete",IF(COUNTIF(Lists!$H$4:$AA$4,C2661)=0,"Check category",IF(COUNTIF(INDEX(Lists!$H$6:$AA$45,0,MATCH(C2661,Lists!$H$4:$AA$4,0)),D2661)=0,"Check sub-category","OK"))))</f>
        <v/>
      </c>
      <c r="P2661">
        <f>IF(ISNUMBER(I2661),I2661+ROW()/10000000,"")</f>
        <v/>
      </c>
      <c r="Q2661">
        <f>IF(AND(ISNUMBER(P2661),ISNUMBER(A2661)),IF(AND(A2661&gt;=Dashboard!$Q$3,A2661&lt;=Dashboard!$Q$4,OR(J2661&lt;&gt;"Yes",Dashboard!$Q$15="Yes")),P2661,""),"")</f>
        <v/>
      </c>
    </row>
    <row r="2662">
      <c r="A2662" s="47" t="n"/>
      <c r="B2662" s="48" t="n"/>
      <c r="C2662" s="48" t="n"/>
      <c r="D2662" s="48" t="n"/>
      <c r="E2662" s="48" t="n"/>
      <c r="F2662" s="48" t="n"/>
      <c r="G2662" s="48" t="n"/>
      <c r="H2662" s="48" t="n"/>
      <c r="I2662" s="49" t="n"/>
      <c r="J2662" s="50" t="n"/>
      <c r="K2662" s="48" t="n"/>
      <c r="L2662" s="51">
        <f>IF(A2662="","",DATE(YEAR(A2662),MONTH(A2662),1))</f>
        <v/>
      </c>
      <c r="M2662" s="52">
        <f>IF(OR(A2662="",NOT(ISNUMBER(I2662))),"",IF(G2662=Lists!$B$5,I2662/2,IF(G2662=Lists!$B$6,I2662,0)))</f>
        <v/>
      </c>
      <c r="N2662" s="52">
        <f>IF(OR(A2662="",NOT(ISNUMBER(I2662))),"",IF(G2662=Lists!$B$5,I2662/2,IF(G2662=Lists!$B$7,I2662,0)))</f>
        <v/>
      </c>
      <c r="O2662" s="53">
        <f>IF(COUNTA(A2662:K2662)=0,"",IF(OR(A2662="",B2662="",C2662="",D2662="",E2662="",F2662="",G2662="",NOT(ISNUMBER(I2662))),"Incomplete",IF(COUNTIF(Lists!$H$4:$AA$4,C2662)=0,"Check category",IF(COUNTIF(INDEX(Lists!$H$6:$AA$45,0,MATCH(C2662,Lists!$H$4:$AA$4,0)),D2662)=0,"Check sub-category","OK"))))</f>
        <v/>
      </c>
      <c r="P2662">
        <f>IF(ISNUMBER(I2662),I2662+ROW()/10000000,"")</f>
        <v/>
      </c>
      <c r="Q2662">
        <f>IF(AND(ISNUMBER(P2662),ISNUMBER(A2662)),IF(AND(A2662&gt;=Dashboard!$Q$3,A2662&lt;=Dashboard!$Q$4,OR(J2662&lt;&gt;"Yes",Dashboard!$Q$15="Yes")),P2662,""),"")</f>
        <v/>
      </c>
    </row>
    <row r="2663">
      <c r="A2663" s="47" t="n"/>
      <c r="B2663" s="48" t="n"/>
      <c r="C2663" s="48" t="n"/>
      <c r="D2663" s="48" t="n"/>
      <c r="E2663" s="48" t="n"/>
      <c r="F2663" s="48" t="n"/>
      <c r="G2663" s="48" t="n"/>
      <c r="H2663" s="48" t="n"/>
      <c r="I2663" s="49" t="n"/>
      <c r="J2663" s="50" t="n"/>
      <c r="K2663" s="48" t="n"/>
      <c r="L2663" s="51">
        <f>IF(A2663="","",DATE(YEAR(A2663),MONTH(A2663),1))</f>
        <v/>
      </c>
      <c r="M2663" s="52">
        <f>IF(OR(A2663="",NOT(ISNUMBER(I2663))),"",IF(G2663=Lists!$B$5,I2663/2,IF(G2663=Lists!$B$6,I2663,0)))</f>
        <v/>
      </c>
      <c r="N2663" s="52">
        <f>IF(OR(A2663="",NOT(ISNUMBER(I2663))),"",IF(G2663=Lists!$B$5,I2663/2,IF(G2663=Lists!$B$7,I2663,0)))</f>
        <v/>
      </c>
      <c r="O2663" s="53">
        <f>IF(COUNTA(A2663:K2663)=0,"",IF(OR(A2663="",B2663="",C2663="",D2663="",E2663="",F2663="",G2663="",NOT(ISNUMBER(I2663))),"Incomplete",IF(COUNTIF(Lists!$H$4:$AA$4,C2663)=0,"Check category",IF(COUNTIF(INDEX(Lists!$H$6:$AA$45,0,MATCH(C2663,Lists!$H$4:$AA$4,0)),D2663)=0,"Check sub-category","OK"))))</f>
        <v/>
      </c>
      <c r="P2663">
        <f>IF(ISNUMBER(I2663),I2663+ROW()/10000000,"")</f>
        <v/>
      </c>
      <c r="Q2663">
        <f>IF(AND(ISNUMBER(P2663),ISNUMBER(A2663)),IF(AND(A2663&gt;=Dashboard!$Q$3,A2663&lt;=Dashboard!$Q$4,OR(J2663&lt;&gt;"Yes",Dashboard!$Q$15="Yes")),P2663,""),"")</f>
        <v/>
      </c>
    </row>
    <row r="2664">
      <c r="A2664" s="47" t="n"/>
      <c r="B2664" s="48" t="n"/>
      <c r="C2664" s="48" t="n"/>
      <c r="D2664" s="48" t="n"/>
      <c r="E2664" s="48" t="n"/>
      <c r="F2664" s="48" t="n"/>
      <c r="G2664" s="48" t="n"/>
      <c r="H2664" s="48" t="n"/>
      <c r="I2664" s="49" t="n"/>
      <c r="J2664" s="50" t="n"/>
      <c r="K2664" s="48" t="n"/>
      <c r="L2664" s="51">
        <f>IF(A2664="","",DATE(YEAR(A2664),MONTH(A2664),1))</f>
        <v/>
      </c>
      <c r="M2664" s="52">
        <f>IF(OR(A2664="",NOT(ISNUMBER(I2664))),"",IF(G2664=Lists!$B$5,I2664/2,IF(G2664=Lists!$B$6,I2664,0)))</f>
        <v/>
      </c>
      <c r="N2664" s="52">
        <f>IF(OR(A2664="",NOT(ISNUMBER(I2664))),"",IF(G2664=Lists!$B$5,I2664/2,IF(G2664=Lists!$B$7,I2664,0)))</f>
        <v/>
      </c>
      <c r="O2664" s="53">
        <f>IF(COUNTA(A2664:K2664)=0,"",IF(OR(A2664="",B2664="",C2664="",D2664="",E2664="",F2664="",G2664="",NOT(ISNUMBER(I2664))),"Incomplete",IF(COUNTIF(Lists!$H$4:$AA$4,C2664)=0,"Check category",IF(COUNTIF(INDEX(Lists!$H$6:$AA$45,0,MATCH(C2664,Lists!$H$4:$AA$4,0)),D2664)=0,"Check sub-category","OK"))))</f>
        <v/>
      </c>
      <c r="P2664">
        <f>IF(ISNUMBER(I2664),I2664+ROW()/10000000,"")</f>
        <v/>
      </c>
      <c r="Q2664">
        <f>IF(AND(ISNUMBER(P2664),ISNUMBER(A2664)),IF(AND(A2664&gt;=Dashboard!$Q$3,A2664&lt;=Dashboard!$Q$4,OR(J2664&lt;&gt;"Yes",Dashboard!$Q$15="Yes")),P2664,""),"")</f>
        <v/>
      </c>
    </row>
    <row r="2665">
      <c r="A2665" s="47" t="n"/>
      <c r="B2665" s="48" t="n"/>
      <c r="C2665" s="48" t="n"/>
      <c r="D2665" s="48" t="n"/>
      <c r="E2665" s="48" t="n"/>
      <c r="F2665" s="48" t="n"/>
      <c r="G2665" s="48" t="n"/>
      <c r="H2665" s="48" t="n"/>
      <c r="I2665" s="49" t="n"/>
      <c r="J2665" s="50" t="n"/>
      <c r="K2665" s="48" t="n"/>
      <c r="L2665" s="51">
        <f>IF(A2665="","",DATE(YEAR(A2665),MONTH(A2665),1))</f>
        <v/>
      </c>
      <c r="M2665" s="52">
        <f>IF(OR(A2665="",NOT(ISNUMBER(I2665))),"",IF(G2665=Lists!$B$5,I2665/2,IF(G2665=Lists!$B$6,I2665,0)))</f>
        <v/>
      </c>
      <c r="N2665" s="52">
        <f>IF(OR(A2665="",NOT(ISNUMBER(I2665))),"",IF(G2665=Lists!$B$5,I2665/2,IF(G2665=Lists!$B$7,I2665,0)))</f>
        <v/>
      </c>
      <c r="O2665" s="53">
        <f>IF(COUNTA(A2665:K2665)=0,"",IF(OR(A2665="",B2665="",C2665="",D2665="",E2665="",F2665="",G2665="",NOT(ISNUMBER(I2665))),"Incomplete",IF(COUNTIF(Lists!$H$4:$AA$4,C2665)=0,"Check category",IF(COUNTIF(INDEX(Lists!$H$6:$AA$45,0,MATCH(C2665,Lists!$H$4:$AA$4,0)),D2665)=0,"Check sub-category","OK"))))</f>
        <v/>
      </c>
      <c r="P2665">
        <f>IF(ISNUMBER(I2665),I2665+ROW()/10000000,"")</f>
        <v/>
      </c>
      <c r="Q2665">
        <f>IF(AND(ISNUMBER(P2665),ISNUMBER(A2665)),IF(AND(A2665&gt;=Dashboard!$Q$3,A2665&lt;=Dashboard!$Q$4,OR(J2665&lt;&gt;"Yes",Dashboard!$Q$15="Yes")),P2665,""),"")</f>
        <v/>
      </c>
    </row>
    <row r="2666">
      <c r="A2666" s="47" t="n"/>
      <c r="B2666" s="48" t="n"/>
      <c r="C2666" s="48" t="n"/>
      <c r="D2666" s="48" t="n"/>
      <c r="E2666" s="48" t="n"/>
      <c r="F2666" s="48" t="n"/>
      <c r="G2666" s="48" t="n"/>
      <c r="H2666" s="48" t="n"/>
      <c r="I2666" s="49" t="n"/>
      <c r="J2666" s="50" t="n"/>
      <c r="K2666" s="48" t="n"/>
      <c r="L2666" s="51">
        <f>IF(A2666="","",DATE(YEAR(A2666),MONTH(A2666),1))</f>
        <v/>
      </c>
      <c r="M2666" s="52">
        <f>IF(OR(A2666="",NOT(ISNUMBER(I2666))),"",IF(G2666=Lists!$B$5,I2666/2,IF(G2666=Lists!$B$6,I2666,0)))</f>
        <v/>
      </c>
      <c r="N2666" s="52">
        <f>IF(OR(A2666="",NOT(ISNUMBER(I2666))),"",IF(G2666=Lists!$B$5,I2666/2,IF(G2666=Lists!$B$7,I2666,0)))</f>
        <v/>
      </c>
      <c r="O2666" s="53">
        <f>IF(COUNTA(A2666:K2666)=0,"",IF(OR(A2666="",B2666="",C2666="",D2666="",E2666="",F2666="",G2666="",NOT(ISNUMBER(I2666))),"Incomplete",IF(COUNTIF(Lists!$H$4:$AA$4,C2666)=0,"Check category",IF(COUNTIF(INDEX(Lists!$H$6:$AA$45,0,MATCH(C2666,Lists!$H$4:$AA$4,0)),D2666)=0,"Check sub-category","OK"))))</f>
        <v/>
      </c>
      <c r="P2666">
        <f>IF(ISNUMBER(I2666),I2666+ROW()/10000000,"")</f>
        <v/>
      </c>
      <c r="Q2666">
        <f>IF(AND(ISNUMBER(P2666),ISNUMBER(A2666)),IF(AND(A2666&gt;=Dashboard!$Q$3,A2666&lt;=Dashboard!$Q$4,OR(J2666&lt;&gt;"Yes",Dashboard!$Q$15="Yes")),P2666,""),"")</f>
        <v/>
      </c>
    </row>
    <row r="2667">
      <c r="A2667" s="47" t="n"/>
      <c r="B2667" s="48" t="n"/>
      <c r="C2667" s="48" t="n"/>
      <c r="D2667" s="48" t="n"/>
      <c r="E2667" s="48" t="n"/>
      <c r="F2667" s="48" t="n"/>
      <c r="G2667" s="48" t="n"/>
      <c r="H2667" s="48" t="n"/>
      <c r="I2667" s="49" t="n"/>
      <c r="J2667" s="50" t="n"/>
      <c r="K2667" s="48" t="n"/>
      <c r="L2667" s="51">
        <f>IF(A2667="","",DATE(YEAR(A2667),MONTH(A2667),1))</f>
        <v/>
      </c>
      <c r="M2667" s="52">
        <f>IF(OR(A2667="",NOT(ISNUMBER(I2667))),"",IF(G2667=Lists!$B$5,I2667/2,IF(G2667=Lists!$B$6,I2667,0)))</f>
        <v/>
      </c>
      <c r="N2667" s="52">
        <f>IF(OR(A2667="",NOT(ISNUMBER(I2667))),"",IF(G2667=Lists!$B$5,I2667/2,IF(G2667=Lists!$B$7,I2667,0)))</f>
        <v/>
      </c>
      <c r="O2667" s="53">
        <f>IF(COUNTA(A2667:K2667)=0,"",IF(OR(A2667="",B2667="",C2667="",D2667="",E2667="",F2667="",G2667="",NOT(ISNUMBER(I2667))),"Incomplete",IF(COUNTIF(Lists!$H$4:$AA$4,C2667)=0,"Check category",IF(COUNTIF(INDEX(Lists!$H$6:$AA$45,0,MATCH(C2667,Lists!$H$4:$AA$4,0)),D2667)=0,"Check sub-category","OK"))))</f>
        <v/>
      </c>
      <c r="P2667">
        <f>IF(ISNUMBER(I2667),I2667+ROW()/10000000,"")</f>
        <v/>
      </c>
      <c r="Q2667">
        <f>IF(AND(ISNUMBER(P2667),ISNUMBER(A2667)),IF(AND(A2667&gt;=Dashboard!$Q$3,A2667&lt;=Dashboard!$Q$4,OR(J2667&lt;&gt;"Yes",Dashboard!$Q$15="Yes")),P2667,""),"")</f>
        <v/>
      </c>
    </row>
    <row r="2668">
      <c r="A2668" s="47" t="n"/>
      <c r="B2668" s="48" t="n"/>
      <c r="C2668" s="48" t="n"/>
      <c r="D2668" s="48" t="n"/>
      <c r="E2668" s="48" t="n"/>
      <c r="F2668" s="48" t="n"/>
      <c r="G2668" s="48" t="n"/>
      <c r="H2668" s="48" t="n"/>
      <c r="I2668" s="49" t="n"/>
      <c r="J2668" s="50" t="n"/>
      <c r="K2668" s="48" t="n"/>
      <c r="L2668" s="51">
        <f>IF(A2668="","",DATE(YEAR(A2668),MONTH(A2668),1))</f>
        <v/>
      </c>
      <c r="M2668" s="52">
        <f>IF(OR(A2668="",NOT(ISNUMBER(I2668))),"",IF(G2668=Lists!$B$5,I2668/2,IF(G2668=Lists!$B$6,I2668,0)))</f>
        <v/>
      </c>
      <c r="N2668" s="52">
        <f>IF(OR(A2668="",NOT(ISNUMBER(I2668))),"",IF(G2668=Lists!$B$5,I2668/2,IF(G2668=Lists!$B$7,I2668,0)))</f>
        <v/>
      </c>
      <c r="O2668" s="53">
        <f>IF(COUNTA(A2668:K2668)=0,"",IF(OR(A2668="",B2668="",C2668="",D2668="",E2668="",F2668="",G2668="",NOT(ISNUMBER(I2668))),"Incomplete",IF(COUNTIF(Lists!$H$4:$AA$4,C2668)=0,"Check category",IF(COUNTIF(INDEX(Lists!$H$6:$AA$45,0,MATCH(C2668,Lists!$H$4:$AA$4,0)),D2668)=0,"Check sub-category","OK"))))</f>
        <v/>
      </c>
      <c r="P2668">
        <f>IF(ISNUMBER(I2668),I2668+ROW()/10000000,"")</f>
        <v/>
      </c>
      <c r="Q2668">
        <f>IF(AND(ISNUMBER(P2668),ISNUMBER(A2668)),IF(AND(A2668&gt;=Dashboard!$Q$3,A2668&lt;=Dashboard!$Q$4,OR(J2668&lt;&gt;"Yes",Dashboard!$Q$15="Yes")),P2668,""),"")</f>
        <v/>
      </c>
    </row>
    <row r="2669">
      <c r="A2669" s="47" t="n"/>
      <c r="B2669" s="48" t="n"/>
      <c r="C2669" s="48" t="n"/>
      <c r="D2669" s="48" t="n"/>
      <c r="E2669" s="48" t="n"/>
      <c r="F2669" s="48" t="n"/>
      <c r="G2669" s="48" t="n"/>
      <c r="H2669" s="48" t="n"/>
      <c r="I2669" s="49" t="n"/>
      <c r="J2669" s="50" t="n"/>
      <c r="K2669" s="48" t="n"/>
      <c r="L2669" s="51">
        <f>IF(A2669="","",DATE(YEAR(A2669),MONTH(A2669),1))</f>
        <v/>
      </c>
      <c r="M2669" s="52">
        <f>IF(OR(A2669="",NOT(ISNUMBER(I2669))),"",IF(G2669=Lists!$B$5,I2669/2,IF(G2669=Lists!$B$6,I2669,0)))</f>
        <v/>
      </c>
      <c r="N2669" s="52">
        <f>IF(OR(A2669="",NOT(ISNUMBER(I2669))),"",IF(G2669=Lists!$B$5,I2669/2,IF(G2669=Lists!$B$7,I2669,0)))</f>
        <v/>
      </c>
      <c r="O2669" s="53">
        <f>IF(COUNTA(A2669:K2669)=0,"",IF(OR(A2669="",B2669="",C2669="",D2669="",E2669="",F2669="",G2669="",NOT(ISNUMBER(I2669))),"Incomplete",IF(COUNTIF(Lists!$H$4:$AA$4,C2669)=0,"Check category",IF(COUNTIF(INDEX(Lists!$H$6:$AA$45,0,MATCH(C2669,Lists!$H$4:$AA$4,0)),D2669)=0,"Check sub-category","OK"))))</f>
        <v/>
      </c>
      <c r="P2669">
        <f>IF(ISNUMBER(I2669),I2669+ROW()/10000000,"")</f>
        <v/>
      </c>
      <c r="Q2669">
        <f>IF(AND(ISNUMBER(P2669),ISNUMBER(A2669)),IF(AND(A2669&gt;=Dashboard!$Q$3,A2669&lt;=Dashboard!$Q$4,OR(J2669&lt;&gt;"Yes",Dashboard!$Q$15="Yes")),P2669,""),"")</f>
        <v/>
      </c>
    </row>
    <row r="2670">
      <c r="A2670" s="47" t="n"/>
      <c r="B2670" s="48" t="n"/>
      <c r="C2670" s="48" t="n"/>
      <c r="D2670" s="48" t="n"/>
      <c r="E2670" s="48" t="n"/>
      <c r="F2670" s="48" t="n"/>
      <c r="G2670" s="48" t="n"/>
      <c r="H2670" s="48" t="n"/>
      <c r="I2670" s="49" t="n"/>
      <c r="J2670" s="50" t="n"/>
      <c r="K2670" s="48" t="n"/>
      <c r="L2670" s="51">
        <f>IF(A2670="","",DATE(YEAR(A2670),MONTH(A2670),1))</f>
        <v/>
      </c>
      <c r="M2670" s="52">
        <f>IF(OR(A2670="",NOT(ISNUMBER(I2670))),"",IF(G2670=Lists!$B$5,I2670/2,IF(G2670=Lists!$B$6,I2670,0)))</f>
        <v/>
      </c>
      <c r="N2670" s="52">
        <f>IF(OR(A2670="",NOT(ISNUMBER(I2670))),"",IF(G2670=Lists!$B$5,I2670/2,IF(G2670=Lists!$B$7,I2670,0)))</f>
        <v/>
      </c>
      <c r="O2670" s="53">
        <f>IF(COUNTA(A2670:K2670)=0,"",IF(OR(A2670="",B2670="",C2670="",D2670="",E2670="",F2670="",G2670="",NOT(ISNUMBER(I2670))),"Incomplete",IF(COUNTIF(Lists!$H$4:$AA$4,C2670)=0,"Check category",IF(COUNTIF(INDEX(Lists!$H$6:$AA$45,0,MATCH(C2670,Lists!$H$4:$AA$4,0)),D2670)=0,"Check sub-category","OK"))))</f>
        <v/>
      </c>
      <c r="P2670">
        <f>IF(ISNUMBER(I2670),I2670+ROW()/10000000,"")</f>
        <v/>
      </c>
      <c r="Q2670">
        <f>IF(AND(ISNUMBER(P2670),ISNUMBER(A2670)),IF(AND(A2670&gt;=Dashboard!$Q$3,A2670&lt;=Dashboard!$Q$4,OR(J2670&lt;&gt;"Yes",Dashboard!$Q$15="Yes")),P2670,""),"")</f>
        <v/>
      </c>
    </row>
    <row r="2671">
      <c r="A2671" s="47" t="n"/>
      <c r="B2671" s="48" t="n"/>
      <c r="C2671" s="48" t="n"/>
      <c r="D2671" s="48" t="n"/>
      <c r="E2671" s="48" t="n"/>
      <c r="F2671" s="48" t="n"/>
      <c r="G2671" s="48" t="n"/>
      <c r="H2671" s="48" t="n"/>
      <c r="I2671" s="49" t="n"/>
      <c r="J2671" s="50" t="n"/>
      <c r="K2671" s="48" t="n"/>
      <c r="L2671" s="51">
        <f>IF(A2671="","",DATE(YEAR(A2671),MONTH(A2671),1))</f>
        <v/>
      </c>
      <c r="M2671" s="52">
        <f>IF(OR(A2671="",NOT(ISNUMBER(I2671))),"",IF(G2671=Lists!$B$5,I2671/2,IF(G2671=Lists!$B$6,I2671,0)))</f>
        <v/>
      </c>
      <c r="N2671" s="52">
        <f>IF(OR(A2671="",NOT(ISNUMBER(I2671))),"",IF(G2671=Lists!$B$5,I2671/2,IF(G2671=Lists!$B$7,I2671,0)))</f>
        <v/>
      </c>
      <c r="O2671" s="53">
        <f>IF(COUNTA(A2671:K2671)=0,"",IF(OR(A2671="",B2671="",C2671="",D2671="",E2671="",F2671="",G2671="",NOT(ISNUMBER(I2671))),"Incomplete",IF(COUNTIF(Lists!$H$4:$AA$4,C2671)=0,"Check category",IF(COUNTIF(INDEX(Lists!$H$6:$AA$45,0,MATCH(C2671,Lists!$H$4:$AA$4,0)),D2671)=0,"Check sub-category","OK"))))</f>
        <v/>
      </c>
      <c r="P2671">
        <f>IF(ISNUMBER(I2671),I2671+ROW()/10000000,"")</f>
        <v/>
      </c>
      <c r="Q2671">
        <f>IF(AND(ISNUMBER(P2671),ISNUMBER(A2671)),IF(AND(A2671&gt;=Dashboard!$Q$3,A2671&lt;=Dashboard!$Q$4,OR(J2671&lt;&gt;"Yes",Dashboard!$Q$15="Yes")),P2671,""),"")</f>
        <v/>
      </c>
    </row>
    <row r="2672">
      <c r="A2672" s="47" t="n"/>
      <c r="B2672" s="48" t="n"/>
      <c r="C2672" s="48" t="n"/>
      <c r="D2672" s="48" t="n"/>
      <c r="E2672" s="48" t="n"/>
      <c r="F2672" s="48" t="n"/>
      <c r="G2672" s="48" t="n"/>
      <c r="H2672" s="48" t="n"/>
      <c r="I2672" s="49" t="n"/>
      <c r="J2672" s="50" t="n"/>
      <c r="K2672" s="48" t="n"/>
      <c r="L2672" s="51">
        <f>IF(A2672="","",DATE(YEAR(A2672),MONTH(A2672),1))</f>
        <v/>
      </c>
      <c r="M2672" s="52">
        <f>IF(OR(A2672="",NOT(ISNUMBER(I2672))),"",IF(G2672=Lists!$B$5,I2672/2,IF(G2672=Lists!$B$6,I2672,0)))</f>
        <v/>
      </c>
      <c r="N2672" s="52">
        <f>IF(OR(A2672="",NOT(ISNUMBER(I2672))),"",IF(G2672=Lists!$B$5,I2672/2,IF(G2672=Lists!$B$7,I2672,0)))</f>
        <v/>
      </c>
      <c r="O2672" s="53">
        <f>IF(COUNTA(A2672:K2672)=0,"",IF(OR(A2672="",B2672="",C2672="",D2672="",E2672="",F2672="",G2672="",NOT(ISNUMBER(I2672))),"Incomplete",IF(COUNTIF(Lists!$H$4:$AA$4,C2672)=0,"Check category",IF(COUNTIF(INDEX(Lists!$H$6:$AA$45,0,MATCH(C2672,Lists!$H$4:$AA$4,0)),D2672)=0,"Check sub-category","OK"))))</f>
        <v/>
      </c>
      <c r="P2672">
        <f>IF(ISNUMBER(I2672),I2672+ROW()/10000000,"")</f>
        <v/>
      </c>
      <c r="Q2672">
        <f>IF(AND(ISNUMBER(P2672),ISNUMBER(A2672)),IF(AND(A2672&gt;=Dashboard!$Q$3,A2672&lt;=Dashboard!$Q$4,OR(J2672&lt;&gt;"Yes",Dashboard!$Q$15="Yes")),P2672,""),"")</f>
        <v/>
      </c>
    </row>
    <row r="2673">
      <c r="A2673" s="47" t="n"/>
      <c r="B2673" s="48" t="n"/>
      <c r="C2673" s="48" t="n"/>
      <c r="D2673" s="48" t="n"/>
      <c r="E2673" s="48" t="n"/>
      <c r="F2673" s="48" t="n"/>
      <c r="G2673" s="48" t="n"/>
      <c r="H2673" s="48" t="n"/>
      <c r="I2673" s="49" t="n"/>
      <c r="J2673" s="50" t="n"/>
      <c r="K2673" s="48" t="n"/>
      <c r="L2673" s="51">
        <f>IF(A2673="","",DATE(YEAR(A2673),MONTH(A2673),1))</f>
        <v/>
      </c>
      <c r="M2673" s="52">
        <f>IF(OR(A2673="",NOT(ISNUMBER(I2673))),"",IF(G2673=Lists!$B$5,I2673/2,IF(G2673=Lists!$B$6,I2673,0)))</f>
        <v/>
      </c>
      <c r="N2673" s="52">
        <f>IF(OR(A2673="",NOT(ISNUMBER(I2673))),"",IF(G2673=Lists!$B$5,I2673/2,IF(G2673=Lists!$B$7,I2673,0)))</f>
        <v/>
      </c>
      <c r="O2673" s="53">
        <f>IF(COUNTA(A2673:K2673)=0,"",IF(OR(A2673="",B2673="",C2673="",D2673="",E2673="",F2673="",G2673="",NOT(ISNUMBER(I2673))),"Incomplete",IF(COUNTIF(Lists!$H$4:$AA$4,C2673)=0,"Check category",IF(COUNTIF(INDEX(Lists!$H$6:$AA$45,0,MATCH(C2673,Lists!$H$4:$AA$4,0)),D2673)=0,"Check sub-category","OK"))))</f>
        <v/>
      </c>
      <c r="P2673">
        <f>IF(ISNUMBER(I2673),I2673+ROW()/10000000,"")</f>
        <v/>
      </c>
      <c r="Q2673">
        <f>IF(AND(ISNUMBER(P2673),ISNUMBER(A2673)),IF(AND(A2673&gt;=Dashboard!$Q$3,A2673&lt;=Dashboard!$Q$4,OR(J2673&lt;&gt;"Yes",Dashboard!$Q$15="Yes")),P2673,""),"")</f>
        <v/>
      </c>
    </row>
    <row r="2674">
      <c r="A2674" s="47" t="n"/>
      <c r="B2674" s="48" t="n"/>
      <c r="C2674" s="48" t="n"/>
      <c r="D2674" s="48" t="n"/>
      <c r="E2674" s="48" t="n"/>
      <c r="F2674" s="48" t="n"/>
      <c r="G2674" s="48" t="n"/>
      <c r="H2674" s="48" t="n"/>
      <c r="I2674" s="49" t="n"/>
      <c r="J2674" s="50" t="n"/>
      <c r="K2674" s="48" t="n"/>
      <c r="L2674" s="51">
        <f>IF(A2674="","",DATE(YEAR(A2674),MONTH(A2674),1))</f>
        <v/>
      </c>
      <c r="M2674" s="52">
        <f>IF(OR(A2674="",NOT(ISNUMBER(I2674))),"",IF(G2674=Lists!$B$5,I2674/2,IF(G2674=Lists!$B$6,I2674,0)))</f>
        <v/>
      </c>
      <c r="N2674" s="52">
        <f>IF(OR(A2674="",NOT(ISNUMBER(I2674))),"",IF(G2674=Lists!$B$5,I2674/2,IF(G2674=Lists!$B$7,I2674,0)))</f>
        <v/>
      </c>
      <c r="O2674" s="53">
        <f>IF(COUNTA(A2674:K2674)=0,"",IF(OR(A2674="",B2674="",C2674="",D2674="",E2674="",F2674="",G2674="",NOT(ISNUMBER(I2674))),"Incomplete",IF(COUNTIF(Lists!$H$4:$AA$4,C2674)=0,"Check category",IF(COUNTIF(INDEX(Lists!$H$6:$AA$45,0,MATCH(C2674,Lists!$H$4:$AA$4,0)),D2674)=0,"Check sub-category","OK"))))</f>
        <v/>
      </c>
      <c r="P2674">
        <f>IF(ISNUMBER(I2674),I2674+ROW()/10000000,"")</f>
        <v/>
      </c>
      <c r="Q2674">
        <f>IF(AND(ISNUMBER(P2674),ISNUMBER(A2674)),IF(AND(A2674&gt;=Dashboard!$Q$3,A2674&lt;=Dashboard!$Q$4,OR(J2674&lt;&gt;"Yes",Dashboard!$Q$15="Yes")),P2674,""),"")</f>
        <v/>
      </c>
    </row>
    <row r="2675">
      <c r="A2675" s="47" t="n"/>
      <c r="B2675" s="48" t="n"/>
      <c r="C2675" s="48" t="n"/>
      <c r="D2675" s="48" t="n"/>
      <c r="E2675" s="48" t="n"/>
      <c r="F2675" s="48" t="n"/>
      <c r="G2675" s="48" t="n"/>
      <c r="H2675" s="48" t="n"/>
      <c r="I2675" s="49" t="n"/>
      <c r="J2675" s="50" t="n"/>
      <c r="K2675" s="48" t="n"/>
      <c r="L2675" s="51">
        <f>IF(A2675="","",DATE(YEAR(A2675),MONTH(A2675),1))</f>
        <v/>
      </c>
      <c r="M2675" s="52">
        <f>IF(OR(A2675="",NOT(ISNUMBER(I2675))),"",IF(G2675=Lists!$B$5,I2675/2,IF(G2675=Lists!$B$6,I2675,0)))</f>
        <v/>
      </c>
      <c r="N2675" s="52">
        <f>IF(OR(A2675="",NOT(ISNUMBER(I2675))),"",IF(G2675=Lists!$B$5,I2675/2,IF(G2675=Lists!$B$7,I2675,0)))</f>
        <v/>
      </c>
      <c r="O2675" s="53">
        <f>IF(COUNTA(A2675:K2675)=0,"",IF(OR(A2675="",B2675="",C2675="",D2675="",E2675="",F2675="",G2675="",NOT(ISNUMBER(I2675))),"Incomplete",IF(COUNTIF(Lists!$H$4:$AA$4,C2675)=0,"Check category",IF(COUNTIF(INDEX(Lists!$H$6:$AA$45,0,MATCH(C2675,Lists!$H$4:$AA$4,0)),D2675)=0,"Check sub-category","OK"))))</f>
        <v/>
      </c>
      <c r="P2675">
        <f>IF(ISNUMBER(I2675),I2675+ROW()/10000000,"")</f>
        <v/>
      </c>
      <c r="Q2675">
        <f>IF(AND(ISNUMBER(P2675),ISNUMBER(A2675)),IF(AND(A2675&gt;=Dashboard!$Q$3,A2675&lt;=Dashboard!$Q$4,OR(J2675&lt;&gt;"Yes",Dashboard!$Q$15="Yes")),P2675,""),"")</f>
        <v/>
      </c>
    </row>
    <row r="2676">
      <c r="A2676" s="47" t="n"/>
      <c r="B2676" s="48" t="n"/>
      <c r="C2676" s="48" t="n"/>
      <c r="D2676" s="48" t="n"/>
      <c r="E2676" s="48" t="n"/>
      <c r="F2676" s="48" t="n"/>
      <c r="G2676" s="48" t="n"/>
      <c r="H2676" s="48" t="n"/>
      <c r="I2676" s="49" t="n"/>
      <c r="J2676" s="50" t="n"/>
      <c r="K2676" s="48" t="n"/>
      <c r="L2676" s="51">
        <f>IF(A2676="","",DATE(YEAR(A2676),MONTH(A2676),1))</f>
        <v/>
      </c>
      <c r="M2676" s="52">
        <f>IF(OR(A2676="",NOT(ISNUMBER(I2676))),"",IF(G2676=Lists!$B$5,I2676/2,IF(G2676=Lists!$B$6,I2676,0)))</f>
        <v/>
      </c>
      <c r="N2676" s="52">
        <f>IF(OR(A2676="",NOT(ISNUMBER(I2676))),"",IF(G2676=Lists!$B$5,I2676/2,IF(G2676=Lists!$B$7,I2676,0)))</f>
        <v/>
      </c>
      <c r="O2676" s="53">
        <f>IF(COUNTA(A2676:K2676)=0,"",IF(OR(A2676="",B2676="",C2676="",D2676="",E2676="",F2676="",G2676="",NOT(ISNUMBER(I2676))),"Incomplete",IF(COUNTIF(Lists!$H$4:$AA$4,C2676)=0,"Check category",IF(COUNTIF(INDEX(Lists!$H$6:$AA$45,0,MATCH(C2676,Lists!$H$4:$AA$4,0)),D2676)=0,"Check sub-category","OK"))))</f>
        <v/>
      </c>
      <c r="P2676">
        <f>IF(ISNUMBER(I2676),I2676+ROW()/10000000,"")</f>
        <v/>
      </c>
      <c r="Q2676">
        <f>IF(AND(ISNUMBER(P2676),ISNUMBER(A2676)),IF(AND(A2676&gt;=Dashboard!$Q$3,A2676&lt;=Dashboard!$Q$4,OR(J2676&lt;&gt;"Yes",Dashboard!$Q$15="Yes")),P2676,""),"")</f>
        <v/>
      </c>
    </row>
    <row r="2677">
      <c r="A2677" s="47" t="n"/>
      <c r="B2677" s="48" t="n"/>
      <c r="C2677" s="48" t="n"/>
      <c r="D2677" s="48" t="n"/>
      <c r="E2677" s="48" t="n"/>
      <c r="F2677" s="48" t="n"/>
      <c r="G2677" s="48" t="n"/>
      <c r="H2677" s="48" t="n"/>
      <c r="I2677" s="49" t="n"/>
      <c r="J2677" s="50" t="n"/>
      <c r="K2677" s="48" t="n"/>
      <c r="L2677" s="51">
        <f>IF(A2677="","",DATE(YEAR(A2677),MONTH(A2677),1))</f>
        <v/>
      </c>
      <c r="M2677" s="52">
        <f>IF(OR(A2677="",NOT(ISNUMBER(I2677))),"",IF(G2677=Lists!$B$5,I2677/2,IF(G2677=Lists!$B$6,I2677,0)))</f>
        <v/>
      </c>
      <c r="N2677" s="52">
        <f>IF(OR(A2677="",NOT(ISNUMBER(I2677))),"",IF(G2677=Lists!$B$5,I2677/2,IF(G2677=Lists!$B$7,I2677,0)))</f>
        <v/>
      </c>
      <c r="O2677" s="53">
        <f>IF(COUNTA(A2677:K2677)=0,"",IF(OR(A2677="",B2677="",C2677="",D2677="",E2677="",F2677="",G2677="",NOT(ISNUMBER(I2677))),"Incomplete",IF(COUNTIF(Lists!$H$4:$AA$4,C2677)=0,"Check category",IF(COUNTIF(INDEX(Lists!$H$6:$AA$45,0,MATCH(C2677,Lists!$H$4:$AA$4,0)),D2677)=0,"Check sub-category","OK"))))</f>
        <v/>
      </c>
      <c r="P2677">
        <f>IF(ISNUMBER(I2677),I2677+ROW()/10000000,"")</f>
        <v/>
      </c>
      <c r="Q2677">
        <f>IF(AND(ISNUMBER(P2677),ISNUMBER(A2677)),IF(AND(A2677&gt;=Dashboard!$Q$3,A2677&lt;=Dashboard!$Q$4,OR(J2677&lt;&gt;"Yes",Dashboard!$Q$15="Yes")),P2677,""),"")</f>
        <v/>
      </c>
    </row>
    <row r="2678">
      <c r="A2678" s="47" t="n"/>
      <c r="B2678" s="48" t="n"/>
      <c r="C2678" s="48" t="n"/>
      <c r="D2678" s="48" t="n"/>
      <c r="E2678" s="48" t="n"/>
      <c r="F2678" s="48" t="n"/>
      <c r="G2678" s="48" t="n"/>
      <c r="H2678" s="48" t="n"/>
      <c r="I2678" s="49" t="n"/>
      <c r="J2678" s="50" t="n"/>
      <c r="K2678" s="48" t="n"/>
      <c r="L2678" s="51">
        <f>IF(A2678="","",DATE(YEAR(A2678),MONTH(A2678),1))</f>
        <v/>
      </c>
      <c r="M2678" s="52">
        <f>IF(OR(A2678="",NOT(ISNUMBER(I2678))),"",IF(G2678=Lists!$B$5,I2678/2,IF(G2678=Lists!$B$6,I2678,0)))</f>
        <v/>
      </c>
      <c r="N2678" s="52">
        <f>IF(OR(A2678="",NOT(ISNUMBER(I2678))),"",IF(G2678=Lists!$B$5,I2678/2,IF(G2678=Lists!$B$7,I2678,0)))</f>
        <v/>
      </c>
      <c r="O2678" s="53">
        <f>IF(COUNTA(A2678:K2678)=0,"",IF(OR(A2678="",B2678="",C2678="",D2678="",E2678="",F2678="",G2678="",NOT(ISNUMBER(I2678))),"Incomplete",IF(COUNTIF(Lists!$H$4:$AA$4,C2678)=0,"Check category",IF(COUNTIF(INDEX(Lists!$H$6:$AA$45,0,MATCH(C2678,Lists!$H$4:$AA$4,0)),D2678)=0,"Check sub-category","OK"))))</f>
        <v/>
      </c>
      <c r="P2678">
        <f>IF(ISNUMBER(I2678),I2678+ROW()/10000000,"")</f>
        <v/>
      </c>
      <c r="Q2678">
        <f>IF(AND(ISNUMBER(P2678),ISNUMBER(A2678)),IF(AND(A2678&gt;=Dashboard!$Q$3,A2678&lt;=Dashboard!$Q$4,OR(J2678&lt;&gt;"Yes",Dashboard!$Q$15="Yes")),P2678,""),"")</f>
        <v/>
      </c>
    </row>
    <row r="2679">
      <c r="A2679" s="47" t="n"/>
      <c r="B2679" s="48" t="n"/>
      <c r="C2679" s="48" t="n"/>
      <c r="D2679" s="48" t="n"/>
      <c r="E2679" s="48" t="n"/>
      <c r="F2679" s="48" t="n"/>
      <c r="G2679" s="48" t="n"/>
      <c r="H2679" s="48" t="n"/>
      <c r="I2679" s="49" t="n"/>
      <c r="J2679" s="50" t="n"/>
      <c r="K2679" s="48" t="n"/>
      <c r="L2679" s="51">
        <f>IF(A2679="","",DATE(YEAR(A2679),MONTH(A2679),1))</f>
        <v/>
      </c>
      <c r="M2679" s="52">
        <f>IF(OR(A2679="",NOT(ISNUMBER(I2679))),"",IF(G2679=Lists!$B$5,I2679/2,IF(G2679=Lists!$B$6,I2679,0)))</f>
        <v/>
      </c>
      <c r="N2679" s="52">
        <f>IF(OR(A2679="",NOT(ISNUMBER(I2679))),"",IF(G2679=Lists!$B$5,I2679/2,IF(G2679=Lists!$B$7,I2679,0)))</f>
        <v/>
      </c>
      <c r="O2679" s="53">
        <f>IF(COUNTA(A2679:K2679)=0,"",IF(OR(A2679="",B2679="",C2679="",D2679="",E2679="",F2679="",G2679="",NOT(ISNUMBER(I2679))),"Incomplete",IF(COUNTIF(Lists!$H$4:$AA$4,C2679)=0,"Check category",IF(COUNTIF(INDEX(Lists!$H$6:$AA$45,0,MATCH(C2679,Lists!$H$4:$AA$4,0)),D2679)=0,"Check sub-category","OK"))))</f>
        <v/>
      </c>
      <c r="P2679">
        <f>IF(ISNUMBER(I2679),I2679+ROW()/10000000,"")</f>
        <v/>
      </c>
      <c r="Q2679">
        <f>IF(AND(ISNUMBER(P2679),ISNUMBER(A2679)),IF(AND(A2679&gt;=Dashboard!$Q$3,A2679&lt;=Dashboard!$Q$4,OR(J2679&lt;&gt;"Yes",Dashboard!$Q$15="Yes")),P2679,""),"")</f>
        <v/>
      </c>
    </row>
    <row r="2680">
      <c r="A2680" s="47" t="n"/>
      <c r="B2680" s="48" t="n"/>
      <c r="C2680" s="48" t="n"/>
      <c r="D2680" s="48" t="n"/>
      <c r="E2680" s="48" t="n"/>
      <c r="F2680" s="48" t="n"/>
      <c r="G2680" s="48" t="n"/>
      <c r="H2680" s="48" t="n"/>
      <c r="I2680" s="49" t="n"/>
      <c r="J2680" s="50" t="n"/>
      <c r="K2680" s="48" t="n"/>
      <c r="L2680" s="51">
        <f>IF(A2680="","",DATE(YEAR(A2680),MONTH(A2680),1))</f>
        <v/>
      </c>
      <c r="M2680" s="52">
        <f>IF(OR(A2680="",NOT(ISNUMBER(I2680))),"",IF(G2680=Lists!$B$5,I2680/2,IF(G2680=Lists!$B$6,I2680,0)))</f>
        <v/>
      </c>
      <c r="N2680" s="52">
        <f>IF(OR(A2680="",NOT(ISNUMBER(I2680))),"",IF(G2680=Lists!$B$5,I2680/2,IF(G2680=Lists!$B$7,I2680,0)))</f>
        <v/>
      </c>
      <c r="O2680" s="53">
        <f>IF(COUNTA(A2680:K2680)=0,"",IF(OR(A2680="",B2680="",C2680="",D2680="",E2680="",F2680="",G2680="",NOT(ISNUMBER(I2680))),"Incomplete",IF(COUNTIF(Lists!$H$4:$AA$4,C2680)=0,"Check category",IF(COUNTIF(INDEX(Lists!$H$6:$AA$45,0,MATCH(C2680,Lists!$H$4:$AA$4,0)),D2680)=0,"Check sub-category","OK"))))</f>
        <v/>
      </c>
      <c r="P2680">
        <f>IF(ISNUMBER(I2680),I2680+ROW()/10000000,"")</f>
        <v/>
      </c>
      <c r="Q2680">
        <f>IF(AND(ISNUMBER(P2680),ISNUMBER(A2680)),IF(AND(A2680&gt;=Dashboard!$Q$3,A2680&lt;=Dashboard!$Q$4,OR(J2680&lt;&gt;"Yes",Dashboard!$Q$15="Yes")),P2680,""),"")</f>
        <v/>
      </c>
    </row>
    <row r="2681">
      <c r="A2681" s="47" t="n"/>
      <c r="B2681" s="48" t="n"/>
      <c r="C2681" s="48" t="n"/>
      <c r="D2681" s="48" t="n"/>
      <c r="E2681" s="48" t="n"/>
      <c r="F2681" s="48" t="n"/>
      <c r="G2681" s="48" t="n"/>
      <c r="H2681" s="48" t="n"/>
      <c r="I2681" s="49" t="n"/>
      <c r="J2681" s="50" t="n"/>
      <c r="K2681" s="48" t="n"/>
      <c r="L2681" s="51">
        <f>IF(A2681="","",DATE(YEAR(A2681),MONTH(A2681),1))</f>
        <v/>
      </c>
      <c r="M2681" s="52">
        <f>IF(OR(A2681="",NOT(ISNUMBER(I2681))),"",IF(G2681=Lists!$B$5,I2681/2,IF(G2681=Lists!$B$6,I2681,0)))</f>
        <v/>
      </c>
      <c r="N2681" s="52">
        <f>IF(OR(A2681="",NOT(ISNUMBER(I2681))),"",IF(G2681=Lists!$B$5,I2681/2,IF(G2681=Lists!$B$7,I2681,0)))</f>
        <v/>
      </c>
      <c r="O2681" s="53">
        <f>IF(COUNTA(A2681:K2681)=0,"",IF(OR(A2681="",B2681="",C2681="",D2681="",E2681="",F2681="",G2681="",NOT(ISNUMBER(I2681))),"Incomplete",IF(COUNTIF(Lists!$H$4:$AA$4,C2681)=0,"Check category",IF(COUNTIF(INDEX(Lists!$H$6:$AA$45,0,MATCH(C2681,Lists!$H$4:$AA$4,0)),D2681)=0,"Check sub-category","OK"))))</f>
        <v/>
      </c>
      <c r="P2681">
        <f>IF(ISNUMBER(I2681),I2681+ROW()/10000000,"")</f>
        <v/>
      </c>
      <c r="Q2681">
        <f>IF(AND(ISNUMBER(P2681),ISNUMBER(A2681)),IF(AND(A2681&gt;=Dashboard!$Q$3,A2681&lt;=Dashboard!$Q$4,OR(J2681&lt;&gt;"Yes",Dashboard!$Q$15="Yes")),P2681,""),"")</f>
        <v/>
      </c>
    </row>
    <row r="2682">
      <c r="A2682" s="47" t="n"/>
      <c r="B2682" s="48" t="n"/>
      <c r="C2682" s="48" t="n"/>
      <c r="D2682" s="48" t="n"/>
      <c r="E2682" s="48" t="n"/>
      <c r="F2682" s="48" t="n"/>
      <c r="G2682" s="48" t="n"/>
      <c r="H2682" s="48" t="n"/>
      <c r="I2682" s="49" t="n"/>
      <c r="J2682" s="50" t="n"/>
      <c r="K2682" s="48" t="n"/>
      <c r="L2682" s="51">
        <f>IF(A2682="","",DATE(YEAR(A2682),MONTH(A2682),1))</f>
        <v/>
      </c>
      <c r="M2682" s="52">
        <f>IF(OR(A2682="",NOT(ISNUMBER(I2682))),"",IF(G2682=Lists!$B$5,I2682/2,IF(G2682=Lists!$B$6,I2682,0)))</f>
        <v/>
      </c>
      <c r="N2682" s="52">
        <f>IF(OR(A2682="",NOT(ISNUMBER(I2682))),"",IF(G2682=Lists!$B$5,I2682/2,IF(G2682=Lists!$B$7,I2682,0)))</f>
        <v/>
      </c>
      <c r="O2682" s="53">
        <f>IF(COUNTA(A2682:K2682)=0,"",IF(OR(A2682="",B2682="",C2682="",D2682="",E2682="",F2682="",G2682="",NOT(ISNUMBER(I2682))),"Incomplete",IF(COUNTIF(Lists!$H$4:$AA$4,C2682)=0,"Check category",IF(COUNTIF(INDEX(Lists!$H$6:$AA$45,0,MATCH(C2682,Lists!$H$4:$AA$4,0)),D2682)=0,"Check sub-category","OK"))))</f>
        <v/>
      </c>
      <c r="P2682">
        <f>IF(ISNUMBER(I2682),I2682+ROW()/10000000,"")</f>
        <v/>
      </c>
      <c r="Q2682">
        <f>IF(AND(ISNUMBER(P2682),ISNUMBER(A2682)),IF(AND(A2682&gt;=Dashboard!$Q$3,A2682&lt;=Dashboard!$Q$4,OR(J2682&lt;&gt;"Yes",Dashboard!$Q$15="Yes")),P2682,""),"")</f>
        <v/>
      </c>
    </row>
    <row r="2683">
      <c r="A2683" s="47" t="n"/>
      <c r="B2683" s="48" t="n"/>
      <c r="C2683" s="48" t="n"/>
      <c r="D2683" s="48" t="n"/>
      <c r="E2683" s="48" t="n"/>
      <c r="F2683" s="48" t="n"/>
      <c r="G2683" s="48" t="n"/>
      <c r="H2683" s="48" t="n"/>
      <c r="I2683" s="49" t="n"/>
      <c r="J2683" s="50" t="n"/>
      <c r="K2683" s="48" t="n"/>
      <c r="L2683" s="51">
        <f>IF(A2683="","",DATE(YEAR(A2683),MONTH(A2683),1))</f>
        <v/>
      </c>
      <c r="M2683" s="52">
        <f>IF(OR(A2683="",NOT(ISNUMBER(I2683))),"",IF(G2683=Lists!$B$5,I2683/2,IF(G2683=Lists!$B$6,I2683,0)))</f>
        <v/>
      </c>
      <c r="N2683" s="52">
        <f>IF(OR(A2683="",NOT(ISNUMBER(I2683))),"",IF(G2683=Lists!$B$5,I2683/2,IF(G2683=Lists!$B$7,I2683,0)))</f>
        <v/>
      </c>
      <c r="O2683" s="53">
        <f>IF(COUNTA(A2683:K2683)=0,"",IF(OR(A2683="",B2683="",C2683="",D2683="",E2683="",F2683="",G2683="",NOT(ISNUMBER(I2683))),"Incomplete",IF(COUNTIF(Lists!$H$4:$AA$4,C2683)=0,"Check category",IF(COUNTIF(INDEX(Lists!$H$6:$AA$45,0,MATCH(C2683,Lists!$H$4:$AA$4,0)),D2683)=0,"Check sub-category","OK"))))</f>
        <v/>
      </c>
      <c r="P2683">
        <f>IF(ISNUMBER(I2683),I2683+ROW()/10000000,"")</f>
        <v/>
      </c>
      <c r="Q2683">
        <f>IF(AND(ISNUMBER(P2683),ISNUMBER(A2683)),IF(AND(A2683&gt;=Dashboard!$Q$3,A2683&lt;=Dashboard!$Q$4,OR(J2683&lt;&gt;"Yes",Dashboard!$Q$15="Yes")),P2683,""),"")</f>
        <v/>
      </c>
    </row>
    <row r="2684">
      <c r="A2684" s="47" t="n"/>
      <c r="B2684" s="48" t="n"/>
      <c r="C2684" s="48" t="n"/>
      <c r="D2684" s="48" t="n"/>
      <c r="E2684" s="48" t="n"/>
      <c r="F2684" s="48" t="n"/>
      <c r="G2684" s="48" t="n"/>
      <c r="H2684" s="48" t="n"/>
      <c r="I2684" s="49" t="n"/>
      <c r="J2684" s="50" t="n"/>
      <c r="K2684" s="48" t="n"/>
      <c r="L2684" s="51">
        <f>IF(A2684="","",DATE(YEAR(A2684),MONTH(A2684),1))</f>
        <v/>
      </c>
      <c r="M2684" s="52">
        <f>IF(OR(A2684="",NOT(ISNUMBER(I2684))),"",IF(G2684=Lists!$B$5,I2684/2,IF(G2684=Lists!$B$6,I2684,0)))</f>
        <v/>
      </c>
      <c r="N2684" s="52">
        <f>IF(OR(A2684="",NOT(ISNUMBER(I2684))),"",IF(G2684=Lists!$B$5,I2684/2,IF(G2684=Lists!$B$7,I2684,0)))</f>
        <v/>
      </c>
      <c r="O2684" s="53">
        <f>IF(COUNTA(A2684:K2684)=0,"",IF(OR(A2684="",B2684="",C2684="",D2684="",E2684="",F2684="",G2684="",NOT(ISNUMBER(I2684))),"Incomplete",IF(COUNTIF(Lists!$H$4:$AA$4,C2684)=0,"Check category",IF(COUNTIF(INDEX(Lists!$H$6:$AA$45,0,MATCH(C2684,Lists!$H$4:$AA$4,0)),D2684)=0,"Check sub-category","OK"))))</f>
        <v/>
      </c>
      <c r="P2684">
        <f>IF(ISNUMBER(I2684),I2684+ROW()/10000000,"")</f>
        <v/>
      </c>
      <c r="Q2684">
        <f>IF(AND(ISNUMBER(P2684),ISNUMBER(A2684)),IF(AND(A2684&gt;=Dashboard!$Q$3,A2684&lt;=Dashboard!$Q$4,OR(J2684&lt;&gt;"Yes",Dashboard!$Q$15="Yes")),P2684,""),"")</f>
        <v/>
      </c>
    </row>
    <row r="2685">
      <c r="A2685" s="47" t="n"/>
      <c r="B2685" s="48" t="n"/>
      <c r="C2685" s="48" t="n"/>
      <c r="D2685" s="48" t="n"/>
      <c r="E2685" s="48" t="n"/>
      <c r="F2685" s="48" t="n"/>
      <c r="G2685" s="48" t="n"/>
      <c r="H2685" s="48" t="n"/>
      <c r="I2685" s="49" t="n"/>
      <c r="J2685" s="50" t="n"/>
      <c r="K2685" s="48" t="n"/>
      <c r="L2685" s="51">
        <f>IF(A2685="","",DATE(YEAR(A2685),MONTH(A2685),1))</f>
        <v/>
      </c>
      <c r="M2685" s="52">
        <f>IF(OR(A2685="",NOT(ISNUMBER(I2685))),"",IF(G2685=Lists!$B$5,I2685/2,IF(G2685=Lists!$B$6,I2685,0)))</f>
        <v/>
      </c>
      <c r="N2685" s="52">
        <f>IF(OR(A2685="",NOT(ISNUMBER(I2685))),"",IF(G2685=Lists!$B$5,I2685/2,IF(G2685=Lists!$B$7,I2685,0)))</f>
        <v/>
      </c>
      <c r="O2685" s="53">
        <f>IF(COUNTA(A2685:K2685)=0,"",IF(OR(A2685="",B2685="",C2685="",D2685="",E2685="",F2685="",G2685="",NOT(ISNUMBER(I2685))),"Incomplete",IF(COUNTIF(Lists!$H$4:$AA$4,C2685)=0,"Check category",IF(COUNTIF(INDEX(Lists!$H$6:$AA$45,0,MATCH(C2685,Lists!$H$4:$AA$4,0)),D2685)=0,"Check sub-category","OK"))))</f>
        <v/>
      </c>
      <c r="P2685">
        <f>IF(ISNUMBER(I2685),I2685+ROW()/10000000,"")</f>
        <v/>
      </c>
      <c r="Q2685">
        <f>IF(AND(ISNUMBER(P2685),ISNUMBER(A2685)),IF(AND(A2685&gt;=Dashboard!$Q$3,A2685&lt;=Dashboard!$Q$4,OR(J2685&lt;&gt;"Yes",Dashboard!$Q$15="Yes")),P2685,""),"")</f>
        <v/>
      </c>
    </row>
    <row r="2686">
      <c r="A2686" s="47" t="n"/>
      <c r="B2686" s="48" t="n"/>
      <c r="C2686" s="48" t="n"/>
      <c r="D2686" s="48" t="n"/>
      <c r="E2686" s="48" t="n"/>
      <c r="F2686" s="48" t="n"/>
      <c r="G2686" s="48" t="n"/>
      <c r="H2686" s="48" t="n"/>
      <c r="I2686" s="49" t="n"/>
      <c r="J2686" s="50" t="n"/>
      <c r="K2686" s="48" t="n"/>
      <c r="L2686" s="51">
        <f>IF(A2686="","",DATE(YEAR(A2686),MONTH(A2686),1))</f>
        <v/>
      </c>
      <c r="M2686" s="52">
        <f>IF(OR(A2686="",NOT(ISNUMBER(I2686))),"",IF(G2686=Lists!$B$5,I2686/2,IF(G2686=Lists!$B$6,I2686,0)))</f>
        <v/>
      </c>
      <c r="N2686" s="52">
        <f>IF(OR(A2686="",NOT(ISNUMBER(I2686))),"",IF(G2686=Lists!$B$5,I2686/2,IF(G2686=Lists!$B$7,I2686,0)))</f>
        <v/>
      </c>
      <c r="O2686" s="53">
        <f>IF(COUNTA(A2686:K2686)=0,"",IF(OR(A2686="",B2686="",C2686="",D2686="",E2686="",F2686="",G2686="",NOT(ISNUMBER(I2686))),"Incomplete",IF(COUNTIF(Lists!$H$4:$AA$4,C2686)=0,"Check category",IF(COUNTIF(INDEX(Lists!$H$6:$AA$45,0,MATCH(C2686,Lists!$H$4:$AA$4,0)),D2686)=0,"Check sub-category","OK"))))</f>
        <v/>
      </c>
      <c r="P2686">
        <f>IF(ISNUMBER(I2686),I2686+ROW()/10000000,"")</f>
        <v/>
      </c>
      <c r="Q2686">
        <f>IF(AND(ISNUMBER(P2686),ISNUMBER(A2686)),IF(AND(A2686&gt;=Dashboard!$Q$3,A2686&lt;=Dashboard!$Q$4,OR(J2686&lt;&gt;"Yes",Dashboard!$Q$15="Yes")),P2686,""),"")</f>
        <v/>
      </c>
    </row>
    <row r="2687">
      <c r="A2687" s="47" t="n"/>
      <c r="B2687" s="48" t="n"/>
      <c r="C2687" s="48" t="n"/>
      <c r="D2687" s="48" t="n"/>
      <c r="E2687" s="48" t="n"/>
      <c r="F2687" s="48" t="n"/>
      <c r="G2687" s="48" t="n"/>
      <c r="H2687" s="48" t="n"/>
      <c r="I2687" s="49" t="n"/>
      <c r="J2687" s="50" t="n"/>
      <c r="K2687" s="48" t="n"/>
      <c r="L2687" s="51">
        <f>IF(A2687="","",DATE(YEAR(A2687),MONTH(A2687),1))</f>
        <v/>
      </c>
      <c r="M2687" s="52">
        <f>IF(OR(A2687="",NOT(ISNUMBER(I2687))),"",IF(G2687=Lists!$B$5,I2687/2,IF(G2687=Lists!$B$6,I2687,0)))</f>
        <v/>
      </c>
      <c r="N2687" s="52">
        <f>IF(OR(A2687="",NOT(ISNUMBER(I2687))),"",IF(G2687=Lists!$B$5,I2687/2,IF(G2687=Lists!$B$7,I2687,0)))</f>
        <v/>
      </c>
      <c r="O2687" s="53">
        <f>IF(COUNTA(A2687:K2687)=0,"",IF(OR(A2687="",B2687="",C2687="",D2687="",E2687="",F2687="",G2687="",NOT(ISNUMBER(I2687))),"Incomplete",IF(COUNTIF(Lists!$H$4:$AA$4,C2687)=0,"Check category",IF(COUNTIF(INDEX(Lists!$H$6:$AA$45,0,MATCH(C2687,Lists!$H$4:$AA$4,0)),D2687)=0,"Check sub-category","OK"))))</f>
        <v/>
      </c>
      <c r="P2687">
        <f>IF(ISNUMBER(I2687),I2687+ROW()/10000000,"")</f>
        <v/>
      </c>
      <c r="Q2687">
        <f>IF(AND(ISNUMBER(P2687),ISNUMBER(A2687)),IF(AND(A2687&gt;=Dashboard!$Q$3,A2687&lt;=Dashboard!$Q$4,OR(J2687&lt;&gt;"Yes",Dashboard!$Q$15="Yes")),P2687,""),"")</f>
        <v/>
      </c>
    </row>
    <row r="2688">
      <c r="A2688" s="47" t="n"/>
      <c r="B2688" s="48" t="n"/>
      <c r="C2688" s="48" t="n"/>
      <c r="D2688" s="48" t="n"/>
      <c r="E2688" s="48" t="n"/>
      <c r="F2688" s="48" t="n"/>
      <c r="G2688" s="48" t="n"/>
      <c r="H2688" s="48" t="n"/>
      <c r="I2688" s="49" t="n"/>
      <c r="J2688" s="50" t="n"/>
      <c r="K2688" s="48" t="n"/>
      <c r="L2688" s="51">
        <f>IF(A2688="","",DATE(YEAR(A2688),MONTH(A2688),1))</f>
        <v/>
      </c>
      <c r="M2688" s="52">
        <f>IF(OR(A2688="",NOT(ISNUMBER(I2688))),"",IF(G2688=Lists!$B$5,I2688/2,IF(G2688=Lists!$B$6,I2688,0)))</f>
        <v/>
      </c>
      <c r="N2688" s="52">
        <f>IF(OR(A2688="",NOT(ISNUMBER(I2688))),"",IF(G2688=Lists!$B$5,I2688/2,IF(G2688=Lists!$B$7,I2688,0)))</f>
        <v/>
      </c>
      <c r="O2688" s="53">
        <f>IF(COUNTA(A2688:K2688)=0,"",IF(OR(A2688="",B2688="",C2688="",D2688="",E2688="",F2688="",G2688="",NOT(ISNUMBER(I2688))),"Incomplete",IF(COUNTIF(Lists!$H$4:$AA$4,C2688)=0,"Check category",IF(COUNTIF(INDEX(Lists!$H$6:$AA$45,0,MATCH(C2688,Lists!$H$4:$AA$4,0)),D2688)=0,"Check sub-category","OK"))))</f>
        <v/>
      </c>
      <c r="P2688">
        <f>IF(ISNUMBER(I2688),I2688+ROW()/10000000,"")</f>
        <v/>
      </c>
      <c r="Q2688">
        <f>IF(AND(ISNUMBER(P2688),ISNUMBER(A2688)),IF(AND(A2688&gt;=Dashboard!$Q$3,A2688&lt;=Dashboard!$Q$4,OR(J2688&lt;&gt;"Yes",Dashboard!$Q$15="Yes")),P2688,""),"")</f>
        <v/>
      </c>
    </row>
    <row r="2689">
      <c r="A2689" s="47" t="n"/>
      <c r="B2689" s="48" t="n"/>
      <c r="C2689" s="48" t="n"/>
      <c r="D2689" s="48" t="n"/>
      <c r="E2689" s="48" t="n"/>
      <c r="F2689" s="48" t="n"/>
      <c r="G2689" s="48" t="n"/>
      <c r="H2689" s="48" t="n"/>
      <c r="I2689" s="49" t="n"/>
      <c r="J2689" s="50" t="n"/>
      <c r="K2689" s="48" t="n"/>
      <c r="L2689" s="51">
        <f>IF(A2689="","",DATE(YEAR(A2689),MONTH(A2689),1))</f>
        <v/>
      </c>
      <c r="M2689" s="52">
        <f>IF(OR(A2689="",NOT(ISNUMBER(I2689))),"",IF(G2689=Lists!$B$5,I2689/2,IF(G2689=Lists!$B$6,I2689,0)))</f>
        <v/>
      </c>
      <c r="N2689" s="52">
        <f>IF(OR(A2689="",NOT(ISNUMBER(I2689))),"",IF(G2689=Lists!$B$5,I2689/2,IF(G2689=Lists!$B$7,I2689,0)))</f>
        <v/>
      </c>
      <c r="O2689" s="53">
        <f>IF(COUNTA(A2689:K2689)=0,"",IF(OR(A2689="",B2689="",C2689="",D2689="",E2689="",F2689="",G2689="",NOT(ISNUMBER(I2689))),"Incomplete",IF(COUNTIF(Lists!$H$4:$AA$4,C2689)=0,"Check category",IF(COUNTIF(INDEX(Lists!$H$6:$AA$45,0,MATCH(C2689,Lists!$H$4:$AA$4,0)),D2689)=0,"Check sub-category","OK"))))</f>
        <v/>
      </c>
      <c r="P2689">
        <f>IF(ISNUMBER(I2689),I2689+ROW()/10000000,"")</f>
        <v/>
      </c>
      <c r="Q2689">
        <f>IF(AND(ISNUMBER(P2689),ISNUMBER(A2689)),IF(AND(A2689&gt;=Dashboard!$Q$3,A2689&lt;=Dashboard!$Q$4,OR(J2689&lt;&gt;"Yes",Dashboard!$Q$15="Yes")),P2689,""),"")</f>
        <v/>
      </c>
    </row>
    <row r="2690">
      <c r="A2690" s="47" t="n"/>
      <c r="B2690" s="48" t="n"/>
      <c r="C2690" s="48" t="n"/>
      <c r="D2690" s="48" t="n"/>
      <c r="E2690" s="48" t="n"/>
      <c r="F2690" s="48" t="n"/>
      <c r="G2690" s="48" t="n"/>
      <c r="H2690" s="48" t="n"/>
      <c r="I2690" s="49" t="n"/>
      <c r="J2690" s="50" t="n"/>
      <c r="K2690" s="48" t="n"/>
      <c r="L2690" s="51">
        <f>IF(A2690="","",DATE(YEAR(A2690),MONTH(A2690),1))</f>
        <v/>
      </c>
      <c r="M2690" s="52">
        <f>IF(OR(A2690="",NOT(ISNUMBER(I2690))),"",IF(G2690=Lists!$B$5,I2690/2,IF(G2690=Lists!$B$6,I2690,0)))</f>
        <v/>
      </c>
      <c r="N2690" s="52">
        <f>IF(OR(A2690="",NOT(ISNUMBER(I2690))),"",IF(G2690=Lists!$B$5,I2690/2,IF(G2690=Lists!$B$7,I2690,0)))</f>
        <v/>
      </c>
      <c r="O2690" s="53">
        <f>IF(COUNTA(A2690:K2690)=0,"",IF(OR(A2690="",B2690="",C2690="",D2690="",E2690="",F2690="",G2690="",NOT(ISNUMBER(I2690))),"Incomplete",IF(COUNTIF(Lists!$H$4:$AA$4,C2690)=0,"Check category",IF(COUNTIF(INDEX(Lists!$H$6:$AA$45,0,MATCH(C2690,Lists!$H$4:$AA$4,0)),D2690)=0,"Check sub-category","OK"))))</f>
        <v/>
      </c>
      <c r="P2690">
        <f>IF(ISNUMBER(I2690),I2690+ROW()/10000000,"")</f>
        <v/>
      </c>
      <c r="Q2690">
        <f>IF(AND(ISNUMBER(P2690),ISNUMBER(A2690)),IF(AND(A2690&gt;=Dashboard!$Q$3,A2690&lt;=Dashboard!$Q$4,OR(J2690&lt;&gt;"Yes",Dashboard!$Q$15="Yes")),P2690,""),"")</f>
        <v/>
      </c>
    </row>
    <row r="2691">
      <c r="A2691" s="47" t="n"/>
      <c r="B2691" s="48" t="n"/>
      <c r="C2691" s="48" t="n"/>
      <c r="D2691" s="48" t="n"/>
      <c r="E2691" s="48" t="n"/>
      <c r="F2691" s="48" t="n"/>
      <c r="G2691" s="48" t="n"/>
      <c r="H2691" s="48" t="n"/>
      <c r="I2691" s="49" t="n"/>
      <c r="J2691" s="50" t="n"/>
      <c r="K2691" s="48" t="n"/>
      <c r="L2691" s="51">
        <f>IF(A2691="","",DATE(YEAR(A2691),MONTH(A2691),1))</f>
        <v/>
      </c>
      <c r="M2691" s="52">
        <f>IF(OR(A2691="",NOT(ISNUMBER(I2691))),"",IF(G2691=Lists!$B$5,I2691/2,IF(G2691=Lists!$B$6,I2691,0)))</f>
        <v/>
      </c>
      <c r="N2691" s="52">
        <f>IF(OR(A2691="",NOT(ISNUMBER(I2691))),"",IF(G2691=Lists!$B$5,I2691/2,IF(G2691=Lists!$B$7,I2691,0)))</f>
        <v/>
      </c>
      <c r="O2691" s="53">
        <f>IF(COUNTA(A2691:K2691)=0,"",IF(OR(A2691="",B2691="",C2691="",D2691="",E2691="",F2691="",G2691="",NOT(ISNUMBER(I2691))),"Incomplete",IF(COUNTIF(Lists!$H$4:$AA$4,C2691)=0,"Check category",IF(COUNTIF(INDEX(Lists!$H$6:$AA$45,0,MATCH(C2691,Lists!$H$4:$AA$4,0)),D2691)=0,"Check sub-category","OK"))))</f>
        <v/>
      </c>
      <c r="P2691">
        <f>IF(ISNUMBER(I2691),I2691+ROW()/10000000,"")</f>
        <v/>
      </c>
      <c r="Q2691">
        <f>IF(AND(ISNUMBER(P2691),ISNUMBER(A2691)),IF(AND(A2691&gt;=Dashboard!$Q$3,A2691&lt;=Dashboard!$Q$4,OR(J2691&lt;&gt;"Yes",Dashboard!$Q$15="Yes")),P2691,""),"")</f>
        <v/>
      </c>
    </row>
    <row r="2692">
      <c r="A2692" s="47" t="n"/>
      <c r="B2692" s="48" t="n"/>
      <c r="C2692" s="48" t="n"/>
      <c r="D2692" s="48" t="n"/>
      <c r="E2692" s="48" t="n"/>
      <c r="F2692" s="48" t="n"/>
      <c r="G2692" s="48" t="n"/>
      <c r="H2692" s="48" t="n"/>
      <c r="I2692" s="49" t="n"/>
      <c r="J2692" s="50" t="n"/>
      <c r="K2692" s="48" t="n"/>
      <c r="L2692" s="51">
        <f>IF(A2692="","",DATE(YEAR(A2692),MONTH(A2692),1))</f>
        <v/>
      </c>
      <c r="M2692" s="52">
        <f>IF(OR(A2692="",NOT(ISNUMBER(I2692))),"",IF(G2692=Lists!$B$5,I2692/2,IF(G2692=Lists!$B$6,I2692,0)))</f>
        <v/>
      </c>
      <c r="N2692" s="52">
        <f>IF(OR(A2692="",NOT(ISNUMBER(I2692))),"",IF(G2692=Lists!$B$5,I2692/2,IF(G2692=Lists!$B$7,I2692,0)))</f>
        <v/>
      </c>
      <c r="O2692" s="53">
        <f>IF(COUNTA(A2692:K2692)=0,"",IF(OR(A2692="",B2692="",C2692="",D2692="",E2692="",F2692="",G2692="",NOT(ISNUMBER(I2692))),"Incomplete",IF(COUNTIF(Lists!$H$4:$AA$4,C2692)=0,"Check category",IF(COUNTIF(INDEX(Lists!$H$6:$AA$45,0,MATCH(C2692,Lists!$H$4:$AA$4,0)),D2692)=0,"Check sub-category","OK"))))</f>
        <v/>
      </c>
      <c r="P2692">
        <f>IF(ISNUMBER(I2692),I2692+ROW()/10000000,"")</f>
        <v/>
      </c>
      <c r="Q2692">
        <f>IF(AND(ISNUMBER(P2692),ISNUMBER(A2692)),IF(AND(A2692&gt;=Dashboard!$Q$3,A2692&lt;=Dashboard!$Q$4,OR(J2692&lt;&gt;"Yes",Dashboard!$Q$15="Yes")),P2692,""),"")</f>
        <v/>
      </c>
    </row>
    <row r="2693">
      <c r="A2693" s="47" t="n"/>
      <c r="B2693" s="48" t="n"/>
      <c r="C2693" s="48" t="n"/>
      <c r="D2693" s="48" t="n"/>
      <c r="E2693" s="48" t="n"/>
      <c r="F2693" s="48" t="n"/>
      <c r="G2693" s="48" t="n"/>
      <c r="H2693" s="48" t="n"/>
      <c r="I2693" s="49" t="n"/>
      <c r="J2693" s="50" t="n"/>
      <c r="K2693" s="48" t="n"/>
      <c r="L2693" s="51">
        <f>IF(A2693="","",DATE(YEAR(A2693),MONTH(A2693),1))</f>
        <v/>
      </c>
      <c r="M2693" s="52">
        <f>IF(OR(A2693="",NOT(ISNUMBER(I2693))),"",IF(G2693=Lists!$B$5,I2693/2,IF(G2693=Lists!$B$6,I2693,0)))</f>
        <v/>
      </c>
      <c r="N2693" s="52">
        <f>IF(OR(A2693="",NOT(ISNUMBER(I2693))),"",IF(G2693=Lists!$B$5,I2693/2,IF(G2693=Lists!$B$7,I2693,0)))</f>
        <v/>
      </c>
      <c r="O2693" s="53">
        <f>IF(COUNTA(A2693:K2693)=0,"",IF(OR(A2693="",B2693="",C2693="",D2693="",E2693="",F2693="",G2693="",NOT(ISNUMBER(I2693))),"Incomplete",IF(COUNTIF(Lists!$H$4:$AA$4,C2693)=0,"Check category",IF(COUNTIF(INDEX(Lists!$H$6:$AA$45,0,MATCH(C2693,Lists!$H$4:$AA$4,0)),D2693)=0,"Check sub-category","OK"))))</f>
        <v/>
      </c>
      <c r="P2693">
        <f>IF(ISNUMBER(I2693),I2693+ROW()/10000000,"")</f>
        <v/>
      </c>
      <c r="Q2693">
        <f>IF(AND(ISNUMBER(P2693),ISNUMBER(A2693)),IF(AND(A2693&gt;=Dashboard!$Q$3,A2693&lt;=Dashboard!$Q$4,OR(J2693&lt;&gt;"Yes",Dashboard!$Q$15="Yes")),P2693,""),"")</f>
        <v/>
      </c>
    </row>
    <row r="2694">
      <c r="A2694" s="47" t="n"/>
      <c r="B2694" s="48" t="n"/>
      <c r="C2694" s="48" t="n"/>
      <c r="D2694" s="48" t="n"/>
      <c r="E2694" s="48" t="n"/>
      <c r="F2694" s="48" t="n"/>
      <c r="G2694" s="48" t="n"/>
      <c r="H2694" s="48" t="n"/>
      <c r="I2694" s="49" t="n"/>
      <c r="J2694" s="50" t="n"/>
      <c r="K2694" s="48" t="n"/>
      <c r="L2694" s="51">
        <f>IF(A2694="","",DATE(YEAR(A2694),MONTH(A2694),1))</f>
        <v/>
      </c>
      <c r="M2694" s="52">
        <f>IF(OR(A2694="",NOT(ISNUMBER(I2694))),"",IF(G2694=Lists!$B$5,I2694/2,IF(G2694=Lists!$B$6,I2694,0)))</f>
        <v/>
      </c>
      <c r="N2694" s="52">
        <f>IF(OR(A2694="",NOT(ISNUMBER(I2694))),"",IF(G2694=Lists!$B$5,I2694/2,IF(G2694=Lists!$B$7,I2694,0)))</f>
        <v/>
      </c>
      <c r="O2694" s="53">
        <f>IF(COUNTA(A2694:K2694)=0,"",IF(OR(A2694="",B2694="",C2694="",D2694="",E2694="",F2694="",G2694="",NOT(ISNUMBER(I2694))),"Incomplete",IF(COUNTIF(Lists!$H$4:$AA$4,C2694)=0,"Check category",IF(COUNTIF(INDEX(Lists!$H$6:$AA$45,0,MATCH(C2694,Lists!$H$4:$AA$4,0)),D2694)=0,"Check sub-category","OK"))))</f>
        <v/>
      </c>
      <c r="P2694">
        <f>IF(ISNUMBER(I2694),I2694+ROW()/10000000,"")</f>
        <v/>
      </c>
      <c r="Q2694">
        <f>IF(AND(ISNUMBER(P2694),ISNUMBER(A2694)),IF(AND(A2694&gt;=Dashboard!$Q$3,A2694&lt;=Dashboard!$Q$4,OR(J2694&lt;&gt;"Yes",Dashboard!$Q$15="Yes")),P2694,""),"")</f>
        <v/>
      </c>
    </row>
    <row r="2695">
      <c r="A2695" s="47" t="n"/>
      <c r="B2695" s="48" t="n"/>
      <c r="C2695" s="48" t="n"/>
      <c r="D2695" s="48" t="n"/>
      <c r="E2695" s="48" t="n"/>
      <c r="F2695" s="48" t="n"/>
      <c r="G2695" s="48" t="n"/>
      <c r="H2695" s="48" t="n"/>
      <c r="I2695" s="49" t="n"/>
      <c r="J2695" s="50" t="n"/>
      <c r="K2695" s="48" t="n"/>
      <c r="L2695" s="51">
        <f>IF(A2695="","",DATE(YEAR(A2695),MONTH(A2695),1))</f>
        <v/>
      </c>
      <c r="M2695" s="52">
        <f>IF(OR(A2695="",NOT(ISNUMBER(I2695))),"",IF(G2695=Lists!$B$5,I2695/2,IF(G2695=Lists!$B$6,I2695,0)))</f>
        <v/>
      </c>
      <c r="N2695" s="52">
        <f>IF(OR(A2695="",NOT(ISNUMBER(I2695))),"",IF(G2695=Lists!$B$5,I2695/2,IF(G2695=Lists!$B$7,I2695,0)))</f>
        <v/>
      </c>
      <c r="O2695" s="53">
        <f>IF(COUNTA(A2695:K2695)=0,"",IF(OR(A2695="",B2695="",C2695="",D2695="",E2695="",F2695="",G2695="",NOT(ISNUMBER(I2695))),"Incomplete",IF(COUNTIF(Lists!$H$4:$AA$4,C2695)=0,"Check category",IF(COUNTIF(INDEX(Lists!$H$6:$AA$45,0,MATCH(C2695,Lists!$H$4:$AA$4,0)),D2695)=0,"Check sub-category","OK"))))</f>
        <v/>
      </c>
      <c r="P2695">
        <f>IF(ISNUMBER(I2695),I2695+ROW()/10000000,"")</f>
        <v/>
      </c>
      <c r="Q2695">
        <f>IF(AND(ISNUMBER(P2695),ISNUMBER(A2695)),IF(AND(A2695&gt;=Dashboard!$Q$3,A2695&lt;=Dashboard!$Q$4,OR(J2695&lt;&gt;"Yes",Dashboard!$Q$15="Yes")),P2695,""),"")</f>
        <v/>
      </c>
    </row>
    <row r="2696">
      <c r="A2696" s="47" t="n"/>
      <c r="B2696" s="48" t="n"/>
      <c r="C2696" s="48" t="n"/>
      <c r="D2696" s="48" t="n"/>
      <c r="E2696" s="48" t="n"/>
      <c r="F2696" s="48" t="n"/>
      <c r="G2696" s="48" t="n"/>
      <c r="H2696" s="48" t="n"/>
      <c r="I2696" s="49" t="n"/>
      <c r="J2696" s="50" t="n"/>
      <c r="K2696" s="48" t="n"/>
      <c r="L2696" s="51">
        <f>IF(A2696="","",DATE(YEAR(A2696),MONTH(A2696),1))</f>
        <v/>
      </c>
      <c r="M2696" s="52">
        <f>IF(OR(A2696="",NOT(ISNUMBER(I2696))),"",IF(G2696=Lists!$B$5,I2696/2,IF(G2696=Lists!$B$6,I2696,0)))</f>
        <v/>
      </c>
      <c r="N2696" s="52">
        <f>IF(OR(A2696="",NOT(ISNUMBER(I2696))),"",IF(G2696=Lists!$B$5,I2696/2,IF(G2696=Lists!$B$7,I2696,0)))</f>
        <v/>
      </c>
      <c r="O2696" s="53">
        <f>IF(COUNTA(A2696:K2696)=0,"",IF(OR(A2696="",B2696="",C2696="",D2696="",E2696="",F2696="",G2696="",NOT(ISNUMBER(I2696))),"Incomplete",IF(COUNTIF(Lists!$H$4:$AA$4,C2696)=0,"Check category",IF(COUNTIF(INDEX(Lists!$H$6:$AA$45,0,MATCH(C2696,Lists!$H$4:$AA$4,0)),D2696)=0,"Check sub-category","OK"))))</f>
        <v/>
      </c>
      <c r="P2696">
        <f>IF(ISNUMBER(I2696),I2696+ROW()/10000000,"")</f>
        <v/>
      </c>
      <c r="Q2696">
        <f>IF(AND(ISNUMBER(P2696),ISNUMBER(A2696)),IF(AND(A2696&gt;=Dashboard!$Q$3,A2696&lt;=Dashboard!$Q$4,OR(J2696&lt;&gt;"Yes",Dashboard!$Q$15="Yes")),P2696,""),"")</f>
        <v/>
      </c>
    </row>
    <row r="2697">
      <c r="A2697" s="47" t="n"/>
      <c r="B2697" s="48" t="n"/>
      <c r="C2697" s="48" t="n"/>
      <c r="D2697" s="48" t="n"/>
      <c r="E2697" s="48" t="n"/>
      <c r="F2697" s="48" t="n"/>
      <c r="G2697" s="48" t="n"/>
      <c r="H2697" s="48" t="n"/>
      <c r="I2697" s="49" t="n"/>
      <c r="J2697" s="50" t="n"/>
      <c r="K2697" s="48" t="n"/>
      <c r="L2697" s="51">
        <f>IF(A2697="","",DATE(YEAR(A2697),MONTH(A2697),1))</f>
        <v/>
      </c>
      <c r="M2697" s="52">
        <f>IF(OR(A2697="",NOT(ISNUMBER(I2697))),"",IF(G2697=Lists!$B$5,I2697/2,IF(G2697=Lists!$B$6,I2697,0)))</f>
        <v/>
      </c>
      <c r="N2697" s="52">
        <f>IF(OR(A2697="",NOT(ISNUMBER(I2697))),"",IF(G2697=Lists!$B$5,I2697/2,IF(G2697=Lists!$B$7,I2697,0)))</f>
        <v/>
      </c>
      <c r="O2697" s="53">
        <f>IF(COUNTA(A2697:K2697)=0,"",IF(OR(A2697="",B2697="",C2697="",D2697="",E2697="",F2697="",G2697="",NOT(ISNUMBER(I2697))),"Incomplete",IF(COUNTIF(Lists!$H$4:$AA$4,C2697)=0,"Check category",IF(COUNTIF(INDEX(Lists!$H$6:$AA$45,0,MATCH(C2697,Lists!$H$4:$AA$4,0)),D2697)=0,"Check sub-category","OK"))))</f>
        <v/>
      </c>
      <c r="P2697">
        <f>IF(ISNUMBER(I2697),I2697+ROW()/10000000,"")</f>
        <v/>
      </c>
      <c r="Q2697">
        <f>IF(AND(ISNUMBER(P2697),ISNUMBER(A2697)),IF(AND(A2697&gt;=Dashboard!$Q$3,A2697&lt;=Dashboard!$Q$4,OR(J2697&lt;&gt;"Yes",Dashboard!$Q$15="Yes")),P2697,""),"")</f>
        <v/>
      </c>
    </row>
    <row r="2698">
      <c r="A2698" s="47" t="n"/>
      <c r="B2698" s="48" t="n"/>
      <c r="C2698" s="48" t="n"/>
      <c r="D2698" s="48" t="n"/>
      <c r="E2698" s="48" t="n"/>
      <c r="F2698" s="48" t="n"/>
      <c r="G2698" s="48" t="n"/>
      <c r="H2698" s="48" t="n"/>
      <c r="I2698" s="49" t="n"/>
      <c r="J2698" s="50" t="n"/>
      <c r="K2698" s="48" t="n"/>
      <c r="L2698" s="51">
        <f>IF(A2698="","",DATE(YEAR(A2698),MONTH(A2698),1))</f>
        <v/>
      </c>
      <c r="M2698" s="52">
        <f>IF(OR(A2698="",NOT(ISNUMBER(I2698))),"",IF(G2698=Lists!$B$5,I2698/2,IF(G2698=Lists!$B$6,I2698,0)))</f>
        <v/>
      </c>
      <c r="N2698" s="52">
        <f>IF(OR(A2698="",NOT(ISNUMBER(I2698))),"",IF(G2698=Lists!$B$5,I2698/2,IF(G2698=Lists!$B$7,I2698,0)))</f>
        <v/>
      </c>
      <c r="O2698" s="53">
        <f>IF(COUNTA(A2698:K2698)=0,"",IF(OR(A2698="",B2698="",C2698="",D2698="",E2698="",F2698="",G2698="",NOT(ISNUMBER(I2698))),"Incomplete",IF(COUNTIF(Lists!$H$4:$AA$4,C2698)=0,"Check category",IF(COUNTIF(INDEX(Lists!$H$6:$AA$45,0,MATCH(C2698,Lists!$H$4:$AA$4,0)),D2698)=0,"Check sub-category","OK"))))</f>
        <v/>
      </c>
      <c r="P2698">
        <f>IF(ISNUMBER(I2698),I2698+ROW()/10000000,"")</f>
        <v/>
      </c>
      <c r="Q2698">
        <f>IF(AND(ISNUMBER(P2698),ISNUMBER(A2698)),IF(AND(A2698&gt;=Dashboard!$Q$3,A2698&lt;=Dashboard!$Q$4,OR(J2698&lt;&gt;"Yes",Dashboard!$Q$15="Yes")),P2698,""),"")</f>
        <v/>
      </c>
    </row>
    <row r="2699">
      <c r="A2699" s="47" t="n"/>
      <c r="B2699" s="48" t="n"/>
      <c r="C2699" s="48" t="n"/>
      <c r="D2699" s="48" t="n"/>
      <c r="E2699" s="48" t="n"/>
      <c r="F2699" s="48" t="n"/>
      <c r="G2699" s="48" t="n"/>
      <c r="H2699" s="48" t="n"/>
      <c r="I2699" s="49" t="n"/>
      <c r="J2699" s="50" t="n"/>
      <c r="K2699" s="48" t="n"/>
      <c r="L2699" s="51">
        <f>IF(A2699="","",DATE(YEAR(A2699),MONTH(A2699),1))</f>
        <v/>
      </c>
      <c r="M2699" s="52">
        <f>IF(OR(A2699="",NOT(ISNUMBER(I2699))),"",IF(G2699=Lists!$B$5,I2699/2,IF(G2699=Lists!$B$6,I2699,0)))</f>
        <v/>
      </c>
      <c r="N2699" s="52">
        <f>IF(OR(A2699="",NOT(ISNUMBER(I2699))),"",IF(G2699=Lists!$B$5,I2699/2,IF(G2699=Lists!$B$7,I2699,0)))</f>
        <v/>
      </c>
      <c r="O2699" s="53">
        <f>IF(COUNTA(A2699:K2699)=0,"",IF(OR(A2699="",B2699="",C2699="",D2699="",E2699="",F2699="",G2699="",NOT(ISNUMBER(I2699))),"Incomplete",IF(COUNTIF(Lists!$H$4:$AA$4,C2699)=0,"Check category",IF(COUNTIF(INDEX(Lists!$H$6:$AA$45,0,MATCH(C2699,Lists!$H$4:$AA$4,0)),D2699)=0,"Check sub-category","OK"))))</f>
        <v/>
      </c>
      <c r="P2699">
        <f>IF(ISNUMBER(I2699),I2699+ROW()/10000000,"")</f>
        <v/>
      </c>
      <c r="Q2699">
        <f>IF(AND(ISNUMBER(P2699),ISNUMBER(A2699)),IF(AND(A2699&gt;=Dashboard!$Q$3,A2699&lt;=Dashboard!$Q$4,OR(J2699&lt;&gt;"Yes",Dashboard!$Q$15="Yes")),P2699,""),"")</f>
        <v/>
      </c>
    </row>
    <row r="2700">
      <c r="A2700" s="47" t="n"/>
      <c r="B2700" s="48" t="n"/>
      <c r="C2700" s="48" t="n"/>
      <c r="D2700" s="48" t="n"/>
      <c r="E2700" s="48" t="n"/>
      <c r="F2700" s="48" t="n"/>
      <c r="G2700" s="48" t="n"/>
      <c r="H2700" s="48" t="n"/>
      <c r="I2700" s="49" t="n"/>
      <c r="J2700" s="50" t="n"/>
      <c r="K2700" s="48" t="n"/>
      <c r="L2700" s="51">
        <f>IF(A2700="","",DATE(YEAR(A2700),MONTH(A2700),1))</f>
        <v/>
      </c>
      <c r="M2700" s="52">
        <f>IF(OR(A2700="",NOT(ISNUMBER(I2700))),"",IF(G2700=Lists!$B$5,I2700/2,IF(G2700=Lists!$B$6,I2700,0)))</f>
        <v/>
      </c>
      <c r="N2700" s="52">
        <f>IF(OR(A2700="",NOT(ISNUMBER(I2700))),"",IF(G2700=Lists!$B$5,I2700/2,IF(G2700=Lists!$B$7,I2700,0)))</f>
        <v/>
      </c>
      <c r="O2700" s="53">
        <f>IF(COUNTA(A2700:K2700)=0,"",IF(OR(A2700="",B2700="",C2700="",D2700="",E2700="",F2700="",G2700="",NOT(ISNUMBER(I2700))),"Incomplete",IF(COUNTIF(Lists!$H$4:$AA$4,C2700)=0,"Check category",IF(COUNTIF(INDEX(Lists!$H$6:$AA$45,0,MATCH(C2700,Lists!$H$4:$AA$4,0)),D2700)=0,"Check sub-category","OK"))))</f>
        <v/>
      </c>
      <c r="P2700">
        <f>IF(ISNUMBER(I2700),I2700+ROW()/10000000,"")</f>
        <v/>
      </c>
      <c r="Q2700">
        <f>IF(AND(ISNUMBER(P2700),ISNUMBER(A2700)),IF(AND(A2700&gt;=Dashboard!$Q$3,A2700&lt;=Dashboard!$Q$4,OR(J2700&lt;&gt;"Yes",Dashboard!$Q$15="Yes")),P2700,""),"")</f>
        <v/>
      </c>
    </row>
    <row r="2701">
      <c r="A2701" s="47" t="n"/>
      <c r="B2701" s="48" t="n"/>
      <c r="C2701" s="48" t="n"/>
      <c r="D2701" s="48" t="n"/>
      <c r="E2701" s="48" t="n"/>
      <c r="F2701" s="48" t="n"/>
      <c r="G2701" s="48" t="n"/>
      <c r="H2701" s="48" t="n"/>
      <c r="I2701" s="49" t="n"/>
      <c r="J2701" s="50" t="n"/>
      <c r="K2701" s="48" t="n"/>
      <c r="L2701" s="51">
        <f>IF(A2701="","",DATE(YEAR(A2701),MONTH(A2701),1))</f>
        <v/>
      </c>
      <c r="M2701" s="52">
        <f>IF(OR(A2701="",NOT(ISNUMBER(I2701))),"",IF(G2701=Lists!$B$5,I2701/2,IF(G2701=Lists!$B$6,I2701,0)))</f>
        <v/>
      </c>
      <c r="N2701" s="52">
        <f>IF(OR(A2701="",NOT(ISNUMBER(I2701))),"",IF(G2701=Lists!$B$5,I2701/2,IF(G2701=Lists!$B$7,I2701,0)))</f>
        <v/>
      </c>
      <c r="O2701" s="53">
        <f>IF(COUNTA(A2701:K2701)=0,"",IF(OR(A2701="",B2701="",C2701="",D2701="",E2701="",F2701="",G2701="",NOT(ISNUMBER(I2701))),"Incomplete",IF(COUNTIF(Lists!$H$4:$AA$4,C2701)=0,"Check category",IF(COUNTIF(INDEX(Lists!$H$6:$AA$45,0,MATCH(C2701,Lists!$H$4:$AA$4,0)),D2701)=0,"Check sub-category","OK"))))</f>
        <v/>
      </c>
      <c r="P2701">
        <f>IF(ISNUMBER(I2701),I2701+ROW()/10000000,"")</f>
        <v/>
      </c>
      <c r="Q2701">
        <f>IF(AND(ISNUMBER(P2701),ISNUMBER(A2701)),IF(AND(A2701&gt;=Dashboard!$Q$3,A2701&lt;=Dashboard!$Q$4,OR(J2701&lt;&gt;"Yes",Dashboard!$Q$15="Yes")),P2701,""),"")</f>
        <v/>
      </c>
    </row>
    <row r="2702">
      <c r="A2702" s="47" t="n"/>
      <c r="B2702" s="48" t="n"/>
      <c r="C2702" s="48" t="n"/>
      <c r="D2702" s="48" t="n"/>
      <c r="E2702" s="48" t="n"/>
      <c r="F2702" s="48" t="n"/>
      <c r="G2702" s="48" t="n"/>
      <c r="H2702" s="48" t="n"/>
      <c r="I2702" s="49" t="n"/>
      <c r="J2702" s="50" t="n"/>
      <c r="K2702" s="48" t="n"/>
      <c r="L2702" s="51">
        <f>IF(A2702="","",DATE(YEAR(A2702),MONTH(A2702),1))</f>
        <v/>
      </c>
      <c r="M2702" s="52">
        <f>IF(OR(A2702="",NOT(ISNUMBER(I2702))),"",IF(G2702=Lists!$B$5,I2702/2,IF(G2702=Lists!$B$6,I2702,0)))</f>
        <v/>
      </c>
      <c r="N2702" s="52">
        <f>IF(OR(A2702="",NOT(ISNUMBER(I2702))),"",IF(G2702=Lists!$B$5,I2702/2,IF(G2702=Lists!$B$7,I2702,0)))</f>
        <v/>
      </c>
      <c r="O2702" s="53">
        <f>IF(COUNTA(A2702:K2702)=0,"",IF(OR(A2702="",B2702="",C2702="",D2702="",E2702="",F2702="",G2702="",NOT(ISNUMBER(I2702))),"Incomplete",IF(COUNTIF(Lists!$H$4:$AA$4,C2702)=0,"Check category",IF(COUNTIF(INDEX(Lists!$H$6:$AA$45,0,MATCH(C2702,Lists!$H$4:$AA$4,0)),D2702)=0,"Check sub-category","OK"))))</f>
        <v/>
      </c>
      <c r="P2702">
        <f>IF(ISNUMBER(I2702),I2702+ROW()/10000000,"")</f>
        <v/>
      </c>
      <c r="Q2702">
        <f>IF(AND(ISNUMBER(P2702),ISNUMBER(A2702)),IF(AND(A2702&gt;=Dashboard!$Q$3,A2702&lt;=Dashboard!$Q$4,OR(J2702&lt;&gt;"Yes",Dashboard!$Q$15="Yes")),P2702,""),"")</f>
        <v/>
      </c>
    </row>
    <row r="2703">
      <c r="A2703" s="47" t="n"/>
      <c r="B2703" s="48" t="n"/>
      <c r="C2703" s="48" t="n"/>
      <c r="D2703" s="48" t="n"/>
      <c r="E2703" s="48" t="n"/>
      <c r="F2703" s="48" t="n"/>
      <c r="G2703" s="48" t="n"/>
      <c r="H2703" s="48" t="n"/>
      <c r="I2703" s="49" t="n"/>
      <c r="J2703" s="50" t="n"/>
      <c r="K2703" s="48" t="n"/>
      <c r="L2703" s="51">
        <f>IF(A2703="","",DATE(YEAR(A2703),MONTH(A2703),1))</f>
        <v/>
      </c>
      <c r="M2703" s="52">
        <f>IF(OR(A2703="",NOT(ISNUMBER(I2703))),"",IF(G2703=Lists!$B$5,I2703/2,IF(G2703=Lists!$B$6,I2703,0)))</f>
        <v/>
      </c>
      <c r="N2703" s="52">
        <f>IF(OR(A2703="",NOT(ISNUMBER(I2703))),"",IF(G2703=Lists!$B$5,I2703/2,IF(G2703=Lists!$B$7,I2703,0)))</f>
        <v/>
      </c>
      <c r="O2703" s="53">
        <f>IF(COUNTA(A2703:K2703)=0,"",IF(OR(A2703="",B2703="",C2703="",D2703="",E2703="",F2703="",G2703="",NOT(ISNUMBER(I2703))),"Incomplete",IF(COUNTIF(Lists!$H$4:$AA$4,C2703)=0,"Check category",IF(COUNTIF(INDEX(Lists!$H$6:$AA$45,0,MATCH(C2703,Lists!$H$4:$AA$4,0)),D2703)=0,"Check sub-category","OK"))))</f>
        <v/>
      </c>
      <c r="P2703">
        <f>IF(ISNUMBER(I2703),I2703+ROW()/10000000,"")</f>
        <v/>
      </c>
      <c r="Q2703">
        <f>IF(AND(ISNUMBER(P2703),ISNUMBER(A2703)),IF(AND(A2703&gt;=Dashboard!$Q$3,A2703&lt;=Dashboard!$Q$4,OR(J2703&lt;&gt;"Yes",Dashboard!$Q$15="Yes")),P2703,""),"")</f>
        <v/>
      </c>
    </row>
    <row r="2704">
      <c r="A2704" s="47" t="n"/>
      <c r="B2704" s="48" t="n"/>
      <c r="C2704" s="48" t="n"/>
      <c r="D2704" s="48" t="n"/>
      <c r="E2704" s="48" t="n"/>
      <c r="F2704" s="48" t="n"/>
      <c r="G2704" s="48" t="n"/>
      <c r="H2704" s="48" t="n"/>
      <c r="I2704" s="49" t="n"/>
      <c r="J2704" s="50" t="n"/>
      <c r="K2704" s="48" t="n"/>
      <c r="L2704" s="51">
        <f>IF(A2704="","",DATE(YEAR(A2704),MONTH(A2704),1))</f>
        <v/>
      </c>
      <c r="M2704" s="52">
        <f>IF(OR(A2704="",NOT(ISNUMBER(I2704))),"",IF(G2704=Lists!$B$5,I2704/2,IF(G2704=Lists!$B$6,I2704,0)))</f>
        <v/>
      </c>
      <c r="N2704" s="52">
        <f>IF(OR(A2704="",NOT(ISNUMBER(I2704))),"",IF(G2704=Lists!$B$5,I2704/2,IF(G2704=Lists!$B$7,I2704,0)))</f>
        <v/>
      </c>
      <c r="O2704" s="53">
        <f>IF(COUNTA(A2704:K2704)=0,"",IF(OR(A2704="",B2704="",C2704="",D2704="",E2704="",F2704="",G2704="",NOT(ISNUMBER(I2704))),"Incomplete",IF(COUNTIF(Lists!$H$4:$AA$4,C2704)=0,"Check category",IF(COUNTIF(INDEX(Lists!$H$6:$AA$45,0,MATCH(C2704,Lists!$H$4:$AA$4,0)),D2704)=0,"Check sub-category","OK"))))</f>
        <v/>
      </c>
      <c r="P2704">
        <f>IF(ISNUMBER(I2704),I2704+ROW()/10000000,"")</f>
        <v/>
      </c>
      <c r="Q2704">
        <f>IF(AND(ISNUMBER(P2704),ISNUMBER(A2704)),IF(AND(A2704&gt;=Dashboard!$Q$3,A2704&lt;=Dashboard!$Q$4,OR(J2704&lt;&gt;"Yes",Dashboard!$Q$15="Yes")),P2704,""),"")</f>
        <v/>
      </c>
    </row>
    <row r="2705">
      <c r="A2705" s="47" t="n"/>
      <c r="B2705" s="48" t="n"/>
      <c r="C2705" s="48" t="n"/>
      <c r="D2705" s="48" t="n"/>
      <c r="E2705" s="48" t="n"/>
      <c r="F2705" s="48" t="n"/>
      <c r="G2705" s="48" t="n"/>
      <c r="H2705" s="48" t="n"/>
      <c r="I2705" s="49" t="n"/>
      <c r="J2705" s="50" t="n"/>
      <c r="K2705" s="48" t="n"/>
      <c r="L2705" s="51">
        <f>IF(A2705="","",DATE(YEAR(A2705),MONTH(A2705),1))</f>
        <v/>
      </c>
      <c r="M2705" s="52">
        <f>IF(OR(A2705="",NOT(ISNUMBER(I2705))),"",IF(G2705=Lists!$B$5,I2705/2,IF(G2705=Lists!$B$6,I2705,0)))</f>
        <v/>
      </c>
      <c r="N2705" s="52">
        <f>IF(OR(A2705="",NOT(ISNUMBER(I2705))),"",IF(G2705=Lists!$B$5,I2705/2,IF(G2705=Lists!$B$7,I2705,0)))</f>
        <v/>
      </c>
      <c r="O2705" s="53">
        <f>IF(COUNTA(A2705:K2705)=0,"",IF(OR(A2705="",B2705="",C2705="",D2705="",E2705="",F2705="",G2705="",NOT(ISNUMBER(I2705))),"Incomplete",IF(COUNTIF(Lists!$H$4:$AA$4,C2705)=0,"Check category",IF(COUNTIF(INDEX(Lists!$H$6:$AA$45,0,MATCH(C2705,Lists!$H$4:$AA$4,0)),D2705)=0,"Check sub-category","OK"))))</f>
        <v/>
      </c>
      <c r="P2705">
        <f>IF(ISNUMBER(I2705),I2705+ROW()/10000000,"")</f>
        <v/>
      </c>
      <c r="Q2705">
        <f>IF(AND(ISNUMBER(P2705),ISNUMBER(A2705)),IF(AND(A2705&gt;=Dashboard!$Q$3,A2705&lt;=Dashboard!$Q$4,OR(J2705&lt;&gt;"Yes",Dashboard!$Q$15="Yes")),P2705,""),"")</f>
        <v/>
      </c>
    </row>
    <row r="2706">
      <c r="A2706" s="47" t="n"/>
      <c r="B2706" s="48" t="n"/>
      <c r="C2706" s="48" t="n"/>
      <c r="D2706" s="48" t="n"/>
      <c r="E2706" s="48" t="n"/>
      <c r="F2706" s="48" t="n"/>
      <c r="G2706" s="48" t="n"/>
      <c r="H2706" s="48" t="n"/>
      <c r="I2706" s="49" t="n"/>
      <c r="J2706" s="50" t="n"/>
      <c r="K2706" s="48" t="n"/>
      <c r="L2706" s="51">
        <f>IF(A2706="","",DATE(YEAR(A2706),MONTH(A2706),1))</f>
        <v/>
      </c>
      <c r="M2706" s="52">
        <f>IF(OR(A2706="",NOT(ISNUMBER(I2706))),"",IF(G2706=Lists!$B$5,I2706/2,IF(G2706=Lists!$B$6,I2706,0)))</f>
        <v/>
      </c>
      <c r="N2706" s="52">
        <f>IF(OR(A2706="",NOT(ISNUMBER(I2706))),"",IF(G2706=Lists!$B$5,I2706/2,IF(G2706=Lists!$B$7,I2706,0)))</f>
        <v/>
      </c>
      <c r="O2706" s="53">
        <f>IF(COUNTA(A2706:K2706)=0,"",IF(OR(A2706="",B2706="",C2706="",D2706="",E2706="",F2706="",G2706="",NOT(ISNUMBER(I2706))),"Incomplete",IF(COUNTIF(Lists!$H$4:$AA$4,C2706)=0,"Check category",IF(COUNTIF(INDEX(Lists!$H$6:$AA$45,0,MATCH(C2706,Lists!$H$4:$AA$4,0)),D2706)=0,"Check sub-category","OK"))))</f>
        <v/>
      </c>
      <c r="P2706">
        <f>IF(ISNUMBER(I2706),I2706+ROW()/10000000,"")</f>
        <v/>
      </c>
      <c r="Q2706">
        <f>IF(AND(ISNUMBER(P2706),ISNUMBER(A2706)),IF(AND(A2706&gt;=Dashboard!$Q$3,A2706&lt;=Dashboard!$Q$4,OR(J2706&lt;&gt;"Yes",Dashboard!$Q$15="Yes")),P2706,""),"")</f>
        <v/>
      </c>
    </row>
    <row r="2707">
      <c r="A2707" s="47" t="n"/>
      <c r="B2707" s="48" t="n"/>
      <c r="C2707" s="48" t="n"/>
      <c r="D2707" s="48" t="n"/>
      <c r="E2707" s="48" t="n"/>
      <c r="F2707" s="48" t="n"/>
      <c r="G2707" s="48" t="n"/>
      <c r="H2707" s="48" t="n"/>
      <c r="I2707" s="49" t="n"/>
      <c r="J2707" s="50" t="n"/>
      <c r="K2707" s="48" t="n"/>
      <c r="L2707" s="51">
        <f>IF(A2707="","",DATE(YEAR(A2707),MONTH(A2707),1))</f>
        <v/>
      </c>
      <c r="M2707" s="52">
        <f>IF(OR(A2707="",NOT(ISNUMBER(I2707))),"",IF(G2707=Lists!$B$5,I2707/2,IF(G2707=Lists!$B$6,I2707,0)))</f>
        <v/>
      </c>
      <c r="N2707" s="52">
        <f>IF(OR(A2707="",NOT(ISNUMBER(I2707))),"",IF(G2707=Lists!$B$5,I2707/2,IF(G2707=Lists!$B$7,I2707,0)))</f>
        <v/>
      </c>
      <c r="O2707" s="53">
        <f>IF(COUNTA(A2707:K2707)=0,"",IF(OR(A2707="",B2707="",C2707="",D2707="",E2707="",F2707="",G2707="",NOT(ISNUMBER(I2707))),"Incomplete",IF(COUNTIF(Lists!$H$4:$AA$4,C2707)=0,"Check category",IF(COUNTIF(INDEX(Lists!$H$6:$AA$45,0,MATCH(C2707,Lists!$H$4:$AA$4,0)),D2707)=0,"Check sub-category","OK"))))</f>
        <v/>
      </c>
      <c r="P2707">
        <f>IF(ISNUMBER(I2707),I2707+ROW()/10000000,"")</f>
        <v/>
      </c>
      <c r="Q2707">
        <f>IF(AND(ISNUMBER(P2707),ISNUMBER(A2707)),IF(AND(A2707&gt;=Dashboard!$Q$3,A2707&lt;=Dashboard!$Q$4,OR(J2707&lt;&gt;"Yes",Dashboard!$Q$15="Yes")),P2707,""),"")</f>
        <v/>
      </c>
    </row>
    <row r="2708">
      <c r="A2708" s="47" t="n"/>
      <c r="B2708" s="48" t="n"/>
      <c r="C2708" s="48" t="n"/>
      <c r="D2708" s="48" t="n"/>
      <c r="E2708" s="48" t="n"/>
      <c r="F2708" s="48" t="n"/>
      <c r="G2708" s="48" t="n"/>
      <c r="H2708" s="48" t="n"/>
      <c r="I2708" s="49" t="n"/>
      <c r="J2708" s="50" t="n"/>
      <c r="K2708" s="48" t="n"/>
      <c r="L2708" s="51">
        <f>IF(A2708="","",DATE(YEAR(A2708),MONTH(A2708),1))</f>
        <v/>
      </c>
      <c r="M2708" s="52">
        <f>IF(OR(A2708="",NOT(ISNUMBER(I2708))),"",IF(G2708=Lists!$B$5,I2708/2,IF(G2708=Lists!$B$6,I2708,0)))</f>
        <v/>
      </c>
      <c r="N2708" s="52">
        <f>IF(OR(A2708="",NOT(ISNUMBER(I2708))),"",IF(G2708=Lists!$B$5,I2708/2,IF(G2708=Lists!$B$7,I2708,0)))</f>
        <v/>
      </c>
      <c r="O2708" s="53">
        <f>IF(COUNTA(A2708:K2708)=0,"",IF(OR(A2708="",B2708="",C2708="",D2708="",E2708="",F2708="",G2708="",NOT(ISNUMBER(I2708))),"Incomplete",IF(COUNTIF(Lists!$H$4:$AA$4,C2708)=0,"Check category",IF(COUNTIF(INDEX(Lists!$H$6:$AA$45,0,MATCH(C2708,Lists!$H$4:$AA$4,0)),D2708)=0,"Check sub-category","OK"))))</f>
        <v/>
      </c>
      <c r="P2708">
        <f>IF(ISNUMBER(I2708),I2708+ROW()/10000000,"")</f>
        <v/>
      </c>
      <c r="Q2708">
        <f>IF(AND(ISNUMBER(P2708),ISNUMBER(A2708)),IF(AND(A2708&gt;=Dashboard!$Q$3,A2708&lt;=Dashboard!$Q$4,OR(J2708&lt;&gt;"Yes",Dashboard!$Q$15="Yes")),P2708,""),"")</f>
        <v/>
      </c>
    </row>
    <row r="2709">
      <c r="A2709" s="47" t="n"/>
      <c r="B2709" s="48" t="n"/>
      <c r="C2709" s="48" t="n"/>
      <c r="D2709" s="48" t="n"/>
      <c r="E2709" s="48" t="n"/>
      <c r="F2709" s="48" t="n"/>
      <c r="G2709" s="48" t="n"/>
      <c r="H2709" s="48" t="n"/>
      <c r="I2709" s="49" t="n"/>
      <c r="J2709" s="50" t="n"/>
      <c r="K2709" s="48" t="n"/>
      <c r="L2709" s="51">
        <f>IF(A2709="","",DATE(YEAR(A2709),MONTH(A2709),1))</f>
        <v/>
      </c>
      <c r="M2709" s="52">
        <f>IF(OR(A2709="",NOT(ISNUMBER(I2709))),"",IF(G2709=Lists!$B$5,I2709/2,IF(G2709=Lists!$B$6,I2709,0)))</f>
        <v/>
      </c>
      <c r="N2709" s="52">
        <f>IF(OR(A2709="",NOT(ISNUMBER(I2709))),"",IF(G2709=Lists!$B$5,I2709/2,IF(G2709=Lists!$B$7,I2709,0)))</f>
        <v/>
      </c>
      <c r="O2709" s="53">
        <f>IF(COUNTA(A2709:K2709)=0,"",IF(OR(A2709="",B2709="",C2709="",D2709="",E2709="",F2709="",G2709="",NOT(ISNUMBER(I2709))),"Incomplete",IF(COUNTIF(Lists!$H$4:$AA$4,C2709)=0,"Check category",IF(COUNTIF(INDEX(Lists!$H$6:$AA$45,0,MATCH(C2709,Lists!$H$4:$AA$4,0)),D2709)=0,"Check sub-category","OK"))))</f>
        <v/>
      </c>
      <c r="P2709">
        <f>IF(ISNUMBER(I2709),I2709+ROW()/10000000,"")</f>
        <v/>
      </c>
      <c r="Q2709">
        <f>IF(AND(ISNUMBER(P2709),ISNUMBER(A2709)),IF(AND(A2709&gt;=Dashboard!$Q$3,A2709&lt;=Dashboard!$Q$4,OR(J2709&lt;&gt;"Yes",Dashboard!$Q$15="Yes")),P2709,""),"")</f>
        <v/>
      </c>
    </row>
    <row r="2710">
      <c r="A2710" s="47" t="n"/>
      <c r="B2710" s="48" t="n"/>
      <c r="C2710" s="48" t="n"/>
      <c r="D2710" s="48" t="n"/>
      <c r="E2710" s="48" t="n"/>
      <c r="F2710" s="48" t="n"/>
      <c r="G2710" s="48" t="n"/>
      <c r="H2710" s="48" t="n"/>
      <c r="I2710" s="49" t="n"/>
      <c r="J2710" s="50" t="n"/>
      <c r="K2710" s="48" t="n"/>
      <c r="L2710" s="51">
        <f>IF(A2710="","",DATE(YEAR(A2710),MONTH(A2710),1))</f>
        <v/>
      </c>
      <c r="M2710" s="52">
        <f>IF(OR(A2710="",NOT(ISNUMBER(I2710))),"",IF(G2710=Lists!$B$5,I2710/2,IF(G2710=Lists!$B$6,I2710,0)))</f>
        <v/>
      </c>
      <c r="N2710" s="52">
        <f>IF(OR(A2710="",NOT(ISNUMBER(I2710))),"",IF(G2710=Lists!$B$5,I2710/2,IF(G2710=Lists!$B$7,I2710,0)))</f>
        <v/>
      </c>
      <c r="O2710" s="53">
        <f>IF(COUNTA(A2710:K2710)=0,"",IF(OR(A2710="",B2710="",C2710="",D2710="",E2710="",F2710="",G2710="",NOT(ISNUMBER(I2710))),"Incomplete",IF(COUNTIF(Lists!$H$4:$AA$4,C2710)=0,"Check category",IF(COUNTIF(INDEX(Lists!$H$6:$AA$45,0,MATCH(C2710,Lists!$H$4:$AA$4,0)),D2710)=0,"Check sub-category","OK"))))</f>
        <v/>
      </c>
      <c r="P2710">
        <f>IF(ISNUMBER(I2710),I2710+ROW()/10000000,"")</f>
        <v/>
      </c>
      <c r="Q2710">
        <f>IF(AND(ISNUMBER(P2710),ISNUMBER(A2710)),IF(AND(A2710&gt;=Dashboard!$Q$3,A2710&lt;=Dashboard!$Q$4,OR(J2710&lt;&gt;"Yes",Dashboard!$Q$15="Yes")),P2710,""),"")</f>
        <v/>
      </c>
    </row>
    <row r="2711">
      <c r="A2711" s="47" t="n"/>
      <c r="B2711" s="48" t="n"/>
      <c r="C2711" s="48" t="n"/>
      <c r="D2711" s="48" t="n"/>
      <c r="E2711" s="48" t="n"/>
      <c r="F2711" s="48" t="n"/>
      <c r="G2711" s="48" t="n"/>
      <c r="H2711" s="48" t="n"/>
      <c r="I2711" s="49" t="n"/>
      <c r="J2711" s="50" t="n"/>
      <c r="K2711" s="48" t="n"/>
      <c r="L2711" s="51">
        <f>IF(A2711="","",DATE(YEAR(A2711),MONTH(A2711),1))</f>
        <v/>
      </c>
      <c r="M2711" s="52">
        <f>IF(OR(A2711="",NOT(ISNUMBER(I2711))),"",IF(G2711=Lists!$B$5,I2711/2,IF(G2711=Lists!$B$6,I2711,0)))</f>
        <v/>
      </c>
      <c r="N2711" s="52">
        <f>IF(OR(A2711="",NOT(ISNUMBER(I2711))),"",IF(G2711=Lists!$B$5,I2711/2,IF(G2711=Lists!$B$7,I2711,0)))</f>
        <v/>
      </c>
      <c r="O2711" s="53">
        <f>IF(COUNTA(A2711:K2711)=0,"",IF(OR(A2711="",B2711="",C2711="",D2711="",E2711="",F2711="",G2711="",NOT(ISNUMBER(I2711))),"Incomplete",IF(COUNTIF(Lists!$H$4:$AA$4,C2711)=0,"Check category",IF(COUNTIF(INDEX(Lists!$H$6:$AA$45,0,MATCH(C2711,Lists!$H$4:$AA$4,0)),D2711)=0,"Check sub-category","OK"))))</f>
        <v/>
      </c>
      <c r="P2711">
        <f>IF(ISNUMBER(I2711),I2711+ROW()/10000000,"")</f>
        <v/>
      </c>
      <c r="Q2711">
        <f>IF(AND(ISNUMBER(P2711),ISNUMBER(A2711)),IF(AND(A2711&gt;=Dashboard!$Q$3,A2711&lt;=Dashboard!$Q$4,OR(J2711&lt;&gt;"Yes",Dashboard!$Q$15="Yes")),P2711,""),"")</f>
        <v/>
      </c>
    </row>
    <row r="2712">
      <c r="A2712" s="47" t="n"/>
      <c r="B2712" s="48" t="n"/>
      <c r="C2712" s="48" t="n"/>
      <c r="D2712" s="48" t="n"/>
      <c r="E2712" s="48" t="n"/>
      <c r="F2712" s="48" t="n"/>
      <c r="G2712" s="48" t="n"/>
      <c r="H2712" s="48" t="n"/>
      <c r="I2712" s="49" t="n"/>
      <c r="J2712" s="50" t="n"/>
      <c r="K2712" s="48" t="n"/>
      <c r="L2712" s="51">
        <f>IF(A2712="","",DATE(YEAR(A2712),MONTH(A2712),1))</f>
        <v/>
      </c>
      <c r="M2712" s="52">
        <f>IF(OR(A2712="",NOT(ISNUMBER(I2712))),"",IF(G2712=Lists!$B$5,I2712/2,IF(G2712=Lists!$B$6,I2712,0)))</f>
        <v/>
      </c>
      <c r="N2712" s="52">
        <f>IF(OR(A2712="",NOT(ISNUMBER(I2712))),"",IF(G2712=Lists!$B$5,I2712/2,IF(G2712=Lists!$B$7,I2712,0)))</f>
        <v/>
      </c>
      <c r="O2712" s="53">
        <f>IF(COUNTA(A2712:K2712)=0,"",IF(OR(A2712="",B2712="",C2712="",D2712="",E2712="",F2712="",G2712="",NOT(ISNUMBER(I2712))),"Incomplete",IF(COUNTIF(Lists!$H$4:$AA$4,C2712)=0,"Check category",IF(COUNTIF(INDEX(Lists!$H$6:$AA$45,0,MATCH(C2712,Lists!$H$4:$AA$4,0)),D2712)=0,"Check sub-category","OK"))))</f>
        <v/>
      </c>
      <c r="P2712">
        <f>IF(ISNUMBER(I2712),I2712+ROW()/10000000,"")</f>
        <v/>
      </c>
      <c r="Q2712">
        <f>IF(AND(ISNUMBER(P2712),ISNUMBER(A2712)),IF(AND(A2712&gt;=Dashboard!$Q$3,A2712&lt;=Dashboard!$Q$4,OR(J2712&lt;&gt;"Yes",Dashboard!$Q$15="Yes")),P2712,""),"")</f>
        <v/>
      </c>
    </row>
    <row r="2713">
      <c r="A2713" s="47" t="n"/>
      <c r="B2713" s="48" t="n"/>
      <c r="C2713" s="48" t="n"/>
      <c r="D2713" s="48" t="n"/>
      <c r="E2713" s="48" t="n"/>
      <c r="F2713" s="48" t="n"/>
      <c r="G2713" s="48" t="n"/>
      <c r="H2713" s="48" t="n"/>
      <c r="I2713" s="49" t="n"/>
      <c r="J2713" s="50" t="n"/>
      <c r="K2713" s="48" t="n"/>
      <c r="L2713" s="51">
        <f>IF(A2713="","",DATE(YEAR(A2713),MONTH(A2713),1))</f>
        <v/>
      </c>
      <c r="M2713" s="52">
        <f>IF(OR(A2713="",NOT(ISNUMBER(I2713))),"",IF(G2713=Lists!$B$5,I2713/2,IF(G2713=Lists!$B$6,I2713,0)))</f>
        <v/>
      </c>
      <c r="N2713" s="52">
        <f>IF(OR(A2713="",NOT(ISNUMBER(I2713))),"",IF(G2713=Lists!$B$5,I2713/2,IF(G2713=Lists!$B$7,I2713,0)))</f>
        <v/>
      </c>
      <c r="O2713" s="53">
        <f>IF(COUNTA(A2713:K2713)=0,"",IF(OR(A2713="",B2713="",C2713="",D2713="",E2713="",F2713="",G2713="",NOT(ISNUMBER(I2713))),"Incomplete",IF(COUNTIF(Lists!$H$4:$AA$4,C2713)=0,"Check category",IF(COUNTIF(INDEX(Lists!$H$6:$AA$45,0,MATCH(C2713,Lists!$H$4:$AA$4,0)),D2713)=0,"Check sub-category","OK"))))</f>
        <v/>
      </c>
      <c r="P2713">
        <f>IF(ISNUMBER(I2713),I2713+ROW()/10000000,"")</f>
        <v/>
      </c>
      <c r="Q2713">
        <f>IF(AND(ISNUMBER(P2713),ISNUMBER(A2713)),IF(AND(A2713&gt;=Dashboard!$Q$3,A2713&lt;=Dashboard!$Q$4,OR(J2713&lt;&gt;"Yes",Dashboard!$Q$15="Yes")),P2713,""),"")</f>
        <v/>
      </c>
    </row>
    <row r="2714">
      <c r="A2714" s="47" t="n"/>
      <c r="B2714" s="48" t="n"/>
      <c r="C2714" s="48" t="n"/>
      <c r="D2714" s="48" t="n"/>
      <c r="E2714" s="48" t="n"/>
      <c r="F2714" s="48" t="n"/>
      <c r="G2714" s="48" t="n"/>
      <c r="H2714" s="48" t="n"/>
      <c r="I2714" s="49" t="n"/>
      <c r="J2714" s="50" t="n"/>
      <c r="K2714" s="48" t="n"/>
      <c r="L2714" s="51">
        <f>IF(A2714="","",DATE(YEAR(A2714),MONTH(A2714),1))</f>
        <v/>
      </c>
      <c r="M2714" s="52">
        <f>IF(OR(A2714="",NOT(ISNUMBER(I2714))),"",IF(G2714=Lists!$B$5,I2714/2,IF(G2714=Lists!$B$6,I2714,0)))</f>
        <v/>
      </c>
      <c r="N2714" s="52">
        <f>IF(OR(A2714="",NOT(ISNUMBER(I2714))),"",IF(G2714=Lists!$B$5,I2714/2,IF(G2714=Lists!$B$7,I2714,0)))</f>
        <v/>
      </c>
      <c r="O2714" s="53">
        <f>IF(COUNTA(A2714:K2714)=0,"",IF(OR(A2714="",B2714="",C2714="",D2714="",E2714="",F2714="",G2714="",NOT(ISNUMBER(I2714))),"Incomplete",IF(COUNTIF(Lists!$H$4:$AA$4,C2714)=0,"Check category",IF(COUNTIF(INDEX(Lists!$H$6:$AA$45,0,MATCH(C2714,Lists!$H$4:$AA$4,0)),D2714)=0,"Check sub-category","OK"))))</f>
        <v/>
      </c>
      <c r="P2714">
        <f>IF(ISNUMBER(I2714),I2714+ROW()/10000000,"")</f>
        <v/>
      </c>
      <c r="Q2714">
        <f>IF(AND(ISNUMBER(P2714),ISNUMBER(A2714)),IF(AND(A2714&gt;=Dashboard!$Q$3,A2714&lt;=Dashboard!$Q$4,OR(J2714&lt;&gt;"Yes",Dashboard!$Q$15="Yes")),P2714,""),"")</f>
        <v/>
      </c>
    </row>
    <row r="2715">
      <c r="A2715" s="47" t="n"/>
      <c r="B2715" s="48" t="n"/>
      <c r="C2715" s="48" t="n"/>
      <c r="D2715" s="48" t="n"/>
      <c r="E2715" s="48" t="n"/>
      <c r="F2715" s="48" t="n"/>
      <c r="G2715" s="48" t="n"/>
      <c r="H2715" s="48" t="n"/>
      <c r="I2715" s="49" t="n"/>
      <c r="J2715" s="50" t="n"/>
      <c r="K2715" s="48" t="n"/>
      <c r="L2715" s="51">
        <f>IF(A2715="","",DATE(YEAR(A2715),MONTH(A2715),1))</f>
        <v/>
      </c>
      <c r="M2715" s="52">
        <f>IF(OR(A2715="",NOT(ISNUMBER(I2715))),"",IF(G2715=Lists!$B$5,I2715/2,IF(G2715=Lists!$B$6,I2715,0)))</f>
        <v/>
      </c>
      <c r="N2715" s="52">
        <f>IF(OR(A2715="",NOT(ISNUMBER(I2715))),"",IF(G2715=Lists!$B$5,I2715/2,IF(G2715=Lists!$B$7,I2715,0)))</f>
        <v/>
      </c>
      <c r="O2715" s="53">
        <f>IF(COUNTA(A2715:K2715)=0,"",IF(OR(A2715="",B2715="",C2715="",D2715="",E2715="",F2715="",G2715="",NOT(ISNUMBER(I2715))),"Incomplete",IF(COUNTIF(Lists!$H$4:$AA$4,C2715)=0,"Check category",IF(COUNTIF(INDEX(Lists!$H$6:$AA$45,0,MATCH(C2715,Lists!$H$4:$AA$4,0)),D2715)=0,"Check sub-category","OK"))))</f>
        <v/>
      </c>
      <c r="P2715">
        <f>IF(ISNUMBER(I2715),I2715+ROW()/10000000,"")</f>
        <v/>
      </c>
      <c r="Q2715">
        <f>IF(AND(ISNUMBER(P2715),ISNUMBER(A2715)),IF(AND(A2715&gt;=Dashboard!$Q$3,A2715&lt;=Dashboard!$Q$4,OR(J2715&lt;&gt;"Yes",Dashboard!$Q$15="Yes")),P2715,""),"")</f>
        <v/>
      </c>
    </row>
    <row r="2716">
      <c r="A2716" s="47" t="n"/>
      <c r="B2716" s="48" t="n"/>
      <c r="C2716" s="48" t="n"/>
      <c r="D2716" s="48" t="n"/>
      <c r="E2716" s="48" t="n"/>
      <c r="F2716" s="48" t="n"/>
      <c r="G2716" s="48" t="n"/>
      <c r="H2716" s="48" t="n"/>
      <c r="I2716" s="49" t="n"/>
      <c r="J2716" s="50" t="n"/>
      <c r="K2716" s="48" t="n"/>
      <c r="L2716" s="51">
        <f>IF(A2716="","",DATE(YEAR(A2716),MONTH(A2716),1))</f>
        <v/>
      </c>
      <c r="M2716" s="52">
        <f>IF(OR(A2716="",NOT(ISNUMBER(I2716))),"",IF(G2716=Lists!$B$5,I2716/2,IF(G2716=Lists!$B$6,I2716,0)))</f>
        <v/>
      </c>
      <c r="N2716" s="52">
        <f>IF(OR(A2716="",NOT(ISNUMBER(I2716))),"",IF(G2716=Lists!$B$5,I2716/2,IF(G2716=Lists!$B$7,I2716,0)))</f>
        <v/>
      </c>
      <c r="O2716" s="53">
        <f>IF(COUNTA(A2716:K2716)=0,"",IF(OR(A2716="",B2716="",C2716="",D2716="",E2716="",F2716="",G2716="",NOT(ISNUMBER(I2716))),"Incomplete",IF(COUNTIF(Lists!$H$4:$AA$4,C2716)=0,"Check category",IF(COUNTIF(INDEX(Lists!$H$6:$AA$45,0,MATCH(C2716,Lists!$H$4:$AA$4,0)),D2716)=0,"Check sub-category","OK"))))</f>
        <v/>
      </c>
      <c r="P2716">
        <f>IF(ISNUMBER(I2716),I2716+ROW()/10000000,"")</f>
        <v/>
      </c>
      <c r="Q2716">
        <f>IF(AND(ISNUMBER(P2716),ISNUMBER(A2716)),IF(AND(A2716&gt;=Dashboard!$Q$3,A2716&lt;=Dashboard!$Q$4,OR(J2716&lt;&gt;"Yes",Dashboard!$Q$15="Yes")),P2716,""),"")</f>
        <v/>
      </c>
    </row>
    <row r="2717">
      <c r="A2717" s="47" t="n"/>
      <c r="B2717" s="48" t="n"/>
      <c r="C2717" s="48" t="n"/>
      <c r="D2717" s="48" t="n"/>
      <c r="E2717" s="48" t="n"/>
      <c r="F2717" s="48" t="n"/>
      <c r="G2717" s="48" t="n"/>
      <c r="H2717" s="48" t="n"/>
      <c r="I2717" s="49" t="n"/>
      <c r="J2717" s="50" t="n"/>
      <c r="K2717" s="48" t="n"/>
      <c r="L2717" s="51">
        <f>IF(A2717="","",DATE(YEAR(A2717),MONTH(A2717),1))</f>
        <v/>
      </c>
      <c r="M2717" s="52">
        <f>IF(OR(A2717="",NOT(ISNUMBER(I2717))),"",IF(G2717=Lists!$B$5,I2717/2,IF(G2717=Lists!$B$6,I2717,0)))</f>
        <v/>
      </c>
      <c r="N2717" s="52">
        <f>IF(OR(A2717="",NOT(ISNUMBER(I2717))),"",IF(G2717=Lists!$B$5,I2717/2,IF(G2717=Lists!$B$7,I2717,0)))</f>
        <v/>
      </c>
      <c r="O2717" s="53">
        <f>IF(COUNTA(A2717:K2717)=0,"",IF(OR(A2717="",B2717="",C2717="",D2717="",E2717="",F2717="",G2717="",NOT(ISNUMBER(I2717))),"Incomplete",IF(COUNTIF(Lists!$H$4:$AA$4,C2717)=0,"Check category",IF(COUNTIF(INDEX(Lists!$H$6:$AA$45,0,MATCH(C2717,Lists!$H$4:$AA$4,0)),D2717)=0,"Check sub-category","OK"))))</f>
        <v/>
      </c>
      <c r="P2717">
        <f>IF(ISNUMBER(I2717),I2717+ROW()/10000000,"")</f>
        <v/>
      </c>
      <c r="Q2717">
        <f>IF(AND(ISNUMBER(P2717),ISNUMBER(A2717)),IF(AND(A2717&gt;=Dashboard!$Q$3,A2717&lt;=Dashboard!$Q$4,OR(J2717&lt;&gt;"Yes",Dashboard!$Q$15="Yes")),P2717,""),"")</f>
        <v/>
      </c>
    </row>
    <row r="2718">
      <c r="A2718" s="47" t="n"/>
      <c r="B2718" s="48" t="n"/>
      <c r="C2718" s="48" t="n"/>
      <c r="D2718" s="48" t="n"/>
      <c r="E2718" s="48" t="n"/>
      <c r="F2718" s="48" t="n"/>
      <c r="G2718" s="48" t="n"/>
      <c r="H2718" s="48" t="n"/>
      <c r="I2718" s="49" t="n"/>
      <c r="J2718" s="50" t="n"/>
      <c r="K2718" s="48" t="n"/>
      <c r="L2718" s="51">
        <f>IF(A2718="","",DATE(YEAR(A2718),MONTH(A2718),1))</f>
        <v/>
      </c>
      <c r="M2718" s="52">
        <f>IF(OR(A2718="",NOT(ISNUMBER(I2718))),"",IF(G2718=Lists!$B$5,I2718/2,IF(G2718=Lists!$B$6,I2718,0)))</f>
        <v/>
      </c>
      <c r="N2718" s="52">
        <f>IF(OR(A2718="",NOT(ISNUMBER(I2718))),"",IF(G2718=Lists!$B$5,I2718/2,IF(G2718=Lists!$B$7,I2718,0)))</f>
        <v/>
      </c>
      <c r="O2718" s="53">
        <f>IF(COUNTA(A2718:K2718)=0,"",IF(OR(A2718="",B2718="",C2718="",D2718="",E2718="",F2718="",G2718="",NOT(ISNUMBER(I2718))),"Incomplete",IF(COUNTIF(Lists!$H$4:$AA$4,C2718)=0,"Check category",IF(COUNTIF(INDEX(Lists!$H$6:$AA$45,0,MATCH(C2718,Lists!$H$4:$AA$4,0)),D2718)=0,"Check sub-category","OK"))))</f>
        <v/>
      </c>
      <c r="P2718">
        <f>IF(ISNUMBER(I2718),I2718+ROW()/10000000,"")</f>
        <v/>
      </c>
      <c r="Q2718">
        <f>IF(AND(ISNUMBER(P2718),ISNUMBER(A2718)),IF(AND(A2718&gt;=Dashboard!$Q$3,A2718&lt;=Dashboard!$Q$4,OR(J2718&lt;&gt;"Yes",Dashboard!$Q$15="Yes")),P2718,""),"")</f>
        <v/>
      </c>
    </row>
    <row r="2719">
      <c r="A2719" s="47" t="n"/>
      <c r="B2719" s="48" t="n"/>
      <c r="C2719" s="48" t="n"/>
      <c r="D2719" s="48" t="n"/>
      <c r="E2719" s="48" t="n"/>
      <c r="F2719" s="48" t="n"/>
      <c r="G2719" s="48" t="n"/>
      <c r="H2719" s="48" t="n"/>
      <c r="I2719" s="49" t="n"/>
      <c r="J2719" s="50" t="n"/>
      <c r="K2719" s="48" t="n"/>
      <c r="L2719" s="51">
        <f>IF(A2719="","",DATE(YEAR(A2719),MONTH(A2719),1))</f>
        <v/>
      </c>
      <c r="M2719" s="52">
        <f>IF(OR(A2719="",NOT(ISNUMBER(I2719))),"",IF(G2719=Lists!$B$5,I2719/2,IF(G2719=Lists!$B$6,I2719,0)))</f>
        <v/>
      </c>
      <c r="N2719" s="52">
        <f>IF(OR(A2719="",NOT(ISNUMBER(I2719))),"",IF(G2719=Lists!$B$5,I2719/2,IF(G2719=Lists!$B$7,I2719,0)))</f>
        <v/>
      </c>
      <c r="O2719" s="53">
        <f>IF(COUNTA(A2719:K2719)=0,"",IF(OR(A2719="",B2719="",C2719="",D2719="",E2719="",F2719="",G2719="",NOT(ISNUMBER(I2719))),"Incomplete",IF(COUNTIF(Lists!$H$4:$AA$4,C2719)=0,"Check category",IF(COUNTIF(INDEX(Lists!$H$6:$AA$45,0,MATCH(C2719,Lists!$H$4:$AA$4,0)),D2719)=0,"Check sub-category","OK"))))</f>
        <v/>
      </c>
      <c r="P2719">
        <f>IF(ISNUMBER(I2719),I2719+ROW()/10000000,"")</f>
        <v/>
      </c>
      <c r="Q2719">
        <f>IF(AND(ISNUMBER(P2719),ISNUMBER(A2719)),IF(AND(A2719&gt;=Dashboard!$Q$3,A2719&lt;=Dashboard!$Q$4,OR(J2719&lt;&gt;"Yes",Dashboard!$Q$15="Yes")),P2719,""),"")</f>
        <v/>
      </c>
    </row>
    <row r="2720">
      <c r="A2720" s="47" t="n"/>
      <c r="B2720" s="48" t="n"/>
      <c r="C2720" s="48" t="n"/>
      <c r="D2720" s="48" t="n"/>
      <c r="E2720" s="48" t="n"/>
      <c r="F2720" s="48" t="n"/>
      <c r="G2720" s="48" t="n"/>
      <c r="H2720" s="48" t="n"/>
      <c r="I2720" s="49" t="n"/>
      <c r="J2720" s="50" t="n"/>
      <c r="K2720" s="48" t="n"/>
      <c r="L2720" s="51">
        <f>IF(A2720="","",DATE(YEAR(A2720),MONTH(A2720),1))</f>
        <v/>
      </c>
      <c r="M2720" s="52">
        <f>IF(OR(A2720="",NOT(ISNUMBER(I2720))),"",IF(G2720=Lists!$B$5,I2720/2,IF(G2720=Lists!$B$6,I2720,0)))</f>
        <v/>
      </c>
      <c r="N2720" s="52">
        <f>IF(OR(A2720="",NOT(ISNUMBER(I2720))),"",IF(G2720=Lists!$B$5,I2720/2,IF(G2720=Lists!$B$7,I2720,0)))</f>
        <v/>
      </c>
      <c r="O2720" s="53">
        <f>IF(COUNTA(A2720:K2720)=0,"",IF(OR(A2720="",B2720="",C2720="",D2720="",E2720="",F2720="",G2720="",NOT(ISNUMBER(I2720))),"Incomplete",IF(COUNTIF(Lists!$H$4:$AA$4,C2720)=0,"Check category",IF(COUNTIF(INDEX(Lists!$H$6:$AA$45,0,MATCH(C2720,Lists!$H$4:$AA$4,0)),D2720)=0,"Check sub-category","OK"))))</f>
        <v/>
      </c>
      <c r="P2720">
        <f>IF(ISNUMBER(I2720),I2720+ROW()/10000000,"")</f>
        <v/>
      </c>
      <c r="Q2720">
        <f>IF(AND(ISNUMBER(P2720),ISNUMBER(A2720)),IF(AND(A2720&gt;=Dashboard!$Q$3,A2720&lt;=Dashboard!$Q$4,OR(J2720&lt;&gt;"Yes",Dashboard!$Q$15="Yes")),P2720,""),"")</f>
        <v/>
      </c>
    </row>
    <row r="2721">
      <c r="A2721" s="47" t="n"/>
      <c r="B2721" s="48" t="n"/>
      <c r="C2721" s="48" t="n"/>
      <c r="D2721" s="48" t="n"/>
      <c r="E2721" s="48" t="n"/>
      <c r="F2721" s="48" t="n"/>
      <c r="G2721" s="48" t="n"/>
      <c r="H2721" s="48" t="n"/>
      <c r="I2721" s="49" t="n"/>
      <c r="J2721" s="50" t="n"/>
      <c r="K2721" s="48" t="n"/>
      <c r="L2721" s="51">
        <f>IF(A2721="","",DATE(YEAR(A2721),MONTH(A2721),1))</f>
        <v/>
      </c>
      <c r="M2721" s="52">
        <f>IF(OR(A2721="",NOT(ISNUMBER(I2721))),"",IF(G2721=Lists!$B$5,I2721/2,IF(G2721=Lists!$B$6,I2721,0)))</f>
        <v/>
      </c>
      <c r="N2721" s="52">
        <f>IF(OR(A2721="",NOT(ISNUMBER(I2721))),"",IF(G2721=Lists!$B$5,I2721/2,IF(G2721=Lists!$B$7,I2721,0)))</f>
        <v/>
      </c>
      <c r="O2721" s="53">
        <f>IF(COUNTA(A2721:K2721)=0,"",IF(OR(A2721="",B2721="",C2721="",D2721="",E2721="",F2721="",G2721="",NOT(ISNUMBER(I2721))),"Incomplete",IF(COUNTIF(Lists!$H$4:$AA$4,C2721)=0,"Check category",IF(COUNTIF(INDEX(Lists!$H$6:$AA$45,0,MATCH(C2721,Lists!$H$4:$AA$4,0)),D2721)=0,"Check sub-category","OK"))))</f>
        <v/>
      </c>
      <c r="P2721">
        <f>IF(ISNUMBER(I2721),I2721+ROW()/10000000,"")</f>
        <v/>
      </c>
      <c r="Q2721">
        <f>IF(AND(ISNUMBER(P2721),ISNUMBER(A2721)),IF(AND(A2721&gt;=Dashboard!$Q$3,A2721&lt;=Dashboard!$Q$4,OR(J2721&lt;&gt;"Yes",Dashboard!$Q$15="Yes")),P2721,""),"")</f>
        <v/>
      </c>
    </row>
    <row r="2722">
      <c r="A2722" s="47" t="n"/>
      <c r="B2722" s="48" t="n"/>
      <c r="C2722" s="48" t="n"/>
      <c r="D2722" s="48" t="n"/>
      <c r="E2722" s="48" t="n"/>
      <c r="F2722" s="48" t="n"/>
      <c r="G2722" s="48" t="n"/>
      <c r="H2722" s="48" t="n"/>
      <c r="I2722" s="49" t="n"/>
      <c r="J2722" s="50" t="n"/>
      <c r="K2722" s="48" t="n"/>
      <c r="L2722" s="51">
        <f>IF(A2722="","",DATE(YEAR(A2722),MONTH(A2722),1))</f>
        <v/>
      </c>
      <c r="M2722" s="52">
        <f>IF(OR(A2722="",NOT(ISNUMBER(I2722))),"",IF(G2722=Lists!$B$5,I2722/2,IF(G2722=Lists!$B$6,I2722,0)))</f>
        <v/>
      </c>
      <c r="N2722" s="52">
        <f>IF(OR(A2722="",NOT(ISNUMBER(I2722))),"",IF(G2722=Lists!$B$5,I2722/2,IF(G2722=Lists!$B$7,I2722,0)))</f>
        <v/>
      </c>
      <c r="O2722" s="53">
        <f>IF(COUNTA(A2722:K2722)=0,"",IF(OR(A2722="",B2722="",C2722="",D2722="",E2722="",F2722="",G2722="",NOT(ISNUMBER(I2722))),"Incomplete",IF(COUNTIF(Lists!$H$4:$AA$4,C2722)=0,"Check category",IF(COUNTIF(INDEX(Lists!$H$6:$AA$45,0,MATCH(C2722,Lists!$H$4:$AA$4,0)),D2722)=0,"Check sub-category","OK"))))</f>
        <v/>
      </c>
      <c r="P2722">
        <f>IF(ISNUMBER(I2722),I2722+ROW()/10000000,"")</f>
        <v/>
      </c>
      <c r="Q2722">
        <f>IF(AND(ISNUMBER(P2722),ISNUMBER(A2722)),IF(AND(A2722&gt;=Dashboard!$Q$3,A2722&lt;=Dashboard!$Q$4,OR(J2722&lt;&gt;"Yes",Dashboard!$Q$15="Yes")),P2722,""),"")</f>
        <v/>
      </c>
    </row>
    <row r="2723">
      <c r="A2723" s="47" t="n"/>
      <c r="B2723" s="48" t="n"/>
      <c r="C2723" s="48" t="n"/>
      <c r="D2723" s="48" t="n"/>
      <c r="E2723" s="48" t="n"/>
      <c r="F2723" s="48" t="n"/>
      <c r="G2723" s="48" t="n"/>
      <c r="H2723" s="48" t="n"/>
      <c r="I2723" s="49" t="n"/>
      <c r="J2723" s="50" t="n"/>
      <c r="K2723" s="48" t="n"/>
      <c r="L2723" s="51">
        <f>IF(A2723="","",DATE(YEAR(A2723),MONTH(A2723),1))</f>
        <v/>
      </c>
      <c r="M2723" s="52">
        <f>IF(OR(A2723="",NOT(ISNUMBER(I2723))),"",IF(G2723=Lists!$B$5,I2723/2,IF(G2723=Lists!$B$6,I2723,0)))</f>
        <v/>
      </c>
      <c r="N2723" s="52">
        <f>IF(OR(A2723="",NOT(ISNUMBER(I2723))),"",IF(G2723=Lists!$B$5,I2723/2,IF(G2723=Lists!$B$7,I2723,0)))</f>
        <v/>
      </c>
      <c r="O2723" s="53">
        <f>IF(COUNTA(A2723:K2723)=0,"",IF(OR(A2723="",B2723="",C2723="",D2723="",E2723="",F2723="",G2723="",NOT(ISNUMBER(I2723))),"Incomplete",IF(COUNTIF(Lists!$H$4:$AA$4,C2723)=0,"Check category",IF(COUNTIF(INDEX(Lists!$H$6:$AA$45,0,MATCH(C2723,Lists!$H$4:$AA$4,0)),D2723)=0,"Check sub-category","OK"))))</f>
        <v/>
      </c>
      <c r="P2723">
        <f>IF(ISNUMBER(I2723),I2723+ROW()/10000000,"")</f>
        <v/>
      </c>
      <c r="Q2723">
        <f>IF(AND(ISNUMBER(P2723),ISNUMBER(A2723)),IF(AND(A2723&gt;=Dashboard!$Q$3,A2723&lt;=Dashboard!$Q$4,OR(J2723&lt;&gt;"Yes",Dashboard!$Q$15="Yes")),P2723,""),"")</f>
        <v/>
      </c>
    </row>
    <row r="2724">
      <c r="A2724" s="47" t="n"/>
      <c r="B2724" s="48" t="n"/>
      <c r="C2724" s="48" t="n"/>
      <c r="D2724" s="48" t="n"/>
      <c r="E2724" s="48" t="n"/>
      <c r="F2724" s="48" t="n"/>
      <c r="G2724" s="48" t="n"/>
      <c r="H2724" s="48" t="n"/>
      <c r="I2724" s="49" t="n"/>
      <c r="J2724" s="50" t="n"/>
      <c r="K2724" s="48" t="n"/>
      <c r="L2724" s="51">
        <f>IF(A2724="","",DATE(YEAR(A2724),MONTH(A2724),1))</f>
        <v/>
      </c>
      <c r="M2724" s="52">
        <f>IF(OR(A2724="",NOT(ISNUMBER(I2724))),"",IF(G2724=Lists!$B$5,I2724/2,IF(G2724=Lists!$B$6,I2724,0)))</f>
        <v/>
      </c>
      <c r="N2724" s="52">
        <f>IF(OR(A2724="",NOT(ISNUMBER(I2724))),"",IF(G2724=Lists!$B$5,I2724/2,IF(G2724=Lists!$B$7,I2724,0)))</f>
        <v/>
      </c>
      <c r="O2724" s="53">
        <f>IF(COUNTA(A2724:K2724)=0,"",IF(OR(A2724="",B2724="",C2724="",D2724="",E2724="",F2724="",G2724="",NOT(ISNUMBER(I2724))),"Incomplete",IF(COUNTIF(Lists!$H$4:$AA$4,C2724)=0,"Check category",IF(COUNTIF(INDEX(Lists!$H$6:$AA$45,0,MATCH(C2724,Lists!$H$4:$AA$4,0)),D2724)=0,"Check sub-category","OK"))))</f>
        <v/>
      </c>
      <c r="P2724">
        <f>IF(ISNUMBER(I2724),I2724+ROW()/10000000,"")</f>
        <v/>
      </c>
      <c r="Q2724">
        <f>IF(AND(ISNUMBER(P2724),ISNUMBER(A2724)),IF(AND(A2724&gt;=Dashboard!$Q$3,A2724&lt;=Dashboard!$Q$4,OR(J2724&lt;&gt;"Yes",Dashboard!$Q$15="Yes")),P2724,""),"")</f>
        <v/>
      </c>
    </row>
    <row r="2725">
      <c r="A2725" s="47" t="n"/>
      <c r="B2725" s="48" t="n"/>
      <c r="C2725" s="48" t="n"/>
      <c r="D2725" s="48" t="n"/>
      <c r="E2725" s="48" t="n"/>
      <c r="F2725" s="48" t="n"/>
      <c r="G2725" s="48" t="n"/>
      <c r="H2725" s="48" t="n"/>
      <c r="I2725" s="49" t="n"/>
      <c r="J2725" s="50" t="n"/>
      <c r="K2725" s="48" t="n"/>
      <c r="L2725" s="51">
        <f>IF(A2725="","",DATE(YEAR(A2725),MONTH(A2725),1))</f>
        <v/>
      </c>
      <c r="M2725" s="52">
        <f>IF(OR(A2725="",NOT(ISNUMBER(I2725))),"",IF(G2725=Lists!$B$5,I2725/2,IF(G2725=Lists!$B$6,I2725,0)))</f>
        <v/>
      </c>
      <c r="N2725" s="52">
        <f>IF(OR(A2725="",NOT(ISNUMBER(I2725))),"",IF(G2725=Lists!$B$5,I2725/2,IF(G2725=Lists!$B$7,I2725,0)))</f>
        <v/>
      </c>
      <c r="O2725" s="53">
        <f>IF(COUNTA(A2725:K2725)=0,"",IF(OR(A2725="",B2725="",C2725="",D2725="",E2725="",F2725="",G2725="",NOT(ISNUMBER(I2725))),"Incomplete",IF(COUNTIF(Lists!$H$4:$AA$4,C2725)=0,"Check category",IF(COUNTIF(INDEX(Lists!$H$6:$AA$45,0,MATCH(C2725,Lists!$H$4:$AA$4,0)),D2725)=0,"Check sub-category","OK"))))</f>
        <v/>
      </c>
      <c r="P2725">
        <f>IF(ISNUMBER(I2725),I2725+ROW()/10000000,"")</f>
        <v/>
      </c>
      <c r="Q2725">
        <f>IF(AND(ISNUMBER(P2725),ISNUMBER(A2725)),IF(AND(A2725&gt;=Dashboard!$Q$3,A2725&lt;=Dashboard!$Q$4,OR(J2725&lt;&gt;"Yes",Dashboard!$Q$15="Yes")),P2725,""),"")</f>
        <v/>
      </c>
    </row>
    <row r="2726">
      <c r="A2726" s="47" t="n"/>
      <c r="B2726" s="48" t="n"/>
      <c r="C2726" s="48" t="n"/>
      <c r="D2726" s="48" t="n"/>
      <c r="E2726" s="48" t="n"/>
      <c r="F2726" s="48" t="n"/>
      <c r="G2726" s="48" t="n"/>
      <c r="H2726" s="48" t="n"/>
      <c r="I2726" s="49" t="n"/>
      <c r="J2726" s="50" t="n"/>
      <c r="K2726" s="48" t="n"/>
      <c r="L2726" s="51">
        <f>IF(A2726="","",DATE(YEAR(A2726),MONTH(A2726),1))</f>
        <v/>
      </c>
      <c r="M2726" s="52">
        <f>IF(OR(A2726="",NOT(ISNUMBER(I2726))),"",IF(G2726=Lists!$B$5,I2726/2,IF(G2726=Lists!$B$6,I2726,0)))</f>
        <v/>
      </c>
      <c r="N2726" s="52">
        <f>IF(OR(A2726="",NOT(ISNUMBER(I2726))),"",IF(G2726=Lists!$B$5,I2726/2,IF(G2726=Lists!$B$7,I2726,0)))</f>
        <v/>
      </c>
      <c r="O2726" s="53">
        <f>IF(COUNTA(A2726:K2726)=0,"",IF(OR(A2726="",B2726="",C2726="",D2726="",E2726="",F2726="",G2726="",NOT(ISNUMBER(I2726))),"Incomplete",IF(COUNTIF(Lists!$H$4:$AA$4,C2726)=0,"Check category",IF(COUNTIF(INDEX(Lists!$H$6:$AA$45,0,MATCH(C2726,Lists!$H$4:$AA$4,0)),D2726)=0,"Check sub-category","OK"))))</f>
        <v/>
      </c>
      <c r="P2726">
        <f>IF(ISNUMBER(I2726),I2726+ROW()/10000000,"")</f>
        <v/>
      </c>
      <c r="Q2726">
        <f>IF(AND(ISNUMBER(P2726),ISNUMBER(A2726)),IF(AND(A2726&gt;=Dashboard!$Q$3,A2726&lt;=Dashboard!$Q$4,OR(J2726&lt;&gt;"Yes",Dashboard!$Q$15="Yes")),P2726,""),"")</f>
        <v/>
      </c>
    </row>
    <row r="2727">
      <c r="A2727" s="47" t="n"/>
      <c r="B2727" s="48" t="n"/>
      <c r="C2727" s="48" t="n"/>
      <c r="D2727" s="48" t="n"/>
      <c r="E2727" s="48" t="n"/>
      <c r="F2727" s="48" t="n"/>
      <c r="G2727" s="48" t="n"/>
      <c r="H2727" s="48" t="n"/>
      <c r="I2727" s="49" t="n"/>
      <c r="J2727" s="50" t="n"/>
      <c r="K2727" s="48" t="n"/>
      <c r="L2727" s="51">
        <f>IF(A2727="","",DATE(YEAR(A2727),MONTH(A2727),1))</f>
        <v/>
      </c>
      <c r="M2727" s="52">
        <f>IF(OR(A2727="",NOT(ISNUMBER(I2727))),"",IF(G2727=Lists!$B$5,I2727/2,IF(G2727=Lists!$B$6,I2727,0)))</f>
        <v/>
      </c>
      <c r="N2727" s="52">
        <f>IF(OR(A2727="",NOT(ISNUMBER(I2727))),"",IF(G2727=Lists!$B$5,I2727/2,IF(G2727=Lists!$B$7,I2727,0)))</f>
        <v/>
      </c>
      <c r="O2727" s="53">
        <f>IF(COUNTA(A2727:K2727)=0,"",IF(OR(A2727="",B2727="",C2727="",D2727="",E2727="",F2727="",G2727="",NOT(ISNUMBER(I2727))),"Incomplete",IF(COUNTIF(Lists!$H$4:$AA$4,C2727)=0,"Check category",IF(COUNTIF(INDEX(Lists!$H$6:$AA$45,0,MATCH(C2727,Lists!$H$4:$AA$4,0)),D2727)=0,"Check sub-category","OK"))))</f>
        <v/>
      </c>
      <c r="P2727">
        <f>IF(ISNUMBER(I2727),I2727+ROW()/10000000,"")</f>
        <v/>
      </c>
      <c r="Q2727">
        <f>IF(AND(ISNUMBER(P2727),ISNUMBER(A2727)),IF(AND(A2727&gt;=Dashboard!$Q$3,A2727&lt;=Dashboard!$Q$4,OR(J2727&lt;&gt;"Yes",Dashboard!$Q$15="Yes")),P2727,""),"")</f>
        <v/>
      </c>
    </row>
    <row r="2728">
      <c r="A2728" s="47" t="n"/>
      <c r="B2728" s="48" t="n"/>
      <c r="C2728" s="48" t="n"/>
      <c r="D2728" s="48" t="n"/>
      <c r="E2728" s="48" t="n"/>
      <c r="F2728" s="48" t="n"/>
      <c r="G2728" s="48" t="n"/>
      <c r="H2728" s="48" t="n"/>
      <c r="I2728" s="49" t="n"/>
      <c r="J2728" s="50" t="n"/>
      <c r="K2728" s="48" t="n"/>
      <c r="L2728" s="51">
        <f>IF(A2728="","",DATE(YEAR(A2728),MONTH(A2728),1))</f>
        <v/>
      </c>
      <c r="M2728" s="52">
        <f>IF(OR(A2728="",NOT(ISNUMBER(I2728))),"",IF(G2728=Lists!$B$5,I2728/2,IF(G2728=Lists!$B$6,I2728,0)))</f>
        <v/>
      </c>
      <c r="N2728" s="52">
        <f>IF(OR(A2728="",NOT(ISNUMBER(I2728))),"",IF(G2728=Lists!$B$5,I2728/2,IF(G2728=Lists!$B$7,I2728,0)))</f>
        <v/>
      </c>
      <c r="O2728" s="53">
        <f>IF(COUNTA(A2728:K2728)=0,"",IF(OR(A2728="",B2728="",C2728="",D2728="",E2728="",F2728="",G2728="",NOT(ISNUMBER(I2728))),"Incomplete",IF(COUNTIF(Lists!$H$4:$AA$4,C2728)=0,"Check category",IF(COUNTIF(INDEX(Lists!$H$6:$AA$45,0,MATCH(C2728,Lists!$H$4:$AA$4,0)),D2728)=0,"Check sub-category","OK"))))</f>
        <v/>
      </c>
      <c r="P2728">
        <f>IF(ISNUMBER(I2728),I2728+ROW()/10000000,"")</f>
        <v/>
      </c>
      <c r="Q2728">
        <f>IF(AND(ISNUMBER(P2728),ISNUMBER(A2728)),IF(AND(A2728&gt;=Dashboard!$Q$3,A2728&lt;=Dashboard!$Q$4,OR(J2728&lt;&gt;"Yes",Dashboard!$Q$15="Yes")),P2728,""),"")</f>
        <v/>
      </c>
    </row>
    <row r="2729">
      <c r="A2729" s="47" t="n"/>
      <c r="B2729" s="48" t="n"/>
      <c r="C2729" s="48" t="n"/>
      <c r="D2729" s="48" t="n"/>
      <c r="E2729" s="48" t="n"/>
      <c r="F2729" s="48" t="n"/>
      <c r="G2729" s="48" t="n"/>
      <c r="H2729" s="48" t="n"/>
      <c r="I2729" s="49" t="n"/>
      <c r="J2729" s="50" t="n"/>
      <c r="K2729" s="48" t="n"/>
      <c r="L2729" s="51">
        <f>IF(A2729="","",DATE(YEAR(A2729),MONTH(A2729),1))</f>
        <v/>
      </c>
      <c r="M2729" s="52">
        <f>IF(OR(A2729="",NOT(ISNUMBER(I2729))),"",IF(G2729=Lists!$B$5,I2729/2,IF(G2729=Lists!$B$6,I2729,0)))</f>
        <v/>
      </c>
      <c r="N2729" s="52">
        <f>IF(OR(A2729="",NOT(ISNUMBER(I2729))),"",IF(G2729=Lists!$B$5,I2729/2,IF(G2729=Lists!$B$7,I2729,0)))</f>
        <v/>
      </c>
      <c r="O2729" s="53">
        <f>IF(COUNTA(A2729:K2729)=0,"",IF(OR(A2729="",B2729="",C2729="",D2729="",E2729="",F2729="",G2729="",NOT(ISNUMBER(I2729))),"Incomplete",IF(COUNTIF(Lists!$H$4:$AA$4,C2729)=0,"Check category",IF(COUNTIF(INDEX(Lists!$H$6:$AA$45,0,MATCH(C2729,Lists!$H$4:$AA$4,0)),D2729)=0,"Check sub-category","OK"))))</f>
        <v/>
      </c>
      <c r="P2729">
        <f>IF(ISNUMBER(I2729),I2729+ROW()/10000000,"")</f>
        <v/>
      </c>
      <c r="Q2729">
        <f>IF(AND(ISNUMBER(P2729),ISNUMBER(A2729)),IF(AND(A2729&gt;=Dashboard!$Q$3,A2729&lt;=Dashboard!$Q$4,OR(J2729&lt;&gt;"Yes",Dashboard!$Q$15="Yes")),P2729,""),"")</f>
        <v/>
      </c>
    </row>
    <row r="2730">
      <c r="A2730" s="47" t="n"/>
      <c r="B2730" s="48" t="n"/>
      <c r="C2730" s="48" t="n"/>
      <c r="D2730" s="48" t="n"/>
      <c r="E2730" s="48" t="n"/>
      <c r="F2730" s="48" t="n"/>
      <c r="G2730" s="48" t="n"/>
      <c r="H2730" s="48" t="n"/>
      <c r="I2730" s="49" t="n"/>
      <c r="J2730" s="50" t="n"/>
      <c r="K2730" s="48" t="n"/>
      <c r="L2730" s="51">
        <f>IF(A2730="","",DATE(YEAR(A2730),MONTH(A2730),1))</f>
        <v/>
      </c>
      <c r="M2730" s="52">
        <f>IF(OR(A2730="",NOT(ISNUMBER(I2730))),"",IF(G2730=Lists!$B$5,I2730/2,IF(G2730=Lists!$B$6,I2730,0)))</f>
        <v/>
      </c>
      <c r="N2730" s="52">
        <f>IF(OR(A2730="",NOT(ISNUMBER(I2730))),"",IF(G2730=Lists!$B$5,I2730/2,IF(G2730=Lists!$B$7,I2730,0)))</f>
        <v/>
      </c>
      <c r="O2730" s="53">
        <f>IF(COUNTA(A2730:K2730)=0,"",IF(OR(A2730="",B2730="",C2730="",D2730="",E2730="",F2730="",G2730="",NOT(ISNUMBER(I2730))),"Incomplete",IF(COUNTIF(Lists!$H$4:$AA$4,C2730)=0,"Check category",IF(COUNTIF(INDEX(Lists!$H$6:$AA$45,0,MATCH(C2730,Lists!$H$4:$AA$4,0)),D2730)=0,"Check sub-category","OK"))))</f>
        <v/>
      </c>
      <c r="P2730">
        <f>IF(ISNUMBER(I2730),I2730+ROW()/10000000,"")</f>
        <v/>
      </c>
      <c r="Q2730">
        <f>IF(AND(ISNUMBER(P2730),ISNUMBER(A2730)),IF(AND(A2730&gt;=Dashboard!$Q$3,A2730&lt;=Dashboard!$Q$4,OR(J2730&lt;&gt;"Yes",Dashboard!$Q$15="Yes")),P2730,""),"")</f>
        <v/>
      </c>
    </row>
    <row r="2731">
      <c r="A2731" s="47" t="n"/>
      <c r="B2731" s="48" t="n"/>
      <c r="C2731" s="48" t="n"/>
      <c r="D2731" s="48" t="n"/>
      <c r="E2731" s="48" t="n"/>
      <c r="F2731" s="48" t="n"/>
      <c r="G2731" s="48" t="n"/>
      <c r="H2731" s="48" t="n"/>
      <c r="I2731" s="49" t="n"/>
      <c r="J2731" s="50" t="n"/>
      <c r="K2731" s="48" t="n"/>
      <c r="L2731" s="51">
        <f>IF(A2731="","",DATE(YEAR(A2731),MONTH(A2731),1))</f>
        <v/>
      </c>
      <c r="M2731" s="52">
        <f>IF(OR(A2731="",NOT(ISNUMBER(I2731))),"",IF(G2731=Lists!$B$5,I2731/2,IF(G2731=Lists!$B$6,I2731,0)))</f>
        <v/>
      </c>
      <c r="N2731" s="52">
        <f>IF(OR(A2731="",NOT(ISNUMBER(I2731))),"",IF(G2731=Lists!$B$5,I2731/2,IF(G2731=Lists!$B$7,I2731,0)))</f>
        <v/>
      </c>
      <c r="O2731" s="53">
        <f>IF(COUNTA(A2731:K2731)=0,"",IF(OR(A2731="",B2731="",C2731="",D2731="",E2731="",F2731="",G2731="",NOT(ISNUMBER(I2731))),"Incomplete",IF(COUNTIF(Lists!$H$4:$AA$4,C2731)=0,"Check category",IF(COUNTIF(INDEX(Lists!$H$6:$AA$45,0,MATCH(C2731,Lists!$H$4:$AA$4,0)),D2731)=0,"Check sub-category","OK"))))</f>
        <v/>
      </c>
      <c r="P2731">
        <f>IF(ISNUMBER(I2731),I2731+ROW()/10000000,"")</f>
        <v/>
      </c>
      <c r="Q2731">
        <f>IF(AND(ISNUMBER(P2731),ISNUMBER(A2731)),IF(AND(A2731&gt;=Dashboard!$Q$3,A2731&lt;=Dashboard!$Q$4,OR(J2731&lt;&gt;"Yes",Dashboard!$Q$15="Yes")),P2731,""),"")</f>
        <v/>
      </c>
    </row>
    <row r="2732">
      <c r="A2732" s="47" t="n"/>
      <c r="B2732" s="48" t="n"/>
      <c r="C2732" s="48" t="n"/>
      <c r="D2732" s="48" t="n"/>
      <c r="E2732" s="48" t="n"/>
      <c r="F2732" s="48" t="n"/>
      <c r="G2732" s="48" t="n"/>
      <c r="H2732" s="48" t="n"/>
      <c r="I2732" s="49" t="n"/>
      <c r="J2732" s="50" t="n"/>
      <c r="K2732" s="48" t="n"/>
      <c r="L2732" s="51">
        <f>IF(A2732="","",DATE(YEAR(A2732),MONTH(A2732),1))</f>
        <v/>
      </c>
      <c r="M2732" s="52">
        <f>IF(OR(A2732="",NOT(ISNUMBER(I2732))),"",IF(G2732=Lists!$B$5,I2732/2,IF(G2732=Lists!$B$6,I2732,0)))</f>
        <v/>
      </c>
      <c r="N2732" s="52">
        <f>IF(OR(A2732="",NOT(ISNUMBER(I2732))),"",IF(G2732=Lists!$B$5,I2732/2,IF(G2732=Lists!$B$7,I2732,0)))</f>
        <v/>
      </c>
      <c r="O2732" s="53">
        <f>IF(COUNTA(A2732:K2732)=0,"",IF(OR(A2732="",B2732="",C2732="",D2732="",E2732="",F2732="",G2732="",NOT(ISNUMBER(I2732))),"Incomplete",IF(COUNTIF(Lists!$H$4:$AA$4,C2732)=0,"Check category",IF(COUNTIF(INDEX(Lists!$H$6:$AA$45,0,MATCH(C2732,Lists!$H$4:$AA$4,0)),D2732)=0,"Check sub-category","OK"))))</f>
        <v/>
      </c>
      <c r="P2732">
        <f>IF(ISNUMBER(I2732),I2732+ROW()/10000000,"")</f>
        <v/>
      </c>
      <c r="Q2732">
        <f>IF(AND(ISNUMBER(P2732),ISNUMBER(A2732)),IF(AND(A2732&gt;=Dashboard!$Q$3,A2732&lt;=Dashboard!$Q$4,OR(J2732&lt;&gt;"Yes",Dashboard!$Q$15="Yes")),P2732,""),"")</f>
        <v/>
      </c>
    </row>
    <row r="2733">
      <c r="A2733" s="47" t="n"/>
      <c r="B2733" s="48" t="n"/>
      <c r="C2733" s="48" t="n"/>
      <c r="D2733" s="48" t="n"/>
      <c r="E2733" s="48" t="n"/>
      <c r="F2733" s="48" t="n"/>
      <c r="G2733" s="48" t="n"/>
      <c r="H2733" s="48" t="n"/>
      <c r="I2733" s="49" t="n"/>
      <c r="J2733" s="50" t="n"/>
      <c r="K2733" s="48" t="n"/>
      <c r="L2733" s="51">
        <f>IF(A2733="","",DATE(YEAR(A2733),MONTH(A2733),1))</f>
        <v/>
      </c>
      <c r="M2733" s="52">
        <f>IF(OR(A2733="",NOT(ISNUMBER(I2733))),"",IF(G2733=Lists!$B$5,I2733/2,IF(G2733=Lists!$B$6,I2733,0)))</f>
        <v/>
      </c>
      <c r="N2733" s="52">
        <f>IF(OR(A2733="",NOT(ISNUMBER(I2733))),"",IF(G2733=Lists!$B$5,I2733/2,IF(G2733=Lists!$B$7,I2733,0)))</f>
        <v/>
      </c>
      <c r="O2733" s="53">
        <f>IF(COUNTA(A2733:K2733)=0,"",IF(OR(A2733="",B2733="",C2733="",D2733="",E2733="",F2733="",G2733="",NOT(ISNUMBER(I2733))),"Incomplete",IF(COUNTIF(Lists!$H$4:$AA$4,C2733)=0,"Check category",IF(COUNTIF(INDEX(Lists!$H$6:$AA$45,0,MATCH(C2733,Lists!$H$4:$AA$4,0)),D2733)=0,"Check sub-category","OK"))))</f>
        <v/>
      </c>
      <c r="P2733">
        <f>IF(ISNUMBER(I2733),I2733+ROW()/10000000,"")</f>
        <v/>
      </c>
      <c r="Q2733">
        <f>IF(AND(ISNUMBER(P2733),ISNUMBER(A2733)),IF(AND(A2733&gt;=Dashboard!$Q$3,A2733&lt;=Dashboard!$Q$4,OR(J2733&lt;&gt;"Yes",Dashboard!$Q$15="Yes")),P2733,""),"")</f>
        <v/>
      </c>
    </row>
    <row r="2734">
      <c r="A2734" s="47" t="n"/>
      <c r="B2734" s="48" t="n"/>
      <c r="C2734" s="48" t="n"/>
      <c r="D2734" s="48" t="n"/>
      <c r="E2734" s="48" t="n"/>
      <c r="F2734" s="48" t="n"/>
      <c r="G2734" s="48" t="n"/>
      <c r="H2734" s="48" t="n"/>
      <c r="I2734" s="49" t="n"/>
      <c r="J2734" s="50" t="n"/>
      <c r="K2734" s="48" t="n"/>
      <c r="L2734" s="51">
        <f>IF(A2734="","",DATE(YEAR(A2734),MONTH(A2734),1))</f>
        <v/>
      </c>
      <c r="M2734" s="52">
        <f>IF(OR(A2734="",NOT(ISNUMBER(I2734))),"",IF(G2734=Lists!$B$5,I2734/2,IF(G2734=Lists!$B$6,I2734,0)))</f>
        <v/>
      </c>
      <c r="N2734" s="52">
        <f>IF(OR(A2734="",NOT(ISNUMBER(I2734))),"",IF(G2734=Lists!$B$5,I2734/2,IF(G2734=Lists!$B$7,I2734,0)))</f>
        <v/>
      </c>
      <c r="O2734" s="53">
        <f>IF(COUNTA(A2734:K2734)=0,"",IF(OR(A2734="",B2734="",C2734="",D2734="",E2734="",F2734="",G2734="",NOT(ISNUMBER(I2734))),"Incomplete",IF(COUNTIF(Lists!$H$4:$AA$4,C2734)=0,"Check category",IF(COUNTIF(INDEX(Lists!$H$6:$AA$45,0,MATCH(C2734,Lists!$H$4:$AA$4,0)),D2734)=0,"Check sub-category","OK"))))</f>
        <v/>
      </c>
      <c r="P2734">
        <f>IF(ISNUMBER(I2734),I2734+ROW()/10000000,"")</f>
        <v/>
      </c>
      <c r="Q2734">
        <f>IF(AND(ISNUMBER(P2734),ISNUMBER(A2734)),IF(AND(A2734&gt;=Dashboard!$Q$3,A2734&lt;=Dashboard!$Q$4,OR(J2734&lt;&gt;"Yes",Dashboard!$Q$15="Yes")),P2734,""),"")</f>
        <v/>
      </c>
    </row>
    <row r="2735">
      <c r="A2735" s="47" t="n"/>
      <c r="B2735" s="48" t="n"/>
      <c r="C2735" s="48" t="n"/>
      <c r="D2735" s="48" t="n"/>
      <c r="E2735" s="48" t="n"/>
      <c r="F2735" s="48" t="n"/>
      <c r="G2735" s="48" t="n"/>
      <c r="H2735" s="48" t="n"/>
      <c r="I2735" s="49" t="n"/>
      <c r="J2735" s="50" t="n"/>
      <c r="K2735" s="48" t="n"/>
      <c r="L2735" s="51">
        <f>IF(A2735="","",DATE(YEAR(A2735),MONTH(A2735),1))</f>
        <v/>
      </c>
      <c r="M2735" s="52">
        <f>IF(OR(A2735="",NOT(ISNUMBER(I2735))),"",IF(G2735=Lists!$B$5,I2735/2,IF(G2735=Lists!$B$6,I2735,0)))</f>
        <v/>
      </c>
      <c r="N2735" s="52">
        <f>IF(OR(A2735="",NOT(ISNUMBER(I2735))),"",IF(G2735=Lists!$B$5,I2735/2,IF(G2735=Lists!$B$7,I2735,0)))</f>
        <v/>
      </c>
      <c r="O2735" s="53">
        <f>IF(COUNTA(A2735:K2735)=0,"",IF(OR(A2735="",B2735="",C2735="",D2735="",E2735="",F2735="",G2735="",NOT(ISNUMBER(I2735))),"Incomplete",IF(COUNTIF(Lists!$H$4:$AA$4,C2735)=0,"Check category",IF(COUNTIF(INDEX(Lists!$H$6:$AA$45,0,MATCH(C2735,Lists!$H$4:$AA$4,0)),D2735)=0,"Check sub-category","OK"))))</f>
        <v/>
      </c>
      <c r="P2735">
        <f>IF(ISNUMBER(I2735),I2735+ROW()/10000000,"")</f>
        <v/>
      </c>
      <c r="Q2735">
        <f>IF(AND(ISNUMBER(P2735),ISNUMBER(A2735)),IF(AND(A2735&gt;=Dashboard!$Q$3,A2735&lt;=Dashboard!$Q$4,OR(J2735&lt;&gt;"Yes",Dashboard!$Q$15="Yes")),P2735,""),"")</f>
        <v/>
      </c>
    </row>
    <row r="2736">
      <c r="A2736" s="47" t="n"/>
      <c r="B2736" s="48" t="n"/>
      <c r="C2736" s="48" t="n"/>
      <c r="D2736" s="48" t="n"/>
      <c r="E2736" s="48" t="n"/>
      <c r="F2736" s="48" t="n"/>
      <c r="G2736" s="48" t="n"/>
      <c r="H2736" s="48" t="n"/>
      <c r="I2736" s="49" t="n"/>
      <c r="J2736" s="50" t="n"/>
      <c r="K2736" s="48" t="n"/>
      <c r="L2736" s="51">
        <f>IF(A2736="","",DATE(YEAR(A2736),MONTH(A2736),1))</f>
        <v/>
      </c>
      <c r="M2736" s="52">
        <f>IF(OR(A2736="",NOT(ISNUMBER(I2736))),"",IF(G2736=Lists!$B$5,I2736/2,IF(G2736=Lists!$B$6,I2736,0)))</f>
        <v/>
      </c>
      <c r="N2736" s="52">
        <f>IF(OR(A2736="",NOT(ISNUMBER(I2736))),"",IF(G2736=Lists!$B$5,I2736/2,IF(G2736=Lists!$B$7,I2736,0)))</f>
        <v/>
      </c>
      <c r="O2736" s="53">
        <f>IF(COUNTA(A2736:K2736)=0,"",IF(OR(A2736="",B2736="",C2736="",D2736="",E2736="",F2736="",G2736="",NOT(ISNUMBER(I2736))),"Incomplete",IF(COUNTIF(Lists!$H$4:$AA$4,C2736)=0,"Check category",IF(COUNTIF(INDEX(Lists!$H$6:$AA$45,0,MATCH(C2736,Lists!$H$4:$AA$4,0)),D2736)=0,"Check sub-category","OK"))))</f>
        <v/>
      </c>
      <c r="P2736">
        <f>IF(ISNUMBER(I2736),I2736+ROW()/10000000,"")</f>
        <v/>
      </c>
      <c r="Q2736">
        <f>IF(AND(ISNUMBER(P2736),ISNUMBER(A2736)),IF(AND(A2736&gt;=Dashboard!$Q$3,A2736&lt;=Dashboard!$Q$4,OR(J2736&lt;&gt;"Yes",Dashboard!$Q$15="Yes")),P2736,""),"")</f>
        <v/>
      </c>
    </row>
    <row r="2737">
      <c r="A2737" s="47" t="n"/>
      <c r="B2737" s="48" t="n"/>
      <c r="C2737" s="48" t="n"/>
      <c r="D2737" s="48" t="n"/>
      <c r="E2737" s="48" t="n"/>
      <c r="F2737" s="48" t="n"/>
      <c r="G2737" s="48" t="n"/>
      <c r="H2737" s="48" t="n"/>
      <c r="I2737" s="49" t="n"/>
      <c r="J2737" s="50" t="n"/>
      <c r="K2737" s="48" t="n"/>
      <c r="L2737" s="51">
        <f>IF(A2737="","",DATE(YEAR(A2737),MONTH(A2737),1))</f>
        <v/>
      </c>
      <c r="M2737" s="52">
        <f>IF(OR(A2737="",NOT(ISNUMBER(I2737))),"",IF(G2737=Lists!$B$5,I2737/2,IF(G2737=Lists!$B$6,I2737,0)))</f>
        <v/>
      </c>
      <c r="N2737" s="52">
        <f>IF(OR(A2737="",NOT(ISNUMBER(I2737))),"",IF(G2737=Lists!$B$5,I2737/2,IF(G2737=Lists!$B$7,I2737,0)))</f>
        <v/>
      </c>
      <c r="O2737" s="53">
        <f>IF(COUNTA(A2737:K2737)=0,"",IF(OR(A2737="",B2737="",C2737="",D2737="",E2737="",F2737="",G2737="",NOT(ISNUMBER(I2737))),"Incomplete",IF(COUNTIF(Lists!$H$4:$AA$4,C2737)=0,"Check category",IF(COUNTIF(INDEX(Lists!$H$6:$AA$45,0,MATCH(C2737,Lists!$H$4:$AA$4,0)),D2737)=0,"Check sub-category","OK"))))</f>
        <v/>
      </c>
      <c r="P2737">
        <f>IF(ISNUMBER(I2737),I2737+ROW()/10000000,"")</f>
        <v/>
      </c>
      <c r="Q2737">
        <f>IF(AND(ISNUMBER(P2737),ISNUMBER(A2737)),IF(AND(A2737&gt;=Dashboard!$Q$3,A2737&lt;=Dashboard!$Q$4,OR(J2737&lt;&gt;"Yes",Dashboard!$Q$15="Yes")),P2737,""),"")</f>
        <v/>
      </c>
    </row>
    <row r="2738">
      <c r="A2738" s="47" t="n"/>
      <c r="B2738" s="48" t="n"/>
      <c r="C2738" s="48" t="n"/>
      <c r="D2738" s="48" t="n"/>
      <c r="E2738" s="48" t="n"/>
      <c r="F2738" s="48" t="n"/>
      <c r="G2738" s="48" t="n"/>
      <c r="H2738" s="48" t="n"/>
      <c r="I2738" s="49" t="n"/>
      <c r="J2738" s="50" t="n"/>
      <c r="K2738" s="48" t="n"/>
      <c r="L2738" s="51">
        <f>IF(A2738="","",DATE(YEAR(A2738),MONTH(A2738),1))</f>
        <v/>
      </c>
      <c r="M2738" s="52">
        <f>IF(OR(A2738="",NOT(ISNUMBER(I2738))),"",IF(G2738=Lists!$B$5,I2738/2,IF(G2738=Lists!$B$6,I2738,0)))</f>
        <v/>
      </c>
      <c r="N2738" s="52">
        <f>IF(OR(A2738="",NOT(ISNUMBER(I2738))),"",IF(G2738=Lists!$B$5,I2738/2,IF(G2738=Lists!$B$7,I2738,0)))</f>
        <v/>
      </c>
      <c r="O2738" s="53">
        <f>IF(COUNTA(A2738:K2738)=0,"",IF(OR(A2738="",B2738="",C2738="",D2738="",E2738="",F2738="",G2738="",NOT(ISNUMBER(I2738))),"Incomplete",IF(COUNTIF(Lists!$H$4:$AA$4,C2738)=0,"Check category",IF(COUNTIF(INDEX(Lists!$H$6:$AA$45,0,MATCH(C2738,Lists!$H$4:$AA$4,0)),D2738)=0,"Check sub-category","OK"))))</f>
        <v/>
      </c>
      <c r="P2738">
        <f>IF(ISNUMBER(I2738),I2738+ROW()/10000000,"")</f>
        <v/>
      </c>
      <c r="Q2738">
        <f>IF(AND(ISNUMBER(P2738),ISNUMBER(A2738)),IF(AND(A2738&gt;=Dashboard!$Q$3,A2738&lt;=Dashboard!$Q$4,OR(J2738&lt;&gt;"Yes",Dashboard!$Q$15="Yes")),P2738,""),"")</f>
        <v/>
      </c>
    </row>
    <row r="2739">
      <c r="A2739" s="47" t="n"/>
      <c r="B2739" s="48" t="n"/>
      <c r="C2739" s="48" t="n"/>
      <c r="D2739" s="48" t="n"/>
      <c r="E2739" s="48" t="n"/>
      <c r="F2739" s="48" t="n"/>
      <c r="G2739" s="48" t="n"/>
      <c r="H2739" s="48" t="n"/>
      <c r="I2739" s="49" t="n"/>
      <c r="J2739" s="50" t="n"/>
      <c r="K2739" s="48" t="n"/>
      <c r="L2739" s="51">
        <f>IF(A2739="","",DATE(YEAR(A2739),MONTH(A2739),1))</f>
        <v/>
      </c>
      <c r="M2739" s="52">
        <f>IF(OR(A2739="",NOT(ISNUMBER(I2739))),"",IF(G2739=Lists!$B$5,I2739/2,IF(G2739=Lists!$B$6,I2739,0)))</f>
        <v/>
      </c>
      <c r="N2739" s="52">
        <f>IF(OR(A2739="",NOT(ISNUMBER(I2739))),"",IF(G2739=Lists!$B$5,I2739/2,IF(G2739=Lists!$B$7,I2739,0)))</f>
        <v/>
      </c>
      <c r="O2739" s="53">
        <f>IF(COUNTA(A2739:K2739)=0,"",IF(OR(A2739="",B2739="",C2739="",D2739="",E2739="",F2739="",G2739="",NOT(ISNUMBER(I2739))),"Incomplete",IF(COUNTIF(Lists!$H$4:$AA$4,C2739)=0,"Check category",IF(COUNTIF(INDEX(Lists!$H$6:$AA$45,0,MATCH(C2739,Lists!$H$4:$AA$4,0)),D2739)=0,"Check sub-category","OK"))))</f>
        <v/>
      </c>
      <c r="P2739">
        <f>IF(ISNUMBER(I2739),I2739+ROW()/10000000,"")</f>
        <v/>
      </c>
      <c r="Q2739">
        <f>IF(AND(ISNUMBER(P2739),ISNUMBER(A2739)),IF(AND(A2739&gt;=Dashboard!$Q$3,A2739&lt;=Dashboard!$Q$4,OR(J2739&lt;&gt;"Yes",Dashboard!$Q$15="Yes")),P2739,""),"")</f>
        <v/>
      </c>
    </row>
    <row r="2740">
      <c r="A2740" s="47" t="n"/>
      <c r="B2740" s="48" t="n"/>
      <c r="C2740" s="48" t="n"/>
      <c r="D2740" s="48" t="n"/>
      <c r="E2740" s="48" t="n"/>
      <c r="F2740" s="48" t="n"/>
      <c r="G2740" s="48" t="n"/>
      <c r="H2740" s="48" t="n"/>
      <c r="I2740" s="49" t="n"/>
      <c r="J2740" s="50" t="n"/>
      <c r="K2740" s="48" t="n"/>
      <c r="L2740" s="51">
        <f>IF(A2740="","",DATE(YEAR(A2740),MONTH(A2740),1))</f>
        <v/>
      </c>
      <c r="M2740" s="52">
        <f>IF(OR(A2740="",NOT(ISNUMBER(I2740))),"",IF(G2740=Lists!$B$5,I2740/2,IF(G2740=Lists!$B$6,I2740,0)))</f>
        <v/>
      </c>
      <c r="N2740" s="52">
        <f>IF(OR(A2740="",NOT(ISNUMBER(I2740))),"",IF(G2740=Lists!$B$5,I2740/2,IF(G2740=Lists!$B$7,I2740,0)))</f>
        <v/>
      </c>
      <c r="O2740" s="53">
        <f>IF(COUNTA(A2740:K2740)=0,"",IF(OR(A2740="",B2740="",C2740="",D2740="",E2740="",F2740="",G2740="",NOT(ISNUMBER(I2740))),"Incomplete",IF(COUNTIF(Lists!$H$4:$AA$4,C2740)=0,"Check category",IF(COUNTIF(INDEX(Lists!$H$6:$AA$45,0,MATCH(C2740,Lists!$H$4:$AA$4,0)),D2740)=0,"Check sub-category","OK"))))</f>
        <v/>
      </c>
      <c r="P2740">
        <f>IF(ISNUMBER(I2740),I2740+ROW()/10000000,"")</f>
        <v/>
      </c>
      <c r="Q2740">
        <f>IF(AND(ISNUMBER(P2740),ISNUMBER(A2740)),IF(AND(A2740&gt;=Dashboard!$Q$3,A2740&lt;=Dashboard!$Q$4,OR(J2740&lt;&gt;"Yes",Dashboard!$Q$15="Yes")),P2740,""),"")</f>
        <v/>
      </c>
    </row>
    <row r="2741">
      <c r="A2741" s="47" t="n"/>
      <c r="B2741" s="48" t="n"/>
      <c r="C2741" s="48" t="n"/>
      <c r="D2741" s="48" t="n"/>
      <c r="E2741" s="48" t="n"/>
      <c r="F2741" s="48" t="n"/>
      <c r="G2741" s="48" t="n"/>
      <c r="H2741" s="48" t="n"/>
      <c r="I2741" s="49" t="n"/>
      <c r="J2741" s="50" t="n"/>
      <c r="K2741" s="48" t="n"/>
      <c r="L2741" s="51">
        <f>IF(A2741="","",DATE(YEAR(A2741),MONTH(A2741),1))</f>
        <v/>
      </c>
      <c r="M2741" s="52">
        <f>IF(OR(A2741="",NOT(ISNUMBER(I2741))),"",IF(G2741=Lists!$B$5,I2741/2,IF(G2741=Lists!$B$6,I2741,0)))</f>
        <v/>
      </c>
      <c r="N2741" s="52">
        <f>IF(OR(A2741="",NOT(ISNUMBER(I2741))),"",IF(G2741=Lists!$B$5,I2741/2,IF(G2741=Lists!$B$7,I2741,0)))</f>
        <v/>
      </c>
      <c r="O2741" s="53">
        <f>IF(COUNTA(A2741:K2741)=0,"",IF(OR(A2741="",B2741="",C2741="",D2741="",E2741="",F2741="",G2741="",NOT(ISNUMBER(I2741))),"Incomplete",IF(COUNTIF(Lists!$H$4:$AA$4,C2741)=0,"Check category",IF(COUNTIF(INDEX(Lists!$H$6:$AA$45,0,MATCH(C2741,Lists!$H$4:$AA$4,0)),D2741)=0,"Check sub-category","OK"))))</f>
        <v/>
      </c>
      <c r="P2741">
        <f>IF(ISNUMBER(I2741),I2741+ROW()/10000000,"")</f>
        <v/>
      </c>
      <c r="Q2741">
        <f>IF(AND(ISNUMBER(P2741),ISNUMBER(A2741)),IF(AND(A2741&gt;=Dashboard!$Q$3,A2741&lt;=Dashboard!$Q$4,OR(J2741&lt;&gt;"Yes",Dashboard!$Q$15="Yes")),P2741,""),"")</f>
        <v/>
      </c>
    </row>
    <row r="2742">
      <c r="A2742" s="47" t="n"/>
      <c r="B2742" s="48" t="n"/>
      <c r="C2742" s="48" t="n"/>
      <c r="D2742" s="48" t="n"/>
      <c r="E2742" s="48" t="n"/>
      <c r="F2742" s="48" t="n"/>
      <c r="G2742" s="48" t="n"/>
      <c r="H2742" s="48" t="n"/>
      <c r="I2742" s="49" t="n"/>
      <c r="J2742" s="50" t="n"/>
      <c r="K2742" s="48" t="n"/>
      <c r="L2742" s="51">
        <f>IF(A2742="","",DATE(YEAR(A2742),MONTH(A2742),1))</f>
        <v/>
      </c>
      <c r="M2742" s="52">
        <f>IF(OR(A2742="",NOT(ISNUMBER(I2742))),"",IF(G2742=Lists!$B$5,I2742/2,IF(G2742=Lists!$B$6,I2742,0)))</f>
        <v/>
      </c>
      <c r="N2742" s="52">
        <f>IF(OR(A2742="",NOT(ISNUMBER(I2742))),"",IF(G2742=Lists!$B$5,I2742/2,IF(G2742=Lists!$B$7,I2742,0)))</f>
        <v/>
      </c>
      <c r="O2742" s="53">
        <f>IF(COUNTA(A2742:K2742)=0,"",IF(OR(A2742="",B2742="",C2742="",D2742="",E2742="",F2742="",G2742="",NOT(ISNUMBER(I2742))),"Incomplete",IF(COUNTIF(Lists!$H$4:$AA$4,C2742)=0,"Check category",IF(COUNTIF(INDEX(Lists!$H$6:$AA$45,0,MATCH(C2742,Lists!$H$4:$AA$4,0)),D2742)=0,"Check sub-category","OK"))))</f>
        <v/>
      </c>
      <c r="P2742">
        <f>IF(ISNUMBER(I2742),I2742+ROW()/10000000,"")</f>
        <v/>
      </c>
      <c r="Q2742">
        <f>IF(AND(ISNUMBER(P2742),ISNUMBER(A2742)),IF(AND(A2742&gt;=Dashboard!$Q$3,A2742&lt;=Dashboard!$Q$4,OR(J2742&lt;&gt;"Yes",Dashboard!$Q$15="Yes")),P2742,""),"")</f>
        <v/>
      </c>
    </row>
    <row r="2743">
      <c r="A2743" s="47" t="n"/>
      <c r="B2743" s="48" t="n"/>
      <c r="C2743" s="48" t="n"/>
      <c r="D2743" s="48" t="n"/>
      <c r="E2743" s="48" t="n"/>
      <c r="F2743" s="48" t="n"/>
      <c r="G2743" s="48" t="n"/>
      <c r="H2743" s="48" t="n"/>
      <c r="I2743" s="49" t="n"/>
      <c r="J2743" s="50" t="n"/>
      <c r="K2743" s="48" t="n"/>
      <c r="L2743" s="51">
        <f>IF(A2743="","",DATE(YEAR(A2743),MONTH(A2743),1))</f>
        <v/>
      </c>
      <c r="M2743" s="52">
        <f>IF(OR(A2743="",NOT(ISNUMBER(I2743))),"",IF(G2743=Lists!$B$5,I2743/2,IF(G2743=Lists!$B$6,I2743,0)))</f>
        <v/>
      </c>
      <c r="N2743" s="52">
        <f>IF(OR(A2743="",NOT(ISNUMBER(I2743))),"",IF(G2743=Lists!$B$5,I2743/2,IF(G2743=Lists!$B$7,I2743,0)))</f>
        <v/>
      </c>
      <c r="O2743" s="53">
        <f>IF(COUNTA(A2743:K2743)=0,"",IF(OR(A2743="",B2743="",C2743="",D2743="",E2743="",F2743="",G2743="",NOT(ISNUMBER(I2743))),"Incomplete",IF(COUNTIF(Lists!$H$4:$AA$4,C2743)=0,"Check category",IF(COUNTIF(INDEX(Lists!$H$6:$AA$45,0,MATCH(C2743,Lists!$H$4:$AA$4,0)),D2743)=0,"Check sub-category","OK"))))</f>
        <v/>
      </c>
      <c r="P2743">
        <f>IF(ISNUMBER(I2743),I2743+ROW()/10000000,"")</f>
        <v/>
      </c>
      <c r="Q2743">
        <f>IF(AND(ISNUMBER(P2743),ISNUMBER(A2743)),IF(AND(A2743&gt;=Dashboard!$Q$3,A2743&lt;=Dashboard!$Q$4,OR(J2743&lt;&gt;"Yes",Dashboard!$Q$15="Yes")),P2743,""),"")</f>
        <v/>
      </c>
    </row>
    <row r="2744">
      <c r="A2744" s="47" t="n"/>
      <c r="B2744" s="48" t="n"/>
      <c r="C2744" s="48" t="n"/>
      <c r="D2744" s="48" t="n"/>
      <c r="E2744" s="48" t="n"/>
      <c r="F2744" s="48" t="n"/>
      <c r="G2744" s="48" t="n"/>
      <c r="H2744" s="48" t="n"/>
      <c r="I2744" s="49" t="n"/>
      <c r="J2744" s="50" t="n"/>
      <c r="K2744" s="48" t="n"/>
      <c r="L2744" s="51">
        <f>IF(A2744="","",DATE(YEAR(A2744),MONTH(A2744),1))</f>
        <v/>
      </c>
      <c r="M2744" s="52">
        <f>IF(OR(A2744="",NOT(ISNUMBER(I2744))),"",IF(G2744=Lists!$B$5,I2744/2,IF(G2744=Lists!$B$6,I2744,0)))</f>
        <v/>
      </c>
      <c r="N2744" s="52">
        <f>IF(OR(A2744="",NOT(ISNUMBER(I2744))),"",IF(G2744=Lists!$B$5,I2744/2,IF(G2744=Lists!$B$7,I2744,0)))</f>
        <v/>
      </c>
      <c r="O2744" s="53">
        <f>IF(COUNTA(A2744:K2744)=0,"",IF(OR(A2744="",B2744="",C2744="",D2744="",E2744="",F2744="",G2744="",NOT(ISNUMBER(I2744))),"Incomplete",IF(COUNTIF(Lists!$H$4:$AA$4,C2744)=0,"Check category",IF(COUNTIF(INDEX(Lists!$H$6:$AA$45,0,MATCH(C2744,Lists!$H$4:$AA$4,0)),D2744)=0,"Check sub-category","OK"))))</f>
        <v/>
      </c>
      <c r="P2744">
        <f>IF(ISNUMBER(I2744),I2744+ROW()/10000000,"")</f>
        <v/>
      </c>
      <c r="Q2744">
        <f>IF(AND(ISNUMBER(P2744),ISNUMBER(A2744)),IF(AND(A2744&gt;=Dashboard!$Q$3,A2744&lt;=Dashboard!$Q$4,OR(J2744&lt;&gt;"Yes",Dashboard!$Q$15="Yes")),P2744,""),"")</f>
        <v/>
      </c>
    </row>
    <row r="2745">
      <c r="A2745" s="47" t="n"/>
      <c r="B2745" s="48" t="n"/>
      <c r="C2745" s="48" t="n"/>
      <c r="D2745" s="48" t="n"/>
      <c r="E2745" s="48" t="n"/>
      <c r="F2745" s="48" t="n"/>
      <c r="G2745" s="48" t="n"/>
      <c r="H2745" s="48" t="n"/>
      <c r="I2745" s="49" t="n"/>
      <c r="J2745" s="50" t="n"/>
      <c r="K2745" s="48" t="n"/>
      <c r="L2745" s="51">
        <f>IF(A2745="","",DATE(YEAR(A2745),MONTH(A2745),1))</f>
        <v/>
      </c>
      <c r="M2745" s="52">
        <f>IF(OR(A2745="",NOT(ISNUMBER(I2745))),"",IF(G2745=Lists!$B$5,I2745/2,IF(G2745=Lists!$B$6,I2745,0)))</f>
        <v/>
      </c>
      <c r="N2745" s="52">
        <f>IF(OR(A2745="",NOT(ISNUMBER(I2745))),"",IF(G2745=Lists!$B$5,I2745/2,IF(G2745=Lists!$B$7,I2745,0)))</f>
        <v/>
      </c>
      <c r="O2745" s="53">
        <f>IF(COUNTA(A2745:K2745)=0,"",IF(OR(A2745="",B2745="",C2745="",D2745="",E2745="",F2745="",G2745="",NOT(ISNUMBER(I2745))),"Incomplete",IF(COUNTIF(Lists!$H$4:$AA$4,C2745)=0,"Check category",IF(COUNTIF(INDEX(Lists!$H$6:$AA$45,0,MATCH(C2745,Lists!$H$4:$AA$4,0)),D2745)=0,"Check sub-category","OK"))))</f>
        <v/>
      </c>
      <c r="P2745">
        <f>IF(ISNUMBER(I2745),I2745+ROW()/10000000,"")</f>
        <v/>
      </c>
      <c r="Q2745">
        <f>IF(AND(ISNUMBER(P2745),ISNUMBER(A2745)),IF(AND(A2745&gt;=Dashboard!$Q$3,A2745&lt;=Dashboard!$Q$4,OR(J2745&lt;&gt;"Yes",Dashboard!$Q$15="Yes")),P2745,""),"")</f>
        <v/>
      </c>
    </row>
    <row r="2746">
      <c r="A2746" s="47" t="n"/>
      <c r="B2746" s="48" t="n"/>
      <c r="C2746" s="48" t="n"/>
      <c r="D2746" s="48" t="n"/>
      <c r="E2746" s="48" t="n"/>
      <c r="F2746" s="48" t="n"/>
      <c r="G2746" s="48" t="n"/>
      <c r="H2746" s="48" t="n"/>
      <c r="I2746" s="49" t="n"/>
      <c r="J2746" s="50" t="n"/>
      <c r="K2746" s="48" t="n"/>
      <c r="L2746" s="51">
        <f>IF(A2746="","",DATE(YEAR(A2746),MONTH(A2746),1))</f>
        <v/>
      </c>
      <c r="M2746" s="52">
        <f>IF(OR(A2746="",NOT(ISNUMBER(I2746))),"",IF(G2746=Lists!$B$5,I2746/2,IF(G2746=Lists!$B$6,I2746,0)))</f>
        <v/>
      </c>
      <c r="N2746" s="52">
        <f>IF(OR(A2746="",NOT(ISNUMBER(I2746))),"",IF(G2746=Lists!$B$5,I2746/2,IF(G2746=Lists!$B$7,I2746,0)))</f>
        <v/>
      </c>
      <c r="O2746" s="53">
        <f>IF(COUNTA(A2746:K2746)=0,"",IF(OR(A2746="",B2746="",C2746="",D2746="",E2746="",F2746="",G2746="",NOT(ISNUMBER(I2746))),"Incomplete",IF(COUNTIF(Lists!$H$4:$AA$4,C2746)=0,"Check category",IF(COUNTIF(INDEX(Lists!$H$6:$AA$45,0,MATCH(C2746,Lists!$H$4:$AA$4,0)),D2746)=0,"Check sub-category","OK"))))</f>
        <v/>
      </c>
      <c r="P2746">
        <f>IF(ISNUMBER(I2746),I2746+ROW()/10000000,"")</f>
        <v/>
      </c>
      <c r="Q2746">
        <f>IF(AND(ISNUMBER(P2746),ISNUMBER(A2746)),IF(AND(A2746&gt;=Dashboard!$Q$3,A2746&lt;=Dashboard!$Q$4,OR(J2746&lt;&gt;"Yes",Dashboard!$Q$15="Yes")),P2746,""),"")</f>
        <v/>
      </c>
    </row>
    <row r="2747">
      <c r="A2747" s="47" t="n"/>
      <c r="B2747" s="48" t="n"/>
      <c r="C2747" s="48" t="n"/>
      <c r="D2747" s="48" t="n"/>
      <c r="E2747" s="48" t="n"/>
      <c r="F2747" s="48" t="n"/>
      <c r="G2747" s="48" t="n"/>
      <c r="H2747" s="48" t="n"/>
      <c r="I2747" s="49" t="n"/>
      <c r="J2747" s="50" t="n"/>
      <c r="K2747" s="48" t="n"/>
      <c r="L2747" s="51">
        <f>IF(A2747="","",DATE(YEAR(A2747),MONTH(A2747),1))</f>
        <v/>
      </c>
      <c r="M2747" s="52">
        <f>IF(OR(A2747="",NOT(ISNUMBER(I2747))),"",IF(G2747=Lists!$B$5,I2747/2,IF(G2747=Lists!$B$6,I2747,0)))</f>
        <v/>
      </c>
      <c r="N2747" s="52">
        <f>IF(OR(A2747="",NOT(ISNUMBER(I2747))),"",IF(G2747=Lists!$B$5,I2747/2,IF(G2747=Lists!$B$7,I2747,0)))</f>
        <v/>
      </c>
      <c r="O2747" s="53">
        <f>IF(COUNTA(A2747:K2747)=0,"",IF(OR(A2747="",B2747="",C2747="",D2747="",E2747="",F2747="",G2747="",NOT(ISNUMBER(I2747))),"Incomplete",IF(COUNTIF(Lists!$H$4:$AA$4,C2747)=0,"Check category",IF(COUNTIF(INDEX(Lists!$H$6:$AA$45,0,MATCH(C2747,Lists!$H$4:$AA$4,0)),D2747)=0,"Check sub-category","OK"))))</f>
        <v/>
      </c>
      <c r="P2747">
        <f>IF(ISNUMBER(I2747),I2747+ROW()/10000000,"")</f>
        <v/>
      </c>
      <c r="Q2747">
        <f>IF(AND(ISNUMBER(P2747),ISNUMBER(A2747)),IF(AND(A2747&gt;=Dashboard!$Q$3,A2747&lt;=Dashboard!$Q$4,OR(J2747&lt;&gt;"Yes",Dashboard!$Q$15="Yes")),P2747,""),"")</f>
        <v/>
      </c>
    </row>
    <row r="2748">
      <c r="A2748" s="47" t="n"/>
      <c r="B2748" s="48" t="n"/>
      <c r="C2748" s="48" t="n"/>
      <c r="D2748" s="48" t="n"/>
      <c r="E2748" s="48" t="n"/>
      <c r="F2748" s="48" t="n"/>
      <c r="G2748" s="48" t="n"/>
      <c r="H2748" s="48" t="n"/>
      <c r="I2748" s="49" t="n"/>
      <c r="J2748" s="50" t="n"/>
      <c r="K2748" s="48" t="n"/>
      <c r="L2748" s="51">
        <f>IF(A2748="","",DATE(YEAR(A2748),MONTH(A2748),1))</f>
        <v/>
      </c>
      <c r="M2748" s="52">
        <f>IF(OR(A2748="",NOT(ISNUMBER(I2748))),"",IF(G2748=Lists!$B$5,I2748/2,IF(G2748=Lists!$B$6,I2748,0)))</f>
        <v/>
      </c>
      <c r="N2748" s="52">
        <f>IF(OR(A2748="",NOT(ISNUMBER(I2748))),"",IF(G2748=Lists!$B$5,I2748/2,IF(G2748=Lists!$B$7,I2748,0)))</f>
        <v/>
      </c>
      <c r="O2748" s="53">
        <f>IF(COUNTA(A2748:K2748)=0,"",IF(OR(A2748="",B2748="",C2748="",D2748="",E2748="",F2748="",G2748="",NOT(ISNUMBER(I2748))),"Incomplete",IF(COUNTIF(Lists!$H$4:$AA$4,C2748)=0,"Check category",IF(COUNTIF(INDEX(Lists!$H$6:$AA$45,0,MATCH(C2748,Lists!$H$4:$AA$4,0)),D2748)=0,"Check sub-category","OK"))))</f>
        <v/>
      </c>
      <c r="P2748">
        <f>IF(ISNUMBER(I2748),I2748+ROW()/10000000,"")</f>
        <v/>
      </c>
      <c r="Q2748">
        <f>IF(AND(ISNUMBER(P2748),ISNUMBER(A2748)),IF(AND(A2748&gt;=Dashboard!$Q$3,A2748&lt;=Dashboard!$Q$4,OR(J2748&lt;&gt;"Yes",Dashboard!$Q$15="Yes")),P2748,""),"")</f>
        <v/>
      </c>
    </row>
    <row r="2749">
      <c r="A2749" s="47" t="n"/>
      <c r="B2749" s="48" t="n"/>
      <c r="C2749" s="48" t="n"/>
      <c r="D2749" s="48" t="n"/>
      <c r="E2749" s="48" t="n"/>
      <c r="F2749" s="48" t="n"/>
      <c r="G2749" s="48" t="n"/>
      <c r="H2749" s="48" t="n"/>
      <c r="I2749" s="49" t="n"/>
      <c r="J2749" s="50" t="n"/>
      <c r="K2749" s="48" t="n"/>
      <c r="L2749" s="51">
        <f>IF(A2749="","",DATE(YEAR(A2749),MONTH(A2749),1))</f>
        <v/>
      </c>
      <c r="M2749" s="52">
        <f>IF(OR(A2749="",NOT(ISNUMBER(I2749))),"",IF(G2749=Lists!$B$5,I2749/2,IF(G2749=Lists!$B$6,I2749,0)))</f>
        <v/>
      </c>
      <c r="N2749" s="52">
        <f>IF(OR(A2749="",NOT(ISNUMBER(I2749))),"",IF(G2749=Lists!$B$5,I2749/2,IF(G2749=Lists!$B$7,I2749,0)))</f>
        <v/>
      </c>
      <c r="O2749" s="53">
        <f>IF(COUNTA(A2749:K2749)=0,"",IF(OR(A2749="",B2749="",C2749="",D2749="",E2749="",F2749="",G2749="",NOT(ISNUMBER(I2749))),"Incomplete",IF(COUNTIF(Lists!$H$4:$AA$4,C2749)=0,"Check category",IF(COUNTIF(INDEX(Lists!$H$6:$AA$45,0,MATCH(C2749,Lists!$H$4:$AA$4,0)),D2749)=0,"Check sub-category","OK"))))</f>
        <v/>
      </c>
      <c r="P2749">
        <f>IF(ISNUMBER(I2749),I2749+ROW()/10000000,"")</f>
        <v/>
      </c>
      <c r="Q2749">
        <f>IF(AND(ISNUMBER(P2749),ISNUMBER(A2749)),IF(AND(A2749&gt;=Dashboard!$Q$3,A2749&lt;=Dashboard!$Q$4,OR(J2749&lt;&gt;"Yes",Dashboard!$Q$15="Yes")),P2749,""),"")</f>
        <v/>
      </c>
    </row>
    <row r="2750">
      <c r="A2750" s="47" t="n"/>
      <c r="B2750" s="48" t="n"/>
      <c r="C2750" s="48" t="n"/>
      <c r="D2750" s="48" t="n"/>
      <c r="E2750" s="48" t="n"/>
      <c r="F2750" s="48" t="n"/>
      <c r="G2750" s="48" t="n"/>
      <c r="H2750" s="48" t="n"/>
      <c r="I2750" s="49" t="n"/>
      <c r="J2750" s="50" t="n"/>
      <c r="K2750" s="48" t="n"/>
      <c r="L2750" s="51">
        <f>IF(A2750="","",DATE(YEAR(A2750),MONTH(A2750),1))</f>
        <v/>
      </c>
      <c r="M2750" s="52">
        <f>IF(OR(A2750="",NOT(ISNUMBER(I2750))),"",IF(G2750=Lists!$B$5,I2750/2,IF(G2750=Lists!$B$6,I2750,0)))</f>
        <v/>
      </c>
      <c r="N2750" s="52">
        <f>IF(OR(A2750="",NOT(ISNUMBER(I2750))),"",IF(G2750=Lists!$B$5,I2750/2,IF(G2750=Lists!$B$7,I2750,0)))</f>
        <v/>
      </c>
      <c r="O2750" s="53">
        <f>IF(COUNTA(A2750:K2750)=0,"",IF(OR(A2750="",B2750="",C2750="",D2750="",E2750="",F2750="",G2750="",NOT(ISNUMBER(I2750))),"Incomplete",IF(COUNTIF(Lists!$H$4:$AA$4,C2750)=0,"Check category",IF(COUNTIF(INDEX(Lists!$H$6:$AA$45,0,MATCH(C2750,Lists!$H$4:$AA$4,0)),D2750)=0,"Check sub-category","OK"))))</f>
        <v/>
      </c>
      <c r="P2750">
        <f>IF(ISNUMBER(I2750),I2750+ROW()/10000000,"")</f>
        <v/>
      </c>
      <c r="Q2750">
        <f>IF(AND(ISNUMBER(P2750),ISNUMBER(A2750)),IF(AND(A2750&gt;=Dashboard!$Q$3,A2750&lt;=Dashboard!$Q$4,OR(J2750&lt;&gt;"Yes",Dashboard!$Q$15="Yes")),P2750,""),"")</f>
        <v/>
      </c>
    </row>
    <row r="2751">
      <c r="A2751" s="47" t="n"/>
      <c r="B2751" s="48" t="n"/>
      <c r="C2751" s="48" t="n"/>
      <c r="D2751" s="48" t="n"/>
      <c r="E2751" s="48" t="n"/>
      <c r="F2751" s="48" t="n"/>
      <c r="G2751" s="48" t="n"/>
      <c r="H2751" s="48" t="n"/>
      <c r="I2751" s="49" t="n"/>
      <c r="J2751" s="50" t="n"/>
      <c r="K2751" s="48" t="n"/>
      <c r="L2751" s="51">
        <f>IF(A2751="","",DATE(YEAR(A2751),MONTH(A2751),1))</f>
        <v/>
      </c>
      <c r="M2751" s="52">
        <f>IF(OR(A2751="",NOT(ISNUMBER(I2751))),"",IF(G2751=Lists!$B$5,I2751/2,IF(G2751=Lists!$B$6,I2751,0)))</f>
        <v/>
      </c>
      <c r="N2751" s="52">
        <f>IF(OR(A2751="",NOT(ISNUMBER(I2751))),"",IF(G2751=Lists!$B$5,I2751/2,IF(G2751=Lists!$B$7,I2751,0)))</f>
        <v/>
      </c>
      <c r="O2751" s="53">
        <f>IF(COUNTA(A2751:K2751)=0,"",IF(OR(A2751="",B2751="",C2751="",D2751="",E2751="",F2751="",G2751="",NOT(ISNUMBER(I2751))),"Incomplete",IF(COUNTIF(Lists!$H$4:$AA$4,C2751)=0,"Check category",IF(COUNTIF(INDEX(Lists!$H$6:$AA$45,0,MATCH(C2751,Lists!$H$4:$AA$4,0)),D2751)=0,"Check sub-category","OK"))))</f>
        <v/>
      </c>
      <c r="P2751">
        <f>IF(ISNUMBER(I2751),I2751+ROW()/10000000,"")</f>
        <v/>
      </c>
      <c r="Q2751">
        <f>IF(AND(ISNUMBER(P2751),ISNUMBER(A2751)),IF(AND(A2751&gt;=Dashboard!$Q$3,A2751&lt;=Dashboard!$Q$4,OR(J2751&lt;&gt;"Yes",Dashboard!$Q$15="Yes")),P2751,""),"")</f>
        <v/>
      </c>
    </row>
    <row r="2752">
      <c r="A2752" s="47" t="n"/>
      <c r="B2752" s="48" t="n"/>
      <c r="C2752" s="48" t="n"/>
      <c r="D2752" s="48" t="n"/>
      <c r="E2752" s="48" t="n"/>
      <c r="F2752" s="48" t="n"/>
      <c r="G2752" s="48" t="n"/>
      <c r="H2752" s="48" t="n"/>
      <c r="I2752" s="49" t="n"/>
      <c r="J2752" s="50" t="n"/>
      <c r="K2752" s="48" t="n"/>
      <c r="L2752" s="51">
        <f>IF(A2752="","",DATE(YEAR(A2752),MONTH(A2752),1))</f>
        <v/>
      </c>
      <c r="M2752" s="52">
        <f>IF(OR(A2752="",NOT(ISNUMBER(I2752))),"",IF(G2752=Lists!$B$5,I2752/2,IF(G2752=Lists!$B$6,I2752,0)))</f>
        <v/>
      </c>
      <c r="N2752" s="52">
        <f>IF(OR(A2752="",NOT(ISNUMBER(I2752))),"",IF(G2752=Lists!$B$5,I2752/2,IF(G2752=Lists!$B$7,I2752,0)))</f>
        <v/>
      </c>
      <c r="O2752" s="53">
        <f>IF(COUNTA(A2752:K2752)=0,"",IF(OR(A2752="",B2752="",C2752="",D2752="",E2752="",F2752="",G2752="",NOT(ISNUMBER(I2752))),"Incomplete",IF(COUNTIF(Lists!$H$4:$AA$4,C2752)=0,"Check category",IF(COUNTIF(INDEX(Lists!$H$6:$AA$45,0,MATCH(C2752,Lists!$H$4:$AA$4,0)),D2752)=0,"Check sub-category","OK"))))</f>
        <v/>
      </c>
      <c r="P2752">
        <f>IF(ISNUMBER(I2752),I2752+ROW()/10000000,"")</f>
        <v/>
      </c>
      <c r="Q2752">
        <f>IF(AND(ISNUMBER(P2752),ISNUMBER(A2752)),IF(AND(A2752&gt;=Dashboard!$Q$3,A2752&lt;=Dashboard!$Q$4,OR(J2752&lt;&gt;"Yes",Dashboard!$Q$15="Yes")),P2752,""),"")</f>
        <v/>
      </c>
    </row>
    <row r="2753">
      <c r="A2753" s="47" t="n"/>
      <c r="B2753" s="48" t="n"/>
      <c r="C2753" s="48" t="n"/>
      <c r="D2753" s="48" t="n"/>
      <c r="E2753" s="48" t="n"/>
      <c r="F2753" s="48" t="n"/>
      <c r="G2753" s="48" t="n"/>
      <c r="H2753" s="48" t="n"/>
      <c r="I2753" s="49" t="n"/>
      <c r="J2753" s="50" t="n"/>
      <c r="K2753" s="48" t="n"/>
      <c r="L2753" s="51">
        <f>IF(A2753="","",DATE(YEAR(A2753),MONTH(A2753),1))</f>
        <v/>
      </c>
      <c r="M2753" s="52">
        <f>IF(OR(A2753="",NOT(ISNUMBER(I2753))),"",IF(G2753=Lists!$B$5,I2753/2,IF(G2753=Lists!$B$6,I2753,0)))</f>
        <v/>
      </c>
      <c r="N2753" s="52">
        <f>IF(OR(A2753="",NOT(ISNUMBER(I2753))),"",IF(G2753=Lists!$B$5,I2753/2,IF(G2753=Lists!$B$7,I2753,0)))</f>
        <v/>
      </c>
      <c r="O2753" s="53">
        <f>IF(COUNTA(A2753:K2753)=0,"",IF(OR(A2753="",B2753="",C2753="",D2753="",E2753="",F2753="",G2753="",NOT(ISNUMBER(I2753))),"Incomplete",IF(COUNTIF(Lists!$H$4:$AA$4,C2753)=0,"Check category",IF(COUNTIF(INDEX(Lists!$H$6:$AA$45,0,MATCH(C2753,Lists!$H$4:$AA$4,0)),D2753)=0,"Check sub-category","OK"))))</f>
        <v/>
      </c>
      <c r="P2753">
        <f>IF(ISNUMBER(I2753),I2753+ROW()/10000000,"")</f>
        <v/>
      </c>
      <c r="Q2753">
        <f>IF(AND(ISNUMBER(P2753),ISNUMBER(A2753)),IF(AND(A2753&gt;=Dashboard!$Q$3,A2753&lt;=Dashboard!$Q$4,OR(J2753&lt;&gt;"Yes",Dashboard!$Q$15="Yes")),P2753,""),"")</f>
        <v/>
      </c>
    </row>
    <row r="2754">
      <c r="A2754" s="47" t="n"/>
      <c r="B2754" s="48" t="n"/>
      <c r="C2754" s="48" t="n"/>
      <c r="D2754" s="48" t="n"/>
      <c r="E2754" s="48" t="n"/>
      <c r="F2754" s="48" t="n"/>
      <c r="G2754" s="48" t="n"/>
      <c r="H2754" s="48" t="n"/>
      <c r="I2754" s="49" t="n"/>
      <c r="J2754" s="50" t="n"/>
      <c r="K2754" s="48" t="n"/>
      <c r="L2754" s="51">
        <f>IF(A2754="","",DATE(YEAR(A2754),MONTH(A2754),1))</f>
        <v/>
      </c>
      <c r="M2754" s="52">
        <f>IF(OR(A2754="",NOT(ISNUMBER(I2754))),"",IF(G2754=Lists!$B$5,I2754/2,IF(G2754=Lists!$B$6,I2754,0)))</f>
        <v/>
      </c>
      <c r="N2754" s="52">
        <f>IF(OR(A2754="",NOT(ISNUMBER(I2754))),"",IF(G2754=Lists!$B$5,I2754/2,IF(G2754=Lists!$B$7,I2754,0)))</f>
        <v/>
      </c>
      <c r="O2754" s="53">
        <f>IF(COUNTA(A2754:K2754)=0,"",IF(OR(A2754="",B2754="",C2754="",D2754="",E2754="",F2754="",G2754="",NOT(ISNUMBER(I2754))),"Incomplete",IF(COUNTIF(Lists!$H$4:$AA$4,C2754)=0,"Check category",IF(COUNTIF(INDEX(Lists!$H$6:$AA$45,0,MATCH(C2754,Lists!$H$4:$AA$4,0)),D2754)=0,"Check sub-category","OK"))))</f>
        <v/>
      </c>
      <c r="P2754">
        <f>IF(ISNUMBER(I2754),I2754+ROW()/10000000,"")</f>
        <v/>
      </c>
      <c r="Q2754">
        <f>IF(AND(ISNUMBER(P2754),ISNUMBER(A2754)),IF(AND(A2754&gt;=Dashboard!$Q$3,A2754&lt;=Dashboard!$Q$4,OR(J2754&lt;&gt;"Yes",Dashboard!$Q$15="Yes")),P2754,""),"")</f>
        <v/>
      </c>
    </row>
    <row r="2755">
      <c r="A2755" s="47" t="n"/>
      <c r="B2755" s="48" t="n"/>
      <c r="C2755" s="48" t="n"/>
      <c r="D2755" s="48" t="n"/>
      <c r="E2755" s="48" t="n"/>
      <c r="F2755" s="48" t="n"/>
      <c r="G2755" s="48" t="n"/>
      <c r="H2755" s="48" t="n"/>
      <c r="I2755" s="49" t="n"/>
      <c r="J2755" s="50" t="n"/>
      <c r="K2755" s="48" t="n"/>
      <c r="L2755" s="51">
        <f>IF(A2755="","",DATE(YEAR(A2755),MONTH(A2755),1))</f>
        <v/>
      </c>
      <c r="M2755" s="52">
        <f>IF(OR(A2755="",NOT(ISNUMBER(I2755))),"",IF(G2755=Lists!$B$5,I2755/2,IF(G2755=Lists!$B$6,I2755,0)))</f>
        <v/>
      </c>
      <c r="N2755" s="52">
        <f>IF(OR(A2755="",NOT(ISNUMBER(I2755))),"",IF(G2755=Lists!$B$5,I2755/2,IF(G2755=Lists!$B$7,I2755,0)))</f>
        <v/>
      </c>
      <c r="O2755" s="53">
        <f>IF(COUNTA(A2755:K2755)=0,"",IF(OR(A2755="",B2755="",C2755="",D2755="",E2755="",F2755="",G2755="",NOT(ISNUMBER(I2755))),"Incomplete",IF(COUNTIF(Lists!$H$4:$AA$4,C2755)=0,"Check category",IF(COUNTIF(INDEX(Lists!$H$6:$AA$45,0,MATCH(C2755,Lists!$H$4:$AA$4,0)),D2755)=0,"Check sub-category","OK"))))</f>
        <v/>
      </c>
      <c r="P2755">
        <f>IF(ISNUMBER(I2755),I2755+ROW()/10000000,"")</f>
        <v/>
      </c>
      <c r="Q2755">
        <f>IF(AND(ISNUMBER(P2755),ISNUMBER(A2755)),IF(AND(A2755&gt;=Dashboard!$Q$3,A2755&lt;=Dashboard!$Q$4,OR(J2755&lt;&gt;"Yes",Dashboard!$Q$15="Yes")),P2755,""),"")</f>
        <v/>
      </c>
    </row>
    <row r="2756">
      <c r="A2756" s="47" t="n"/>
      <c r="B2756" s="48" t="n"/>
      <c r="C2756" s="48" t="n"/>
      <c r="D2756" s="48" t="n"/>
      <c r="E2756" s="48" t="n"/>
      <c r="F2756" s="48" t="n"/>
      <c r="G2756" s="48" t="n"/>
      <c r="H2756" s="48" t="n"/>
      <c r="I2756" s="49" t="n"/>
      <c r="J2756" s="50" t="n"/>
      <c r="K2756" s="48" t="n"/>
      <c r="L2756" s="51">
        <f>IF(A2756="","",DATE(YEAR(A2756),MONTH(A2756),1))</f>
        <v/>
      </c>
      <c r="M2756" s="52">
        <f>IF(OR(A2756="",NOT(ISNUMBER(I2756))),"",IF(G2756=Lists!$B$5,I2756/2,IF(G2756=Lists!$B$6,I2756,0)))</f>
        <v/>
      </c>
      <c r="N2756" s="52">
        <f>IF(OR(A2756="",NOT(ISNUMBER(I2756))),"",IF(G2756=Lists!$B$5,I2756/2,IF(G2756=Lists!$B$7,I2756,0)))</f>
        <v/>
      </c>
      <c r="O2756" s="53">
        <f>IF(COUNTA(A2756:K2756)=0,"",IF(OR(A2756="",B2756="",C2756="",D2756="",E2756="",F2756="",G2756="",NOT(ISNUMBER(I2756))),"Incomplete",IF(COUNTIF(Lists!$H$4:$AA$4,C2756)=0,"Check category",IF(COUNTIF(INDEX(Lists!$H$6:$AA$45,0,MATCH(C2756,Lists!$H$4:$AA$4,0)),D2756)=0,"Check sub-category","OK"))))</f>
        <v/>
      </c>
      <c r="P2756">
        <f>IF(ISNUMBER(I2756),I2756+ROW()/10000000,"")</f>
        <v/>
      </c>
      <c r="Q2756">
        <f>IF(AND(ISNUMBER(P2756),ISNUMBER(A2756)),IF(AND(A2756&gt;=Dashboard!$Q$3,A2756&lt;=Dashboard!$Q$4,OR(J2756&lt;&gt;"Yes",Dashboard!$Q$15="Yes")),P2756,""),"")</f>
        <v/>
      </c>
    </row>
    <row r="2757">
      <c r="A2757" s="47" t="n"/>
      <c r="B2757" s="48" t="n"/>
      <c r="C2757" s="48" t="n"/>
      <c r="D2757" s="48" t="n"/>
      <c r="E2757" s="48" t="n"/>
      <c r="F2757" s="48" t="n"/>
      <c r="G2757" s="48" t="n"/>
      <c r="H2757" s="48" t="n"/>
      <c r="I2757" s="49" t="n"/>
      <c r="J2757" s="50" t="n"/>
      <c r="K2757" s="48" t="n"/>
      <c r="L2757" s="51">
        <f>IF(A2757="","",DATE(YEAR(A2757),MONTH(A2757),1))</f>
        <v/>
      </c>
      <c r="M2757" s="52">
        <f>IF(OR(A2757="",NOT(ISNUMBER(I2757))),"",IF(G2757=Lists!$B$5,I2757/2,IF(G2757=Lists!$B$6,I2757,0)))</f>
        <v/>
      </c>
      <c r="N2757" s="52">
        <f>IF(OR(A2757="",NOT(ISNUMBER(I2757))),"",IF(G2757=Lists!$B$5,I2757/2,IF(G2757=Lists!$B$7,I2757,0)))</f>
        <v/>
      </c>
      <c r="O2757" s="53">
        <f>IF(COUNTA(A2757:K2757)=0,"",IF(OR(A2757="",B2757="",C2757="",D2757="",E2757="",F2757="",G2757="",NOT(ISNUMBER(I2757))),"Incomplete",IF(COUNTIF(Lists!$H$4:$AA$4,C2757)=0,"Check category",IF(COUNTIF(INDEX(Lists!$H$6:$AA$45,0,MATCH(C2757,Lists!$H$4:$AA$4,0)),D2757)=0,"Check sub-category","OK"))))</f>
        <v/>
      </c>
      <c r="P2757">
        <f>IF(ISNUMBER(I2757),I2757+ROW()/10000000,"")</f>
        <v/>
      </c>
      <c r="Q2757">
        <f>IF(AND(ISNUMBER(P2757),ISNUMBER(A2757)),IF(AND(A2757&gt;=Dashboard!$Q$3,A2757&lt;=Dashboard!$Q$4,OR(J2757&lt;&gt;"Yes",Dashboard!$Q$15="Yes")),P2757,""),"")</f>
        <v/>
      </c>
    </row>
    <row r="2758">
      <c r="A2758" s="47" t="n"/>
      <c r="B2758" s="48" t="n"/>
      <c r="C2758" s="48" t="n"/>
      <c r="D2758" s="48" t="n"/>
      <c r="E2758" s="48" t="n"/>
      <c r="F2758" s="48" t="n"/>
      <c r="G2758" s="48" t="n"/>
      <c r="H2758" s="48" t="n"/>
      <c r="I2758" s="49" t="n"/>
      <c r="J2758" s="50" t="n"/>
      <c r="K2758" s="48" t="n"/>
      <c r="L2758" s="51">
        <f>IF(A2758="","",DATE(YEAR(A2758),MONTH(A2758),1))</f>
        <v/>
      </c>
      <c r="M2758" s="52">
        <f>IF(OR(A2758="",NOT(ISNUMBER(I2758))),"",IF(G2758=Lists!$B$5,I2758/2,IF(G2758=Lists!$B$6,I2758,0)))</f>
        <v/>
      </c>
      <c r="N2758" s="52">
        <f>IF(OR(A2758="",NOT(ISNUMBER(I2758))),"",IF(G2758=Lists!$B$5,I2758/2,IF(G2758=Lists!$B$7,I2758,0)))</f>
        <v/>
      </c>
      <c r="O2758" s="53">
        <f>IF(COUNTA(A2758:K2758)=0,"",IF(OR(A2758="",B2758="",C2758="",D2758="",E2758="",F2758="",G2758="",NOT(ISNUMBER(I2758))),"Incomplete",IF(COUNTIF(Lists!$H$4:$AA$4,C2758)=0,"Check category",IF(COUNTIF(INDEX(Lists!$H$6:$AA$45,0,MATCH(C2758,Lists!$H$4:$AA$4,0)),D2758)=0,"Check sub-category","OK"))))</f>
        <v/>
      </c>
      <c r="P2758">
        <f>IF(ISNUMBER(I2758),I2758+ROW()/10000000,"")</f>
        <v/>
      </c>
      <c r="Q2758">
        <f>IF(AND(ISNUMBER(P2758),ISNUMBER(A2758)),IF(AND(A2758&gt;=Dashboard!$Q$3,A2758&lt;=Dashboard!$Q$4,OR(J2758&lt;&gt;"Yes",Dashboard!$Q$15="Yes")),P2758,""),"")</f>
        <v/>
      </c>
    </row>
    <row r="2759">
      <c r="A2759" s="47" t="n"/>
      <c r="B2759" s="48" t="n"/>
      <c r="C2759" s="48" t="n"/>
      <c r="D2759" s="48" t="n"/>
      <c r="E2759" s="48" t="n"/>
      <c r="F2759" s="48" t="n"/>
      <c r="G2759" s="48" t="n"/>
      <c r="H2759" s="48" t="n"/>
      <c r="I2759" s="49" t="n"/>
      <c r="J2759" s="50" t="n"/>
      <c r="K2759" s="48" t="n"/>
      <c r="L2759" s="51">
        <f>IF(A2759="","",DATE(YEAR(A2759),MONTH(A2759),1))</f>
        <v/>
      </c>
      <c r="M2759" s="52">
        <f>IF(OR(A2759="",NOT(ISNUMBER(I2759))),"",IF(G2759=Lists!$B$5,I2759/2,IF(G2759=Lists!$B$6,I2759,0)))</f>
        <v/>
      </c>
      <c r="N2759" s="52">
        <f>IF(OR(A2759="",NOT(ISNUMBER(I2759))),"",IF(G2759=Lists!$B$5,I2759/2,IF(G2759=Lists!$B$7,I2759,0)))</f>
        <v/>
      </c>
      <c r="O2759" s="53">
        <f>IF(COUNTA(A2759:K2759)=0,"",IF(OR(A2759="",B2759="",C2759="",D2759="",E2759="",F2759="",G2759="",NOT(ISNUMBER(I2759))),"Incomplete",IF(COUNTIF(Lists!$H$4:$AA$4,C2759)=0,"Check category",IF(COUNTIF(INDEX(Lists!$H$6:$AA$45,0,MATCH(C2759,Lists!$H$4:$AA$4,0)),D2759)=0,"Check sub-category","OK"))))</f>
        <v/>
      </c>
      <c r="P2759">
        <f>IF(ISNUMBER(I2759),I2759+ROW()/10000000,"")</f>
        <v/>
      </c>
      <c r="Q2759">
        <f>IF(AND(ISNUMBER(P2759),ISNUMBER(A2759)),IF(AND(A2759&gt;=Dashboard!$Q$3,A2759&lt;=Dashboard!$Q$4,OR(J2759&lt;&gt;"Yes",Dashboard!$Q$15="Yes")),P2759,""),"")</f>
        <v/>
      </c>
    </row>
    <row r="2760">
      <c r="A2760" s="47" t="n"/>
      <c r="B2760" s="48" t="n"/>
      <c r="C2760" s="48" t="n"/>
      <c r="D2760" s="48" t="n"/>
      <c r="E2760" s="48" t="n"/>
      <c r="F2760" s="48" t="n"/>
      <c r="G2760" s="48" t="n"/>
      <c r="H2760" s="48" t="n"/>
      <c r="I2760" s="49" t="n"/>
      <c r="J2760" s="50" t="n"/>
      <c r="K2760" s="48" t="n"/>
      <c r="L2760" s="51">
        <f>IF(A2760="","",DATE(YEAR(A2760),MONTH(A2760),1))</f>
        <v/>
      </c>
      <c r="M2760" s="52">
        <f>IF(OR(A2760="",NOT(ISNUMBER(I2760))),"",IF(G2760=Lists!$B$5,I2760/2,IF(G2760=Lists!$B$6,I2760,0)))</f>
        <v/>
      </c>
      <c r="N2760" s="52">
        <f>IF(OR(A2760="",NOT(ISNUMBER(I2760))),"",IF(G2760=Lists!$B$5,I2760/2,IF(G2760=Lists!$B$7,I2760,0)))</f>
        <v/>
      </c>
      <c r="O2760" s="53">
        <f>IF(COUNTA(A2760:K2760)=0,"",IF(OR(A2760="",B2760="",C2760="",D2760="",E2760="",F2760="",G2760="",NOT(ISNUMBER(I2760))),"Incomplete",IF(COUNTIF(Lists!$H$4:$AA$4,C2760)=0,"Check category",IF(COUNTIF(INDEX(Lists!$H$6:$AA$45,0,MATCH(C2760,Lists!$H$4:$AA$4,0)),D2760)=0,"Check sub-category","OK"))))</f>
        <v/>
      </c>
      <c r="P2760">
        <f>IF(ISNUMBER(I2760),I2760+ROW()/10000000,"")</f>
        <v/>
      </c>
      <c r="Q2760">
        <f>IF(AND(ISNUMBER(P2760),ISNUMBER(A2760)),IF(AND(A2760&gt;=Dashboard!$Q$3,A2760&lt;=Dashboard!$Q$4,OR(J2760&lt;&gt;"Yes",Dashboard!$Q$15="Yes")),P2760,""),"")</f>
        <v/>
      </c>
    </row>
    <row r="2761">
      <c r="A2761" s="47" t="n"/>
      <c r="B2761" s="48" t="n"/>
      <c r="C2761" s="48" t="n"/>
      <c r="D2761" s="48" t="n"/>
      <c r="E2761" s="48" t="n"/>
      <c r="F2761" s="48" t="n"/>
      <c r="G2761" s="48" t="n"/>
      <c r="H2761" s="48" t="n"/>
      <c r="I2761" s="49" t="n"/>
      <c r="J2761" s="50" t="n"/>
      <c r="K2761" s="48" t="n"/>
      <c r="L2761" s="51">
        <f>IF(A2761="","",DATE(YEAR(A2761),MONTH(A2761),1))</f>
        <v/>
      </c>
      <c r="M2761" s="52">
        <f>IF(OR(A2761="",NOT(ISNUMBER(I2761))),"",IF(G2761=Lists!$B$5,I2761/2,IF(G2761=Lists!$B$6,I2761,0)))</f>
        <v/>
      </c>
      <c r="N2761" s="52">
        <f>IF(OR(A2761="",NOT(ISNUMBER(I2761))),"",IF(G2761=Lists!$B$5,I2761/2,IF(G2761=Lists!$B$7,I2761,0)))</f>
        <v/>
      </c>
      <c r="O2761" s="53">
        <f>IF(COUNTA(A2761:K2761)=0,"",IF(OR(A2761="",B2761="",C2761="",D2761="",E2761="",F2761="",G2761="",NOT(ISNUMBER(I2761))),"Incomplete",IF(COUNTIF(Lists!$H$4:$AA$4,C2761)=0,"Check category",IF(COUNTIF(INDEX(Lists!$H$6:$AA$45,0,MATCH(C2761,Lists!$H$4:$AA$4,0)),D2761)=0,"Check sub-category","OK"))))</f>
        <v/>
      </c>
      <c r="P2761">
        <f>IF(ISNUMBER(I2761),I2761+ROW()/10000000,"")</f>
        <v/>
      </c>
      <c r="Q2761">
        <f>IF(AND(ISNUMBER(P2761),ISNUMBER(A2761)),IF(AND(A2761&gt;=Dashboard!$Q$3,A2761&lt;=Dashboard!$Q$4,OR(J2761&lt;&gt;"Yes",Dashboard!$Q$15="Yes")),P2761,""),"")</f>
        <v/>
      </c>
    </row>
    <row r="2762">
      <c r="A2762" s="47" t="n"/>
      <c r="B2762" s="48" t="n"/>
      <c r="C2762" s="48" t="n"/>
      <c r="D2762" s="48" t="n"/>
      <c r="E2762" s="48" t="n"/>
      <c r="F2762" s="48" t="n"/>
      <c r="G2762" s="48" t="n"/>
      <c r="H2762" s="48" t="n"/>
      <c r="I2762" s="49" t="n"/>
      <c r="J2762" s="50" t="n"/>
      <c r="K2762" s="48" t="n"/>
      <c r="L2762" s="51">
        <f>IF(A2762="","",DATE(YEAR(A2762),MONTH(A2762),1))</f>
        <v/>
      </c>
      <c r="M2762" s="52">
        <f>IF(OR(A2762="",NOT(ISNUMBER(I2762))),"",IF(G2762=Lists!$B$5,I2762/2,IF(G2762=Lists!$B$6,I2762,0)))</f>
        <v/>
      </c>
      <c r="N2762" s="52">
        <f>IF(OR(A2762="",NOT(ISNUMBER(I2762))),"",IF(G2762=Lists!$B$5,I2762/2,IF(G2762=Lists!$B$7,I2762,0)))</f>
        <v/>
      </c>
      <c r="O2762" s="53">
        <f>IF(COUNTA(A2762:K2762)=0,"",IF(OR(A2762="",B2762="",C2762="",D2762="",E2762="",F2762="",G2762="",NOT(ISNUMBER(I2762))),"Incomplete",IF(COUNTIF(Lists!$H$4:$AA$4,C2762)=0,"Check category",IF(COUNTIF(INDEX(Lists!$H$6:$AA$45,0,MATCH(C2762,Lists!$H$4:$AA$4,0)),D2762)=0,"Check sub-category","OK"))))</f>
        <v/>
      </c>
      <c r="P2762">
        <f>IF(ISNUMBER(I2762),I2762+ROW()/10000000,"")</f>
        <v/>
      </c>
      <c r="Q2762">
        <f>IF(AND(ISNUMBER(P2762),ISNUMBER(A2762)),IF(AND(A2762&gt;=Dashboard!$Q$3,A2762&lt;=Dashboard!$Q$4,OR(J2762&lt;&gt;"Yes",Dashboard!$Q$15="Yes")),P2762,""),"")</f>
        <v/>
      </c>
    </row>
    <row r="2763">
      <c r="A2763" s="47" t="n"/>
      <c r="B2763" s="48" t="n"/>
      <c r="C2763" s="48" t="n"/>
      <c r="D2763" s="48" t="n"/>
      <c r="E2763" s="48" t="n"/>
      <c r="F2763" s="48" t="n"/>
      <c r="G2763" s="48" t="n"/>
      <c r="H2763" s="48" t="n"/>
      <c r="I2763" s="49" t="n"/>
      <c r="J2763" s="50" t="n"/>
      <c r="K2763" s="48" t="n"/>
      <c r="L2763" s="51">
        <f>IF(A2763="","",DATE(YEAR(A2763),MONTH(A2763),1))</f>
        <v/>
      </c>
      <c r="M2763" s="52">
        <f>IF(OR(A2763="",NOT(ISNUMBER(I2763))),"",IF(G2763=Lists!$B$5,I2763/2,IF(G2763=Lists!$B$6,I2763,0)))</f>
        <v/>
      </c>
      <c r="N2763" s="52">
        <f>IF(OR(A2763="",NOT(ISNUMBER(I2763))),"",IF(G2763=Lists!$B$5,I2763/2,IF(G2763=Lists!$B$7,I2763,0)))</f>
        <v/>
      </c>
      <c r="O2763" s="53">
        <f>IF(COUNTA(A2763:K2763)=0,"",IF(OR(A2763="",B2763="",C2763="",D2763="",E2763="",F2763="",G2763="",NOT(ISNUMBER(I2763))),"Incomplete",IF(COUNTIF(Lists!$H$4:$AA$4,C2763)=0,"Check category",IF(COUNTIF(INDEX(Lists!$H$6:$AA$45,0,MATCH(C2763,Lists!$H$4:$AA$4,0)),D2763)=0,"Check sub-category","OK"))))</f>
        <v/>
      </c>
      <c r="P2763">
        <f>IF(ISNUMBER(I2763),I2763+ROW()/10000000,"")</f>
        <v/>
      </c>
      <c r="Q2763">
        <f>IF(AND(ISNUMBER(P2763),ISNUMBER(A2763)),IF(AND(A2763&gt;=Dashboard!$Q$3,A2763&lt;=Dashboard!$Q$4,OR(J2763&lt;&gt;"Yes",Dashboard!$Q$15="Yes")),P2763,""),"")</f>
        <v/>
      </c>
    </row>
    <row r="2764">
      <c r="A2764" s="47" t="n"/>
      <c r="B2764" s="48" t="n"/>
      <c r="C2764" s="48" t="n"/>
      <c r="D2764" s="48" t="n"/>
      <c r="E2764" s="48" t="n"/>
      <c r="F2764" s="48" t="n"/>
      <c r="G2764" s="48" t="n"/>
      <c r="H2764" s="48" t="n"/>
      <c r="I2764" s="49" t="n"/>
      <c r="J2764" s="50" t="n"/>
      <c r="K2764" s="48" t="n"/>
      <c r="L2764" s="51">
        <f>IF(A2764="","",DATE(YEAR(A2764),MONTH(A2764),1))</f>
        <v/>
      </c>
      <c r="M2764" s="52">
        <f>IF(OR(A2764="",NOT(ISNUMBER(I2764))),"",IF(G2764=Lists!$B$5,I2764/2,IF(G2764=Lists!$B$6,I2764,0)))</f>
        <v/>
      </c>
      <c r="N2764" s="52">
        <f>IF(OR(A2764="",NOT(ISNUMBER(I2764))),"",IF(G2764=Lists!$B$5,I2764/2,IF(G2764=Lists!$B$7,I2764,0)))</f>
        <v/>
      </c>
      <c r="O2764" s="53">
        <f>IF(COUNTA(A2764:K2764)=0,"",IF(OR(A2764="",B2764="",C2764="",D2764="",E2764="",F2764="",G2764="",NOT(ISNUMBER(I2764))),"Incomplete",IF(COUNTIF(Lists!$H$4:$AA$4,C2764)=0,"Check category",IF(COUNTIF(INDEX(Lists!$H$6:$AA$45,0,MATCH(C2764,Lists!$H$4:$AA$4,0)),D2764)=0,"Check sub-category","OK"))))</f>
        <v/>
      </c>
      <c r="P2764">
        <f>IF(ISNUMBER(I2764),I2764+ROW()/10000000,"")</f>
        <v/>
      </c>
      <c r="Q2764">
        <f>IF(AND(ISNUMBER(P2764),ISNUMBER(A2764)),IF(AND(A2764&gt;=Dashboard!$Q$3,A2764&lt;=Dashboard!$Q$4,OR(J2764&lt;&gt;"Yes",Dashboard!$Q$15="Yes")),P2764,""),"")</f>
        <v/>
      </c>
    </row>
    <row r="2765">
      <c r="A2765" s="47" t="n"/>
      <c r="B2765" s="48" t="n"/>
      <c r="C2765" s="48" t="n"/>
      <c r="D2765" s="48" t="n"/>
      <c r="E2765" s="48" t="n"/>
      <c r="F2765" s="48" t="n"/>
      <c r="G2765" s="48" t="n"/>
      <c r="H2765" s="48" t="n"/>
      <c r="I2765" s="49" t="n"/>
      <c r="J2765" s="50" t="n"/>
      <c r="K2765" s="48" t="n"/>
      <c r="L2765" s="51">
        <f>IF(A2765="","",DATE(YEAR(A2765),MONTH(A2765),1))</f>
        <v/>
      </c>
      <c r="M2765" s="52">
        <f>IF(OR(A2765="",NOT(ISNUMBER(I2765))),"",IF(G2765=Lists!$B$5,I2765/2,IF(G2765=Lists!$B$6,I2765,0)))</f>
        <v/>
      </c>
      <c r="N2765" s="52">
        <f>IF(OR(A2765="",NOT(ISNUMBER(I2765))),"",IF(G2765=Lists!$B$5,I2765/2,IF(G2765=Lists!$B$7,I2765,0)))</f>
        <v/>
      </c>
      <c r="O2765" s="53">
        <f>IF(COUNTA(A2765:K2765)=0,"",IF(OR(A2765="",B2765="",C2765="",D2765="",E2765="",F2765="",G2765="",NOT(ISNUMBER(I2765))),"Incomplete",IF(COUNTIF(Lists!$H$4:$AA$4,C2765)=0,"Check category",IF(COUNTIF(INDEX(Lists!$H$6:$AA$45,0,MATCH(C2765,Lists!$H$4:$AA$4,0)),D2765)=0,"Check sub-category","OK"))))</f>
        <v/>
      </c>
      <c r="P2765">
        <f>IF(ISNUMBER(I2765),I2765+ROW()/10000000,"")</f>
        <v/>
      </c>
      <c r="Q2765">
        <f>IF(AND(ISNUMBER(P2765),ISNUMBER(A2765)),IF(AND(A2765&gt;=Dashboard!$Q$3,A2765&lt;=Dashboard!$Q$4,OR(J2765&lt;&gt;"Yes",Dashboard!$Q$15="Yes")),P2765,""),"")</f>
        <v/>
      </c>
    </row>
    <row r="2766">
      <c r="A2766" s="47" t="n"/>
      <c r="B2766" s="48" t="n"/>
      <c r="C2766" s="48" t="n"/>
      <c r="D2766" s="48" t="n"/>
      <c r="E2766" s="48" t="n"/>
      <c r="F2766" s="48" t="n"/>
      <c r="G2766" s="48" t="n"/>
      <c r="H2766" s="48" t="n"/>
      <c r="I2766" s="49" t="n"/>
      <c r="J2766" s="50" t="n"/>
      <c r="K2766" s="48" t="n"/>
      <c r="L2766" s="51">
        <f>IF(A2766="","",DATE(YEAR(A2766),MONTH(A2766),1))</f>
        <v/>
      </c>
      <c r="M2766" s="52">
        <f>IF(OR(A2766="",NOT(ISNUMBER(I2766))),"",IF(G2766=Lists!$B$5,I2766/2,IF(G2766=Lists!$B$6,I2766,0)))</f>
        <v/>
      </c>
      <c r="N2766" s="52">
        <f>IF(OR(A2766="",NOT(ISNUMBER(I2766))),"",IF(G2766=Lists!$B$5,I2766/2,IF(G2766=Lists!$B$7,I2766,0)))</f>
        <v/>
      </c>
      <c r="O2766" s="53">
        <f>IF(COUNTA(A2766:K2766)=0,"",IF(OR(A2766="",B2766="",C2766="",D2766="",E2766="",F2766="",G2766="",NOT(ISNUMBER(I2766))),"Incomplete",IF(COUNTIF(Lists!$H$4:$AA$4,C2766)=0,"Check category",IF(COUNTIF(INDEX(Lists!$H$6:$AA$45,0,MATCH(C2766,Lists!$H$4:$AA$4,0)),D2766)=0,"Check sub-category","OK"))))</f>
        <v/>
      </c>
      <c r="P2766">
        <f>IF(ISNUMBER(I2766),I2766+ROW()/10000000,"")</f>
        <v/>
      </c>
      <c r="Q2766">
        <f>IF(AND(ISNUMBER(P2766),ISNUMBER(A2766)),IF(AND(A2766&gt;=Dashboard!$Q$3,A2766&lt;=Dashboard!$Q$4,OR(J2766&lt;&gt;"Yes",Dashboard!$Q$15="Yes")),P2766,""),"")</f>
        <v/>
      </c>
    </row>
    <row r="2767">
      <c r="A2767" s="47" t="n"/>
      <c r="B2767" s="48" t="n"/>
      <c r="C2767" s="48" t="n"/>
      <c r="D2767" s="48" t="n"/>
      <c r="E2767" s="48" t="n"/>
      <c r="F2767" s="48" t="n"/>
      <c r="G2767" s="48" t="n"/>
      <c r="H2767" s="48" t="n"/>
      <c r="I2767" s="49" t="n"/>
      <c r="J2767" s="50" t="n"/>
      <c r="K2767" s="48" t="n"/>
      <c r="L2767" s="51">
        <f>IF(A2767="","",DATE(YEAR(A2767),MONTH(A2767),1))</f>
        <v/>
      </c>
      <c r="M2767" s="52">
        <f>IF(OR(A2767="",NOT(ISNUMBER(I2767))),"",IF(G2767=Lists!$B$5,I2767/2,IF(G2767=Lists!$B$6,I2767,0)))</f>
        <v/>
      </c>
      <c r="N2767" s="52">
        <f>IF(OR(A2767="",NOT(ISNUMBER(I2767))),"",IF(G2767=Lists!$B$5,I2767/2,IF(G2767=Lists!$B$7,I2767,0)))</f>
        <v/>
      </c>
      <c r="O2767" s="53">
        <f>IF(COUNTA(A2767:K2767)=0,"",IF(OR(A2767="",B2767="",C2767="",D2767="",E2767="",F2767="",G2767="",NOT(ISNUMBER(I2767))),"Incomplete",IF(COUNTIF(Lists!$H$4:$AA$4,C2767)=0,"Check category",IF(COUNTIF(INDEX(Lists!$H$6:$AA$45,0,MATCH(C2767,Lists!$H$4:$AA$4,0)),D2767)=0,"Check sub-category","OK"))))</f>
        <v/>
      </c>
      <c r="P2767">
        <f>IF(ISNUMBER(I2767),I2767+ROW()/10000000,"")</f>
        <v/>
      </c>
      <c r="Q2767">
        <f>IF(AND(ISNUMBER(P2767),ISNUMBER(A2767)),IF(AND(A2767&gt;=Dashboard!$Q$3,A2767&lt;=Dashboard!$Q$4,OR(J2767&lt;&gt;"Yes",Dashboard!$Q$15="Yes")),P2767,""),"")</f>
        <v/>
      </c>
    </row>
    <row r="2768">
      <c r="A2768" s="47" t="n"/>
      <c r="B2768" s="48" t="n"/>
      <c r="C2768" s="48" t="n"/>
      <c r="D2768" s="48" t="n"/>
      <c r="E2768" s="48" t="n"/>
      <c r="F2768" s="48" t="n"/>
      <c r="G2768" s="48" t="n"/>
      <c r="H2768" s="48" t="n"/>
      <c r="I2768" s="49" t="n"/>
      <c r="J2768" s="50" t="n"/>
      <c r="K2768" s="48" t="n"/>
      <c r="L2768" s="51">
        <f>IF(A2768="","",DATE(YEAR(A2768),MONTH(A2768),1))</f>
        <v/>
      </c>
      <c r="M2768" s="52">
        <f>IF(OR(A2768="",NOT(ISNUMBER(I2768))),"",IF(G2768=Lists!$B$5,I2768/2,IF(G2768=Lists!$B$6,I2768,0)))</f>
        <v/>
      </c>
      <c r="N2768" s="52">
        <f>IF(OR(A2768="",NOT(ISNUMBER(I2768))),"",IF(G2768=Lists!$B$5,I2768/2,IF(G2768=Lists!$B$7,I2768,0)))</f>
        <v/>
      </c>
      <c r="O2768" s="53">
        <f>IF(COUNTA(A2768:K2768)=0,"",IF(OR(A2768="",B2768="",C2768="",D2768="",E2768="",F2768="",G2768="",NOT(ISNUMBER(I2768))),"Incomplete",IF(COUNTIF(Lists!$H$4:$AA$4,C2768)=0,"Check category",IF(COUNTIF(INDEX(Lists!$H$6:$AA$45,0,MATCH(C2768,Lists!$H$4:$AA$4,0)),D2768)=0,"Check sub-category","OK"))))</f>
        <v/>
      </c>
      <c r="P2768">
        <f>IF(ISNUMBER(I2768),I2768+ROW()/10000000,"")</f>
        <v/>
      </c>
      <c r="Q2768">
        <f>IF(AND(ISNUMBER(P2768),ISNUMBER(A2768)),IF(AND(A2768&gt;=Dashboard!$Q$3,A2768&lt;=Dashboard!$Q$4,OR(J2768&lt;&gt;"Yes",Dashboard!$Q$15="Yes")),P2768,""),"")</f>
        <v/>
      </c>
    </row>
    <row r="2769">
      <c r="A2769" s="47" t="n"/>
      <c r="B2769" s="48" t="n"/>
      <c r="C2769" s="48" t="n"/>
      <c r="D2769" s="48" t="n"/>
      <c r="E2769" s="48" t="n"/>
      <c r="F2769" s="48" t="n"/>
      <c r="G2769" s="48" t="n"/>
      <c r="H2769" s="48" t="n"/>
      <c r="I2769" s="49" t="n"/>
      <c r="J2769" s="50" t="n"/>
      <c r="K2769" s="48" t="n"/>
      <c r="L2769" s="51">
        <f>IF(A2769="","",DATE(YEAR(A2769),MONTH(A2769),1))</f>
        <v/>
      </c>
      <c r="M2769" s="52">
        <f>IF(OR(A2769="",NOT(ISNUMBER(I2769))),"",IF(G2769=Lists!$B$5,I2769/2,IF(G2769=Lists!$B$6,I2769,0)))</f>
        <v/>
      </c>
      <c r="N2769" s="52">
        <f>IF(OR(A2769="",NOT(ISNUMBER(I2769))),"",IF(G2769=Lists!$B$5,I2769/2,IF(G2769=Lists!$B$7,I2769,0)))</f>
        <v/>
      </c>
      <c r="O2769" s="53">
        <f>IF(COUNTA(A2769:K2769)=0,"",IF(OR(A2769="",B2769="",C2769="",D2769="",E2769="",F2769="",G2769="",NOT(ISNUMBER(I2769))),"Incomplete",IF(COUNTIF(Lists!$H$4:$AA$4,C2769)=0,"Check category",IF(COUNTIF(INDEX(Lists!$H$6:$AA$45,0,MATCH(C2769,Lists!$H$4:$AA$4,0)),D2769)=0,"Check sub-category","OK"))))</f>
        <v/>
      </c>
      <c r="P2769">
        <f>IF(ISNUMBER(I2769),I2769+ROW()/10000000,"")</f>
        <v/>
      </c>
      <c r="Q2769">
        <f>IF(AND(ISNUMBER(P2769),ISNUMBER(A2769)),IF(AND(A2769&gt;=Dashboard!$Q$3,A2769&lt;=Dashboard!$Q$4,OR(J2769&lt;&gt;"Yes",Dashboard!$Q$15="Yes")),P2769,""),"")</f>
        <v/>
      </c>
    </row>
    <row r="2770">
      <c r="A2770" s="47" t="n"/>
      <c r="B2770" s="48" t="n"/>
      <c r="C2770" s="48" t="n"/>
      <c r="D2770" s="48" t="n"/>
      <c r="E2770" s="48" t="n"/>
      <c r="F2770" s="48" t="n"/>
      <c r="G2770" s="48" t="n"/>
      <c r="H2770" s="48" t="n"/>
      <c r="I2770" s="49" t="n"/>
      <c r="J2770" s="50" t="n"/>
      <c r="K2770" s="48" t="n"/>
      <c r="L2770" s="51">
        <f>IF(A2770="","",DATE(YEAR(A2770),MONTH(A2770),1))</f>
        <v/>
      </c>
      <c r="M2770" s="52">
        <f>IF(OR(A2770="",NOT(ISNUMBER(I2770))),"",IF(G2770=Lists!$B$5,I2770/2,IF(G2770=Lists!$B$6,I2770,0)))</f>
        <v/>
      </c>
      <c r="N2770" s="52">
        <f>IF(OR(A2770="",NOT(ISNUMBER(I2770))),"",IF(G2770=Lists!$B$5,I2770/2,IF(G2770=Lists!$B$7,I2770,0)))</f>
        <v/>
      </c>
      <c r="O2770" s="53">
        <f>IF(COUNTA(A2770:K2770)=0,"",IF(OR(A2770="",B2770="",C2770="",D2770="",E2770="",F2770="",G2770="",NOT(ISNUMBER(I2770))),"Incomplete",IF(COUNTIF(Lists!$H$4:$AA$4,C2770)=0,"Check category",IF(COUNTIF(INDEX(Lists!$H$6:$AA$45,0,MATCH(C2770,Lists!$H$4:$AA$4,0)),D2770)=0,"Check sub-category","OK"))))</f>
        <v/>
      </c>
      <c r="P2770">
        <f>IF(ISNUMBER(I2770),I2770+ROW()/10000000,"")</f>
        <v/>
      </c>
      <c r="Q2770">
        <f>IF(AND(ISNUMBER(P2770),ISNUMBER(A2770)),IF(AND(A2770&gt;=Dashboard!$Q$3,A2770&lt;=Dashboard!$Q$4,OR(J2770&lt;&gt;"Yes",Dashboard!$Q$15="Yes")),P2770,""),"")</f>
        <v/>
      </c>
    </row>
    <row r="2771">
      <c r="A2771" s="47" t="n"/>
      <c r="B2771" s="48" t="n"/>
      <c r="C2771" s="48" t="n"/>
      <c r="D2771" s="48" t="n"/>
      <c r="E2771" s="48" t="n"/>
      <c r="F2771" s="48" t="n"/>
      <c r="G2771" s="48" t="n"/>
      <c r="H2771" s="48" t="n"/>
      <c r="I2771" s="49" t="n"/>
      <c r="J2771" s="50" t="n"/>
      <c r="K2771" s="48" t="n"/>
      <c r="L2771" s="51">
        <f>IF(A2771="","",DATE(YEAR(A2771),MONTH(A2771),1))</f>
        <v/>
      </c>
      <c r="M2771" s="52">
        <f>IF(OR(A2771="",NOT(ISNUMBER(I2771))),"",IF(G2771=Lists!$B$5,I2771/2,IF(G2771=Lists!$B$6,I2771,0)))</f>
        <v/>
      </c>
      <c r="N2771" s="52">
        <f>IF(OR(A2771="",NOT(ISNUMBER(I2771))),"",IF(G2771=Lists!$B$5,I2771/2,IF(G2771=Lists!$B$7,I2771,0)))</f>
        <v/>
      </c>
      <c r="O2771" s="53">
        <f>IF(COUNTA(A2771:K2771)=0,"",IF(OR(A2771="",B2771="",C2771="",D2771="",E2771="",F2771="",G2771="",NOT(ISNUMBER(I2771))),"Incomplete",IF(COUNTIF(Lists!$H$4:$AA$4,C2771)=0,"Check category",IF(COUNTIF(INDEX(Lists!$H$6:$AA$45,0,MATCH(C2771,Lists!$H$4:$AA$4,0)),D2771)=0,"Check sub-category","OK"))))</f>
        <v/>
      </c>
      <c r="P2771">
        <f>IF(ISNUMBER(I2771),I2771+ROW()/10000000,"")</f>
        <v/>
      </c>
      <c r="Q2771">
        <f>IF(AND(ISNUMBER(P2771),ISNUMBER(A2771)),IF(AND(A2771&gt;=Dashboard!$Q$3,A2771&lt;=Dashboard!$Q$4,OR(J2771&lt;&gt;"Yes",Dashboard!$Q$15="Yes")),P2771,""),"")</f>
        <v/>
      </c>
    </row>
    <row r="2772">
      <c r="A2772" s="47" t="n"/>
      <c r="B2772" s="48" t="n"/>
      <c r="C2772" s="48" t="n"/>
      <c r="D2772" s="48" t="n"/>
      <c r="E2772" s="48" t="n"/>
      <c r="F2772" s="48" t="n"/>
      <c r="G2772" s="48" t="n"/>
      <c r="H2772" s="48" t="n"/>
      <c r="I2772" s="49" t="n"/>
      <c r="J2772" s="50" t="n"/>
      <c r="K2772" s="48" t="n"/>
      <c r="L2772" s="51">
        <f>IF(A2772="","",DATE(YEAR(A2772),MONTH(A2772),1))</f>
        <v/>
      </c>
      <c r="M2772" s="52">
        <f>IF(OR(A2772="",NOT(ISNUMBER(I2772))),"",IF(G2772=Lists!$B$5,I2772/2,IF(G2772=Lists!$B$6,I2772,0)))</f>
        <v/>
      </c>
      <c r="N2772" s="52">
        <f>IF(OR(A2772="",NOT(ISNUMBER(I2772))),"",IF(G2772=Lists!$B$5,I2772/2,IF(G2772=Lists!$B$7,I2772,0)))</f>
        <v/>
      </c>
      <c r="O2772" s="53">
        <f>IF(COUNTA(A2772:K2772)=0,"",IF(OR(A2772="",B2772="",C2772="",D2772="",E2772="",F2772="",G2772="",NOT(ISNUMBER(I2772))),"Incomplete",IF(COUNTIF(Lists!$H$4:$AA$4,C2772)=0,"Check category",IF(COUNTIF(INDEX(Lists!$H$6:$AA$45,0,MATCH(C2772,Lists!$H$4:$AA$4,0)),D2772)=0,"Check sub-category","OK"))))</f>
        <v/>
      </c>
      <c r="P2772">
        <f>IF(ISNUMBER(I2772),I2772+ROW()/10000000,"")</f>
        <v/>
      </c>
      <c r="Q2772">
        <f>IF(AND(ISNUMBER(P2772),ISNUMBER(A2772)),IF(AND(A2772&gt;=Dashboard!$Q$3,A2772&lt;=Dashboard!$Q$4,OR(J2772&lt;&gt;"Yes",Dashboard!$Q$15="Yes")),P2772,""),"")</f>
        <v/>
      </c>
    </row>
    <row r="2773">
      <c r="A2773" s="47" t="n"/>
      <c r="B2773" s="48" t="n"/>
      <c r="C2773" s="48" t="n"/>
      <c r="D2773" s="48" t="n"/>
      <c r="E2773" s="48" t="n"/>
      <c r="F2773" s="48" t="n"/>
      <c r="G2773" s="48" t="n"/>
      <c r="H2773" s="48" t="n"/>
      <c r="I2773" s="49" t="n"/>
      <c r="J2773" s="50" t="n"/>
      <c r="K2773" s="48" t="n"/>
      <c r="L2773" s="51">
        <f>IF(A2773="","",DATE(YEAR(A2773),MONTH(A2773),1))</f>
        <v/>
      </c>
      <c r="M2773" s="52">
        <f>IF(OR(A2773="",NOT(ISNUMBER(I2773))),"",IF(G2773=Lists!$B$5,I2773/2,IF(G2773=Lists!$B$6,I2773,0)))</f>
        <v/>
      </c>
      <c r="N2773" s="52">
        <f>IF(OR(A2773="",NOT(ISNUMBER(I2773))),"",IF(G2773=Lists!$B$5,I2773/2,IF(G2773=Lists!$B$7,I2773,0)))</f>
        <v/>
      </c>
      <c r="O2773" s="53">
        <f>IF(COUNTA(A2773:K2773)=0,"",IF(OR(A2773="",B2773="",C2773="",D2773="",E2773="",F2773="",G2773="",NOT(ISNUMBER(I2773))),"Incomplete",IF(COUNTIF(Lists!$H$4:$AA$4,C2773)=0,"Check category",IF(COUNTIF(INDEX(Lists!$H$6:$AA$45,0,MATCH(C2773,Lists!$H$4:$AA$4,0)),D2773)=0,"Check sub-category","OK"))))</f>
        <v/>
      </c>
      <c r="P2773">
        <f>IF(ISNUMBER(I2773),I2773+ROW()/10000000,"")</f>
        <v/>
      </c>
      <c r="Q2773">
        <f>IF(AND(ISNUMBER(P2773),ISNUMBER(A2773)),IF(AND(A2773&gt;=Dashboard!$Q$3,A2773&lt;=Dashboard!$Q$4,OR(J2773&lt;&gt;"Yes",Dashboard!$Q$15="Yes")),P2773,""),"")</f>
        <v/>
      </c>
    </row>
    <row r="2774">
      <c r="A2774" s="47" t="n"/>
      <c r="B2774" s="48" t="n"/>
      <c r="C2774" s="48" t="n"/>
      <c r="D2774" s="48" t="n"/>
      <c r="E2774" s="48" t="n"/>
      <c r="F2774" s="48" t="n"/>
      <c r="G2774" s="48" t="n"/>
      <c r="H2774" s="48" t="n"/>
      <c r="I2774" s="49" t="n"/>
      <c r="J2774" s="50" t="n"/>
      <c r="K2774" s="48" t="n"/>
      <c r="L2774" s="51">
        <f>IF(A2774="","",DATE(YEAR(A2774),MONTH(A2774),1))</f>
        <v/>
      </c>
      <c r="M2774" s="52">
        <f>IF(OR(A2774="",NOT(ISNUMBER(I2774))),"",IF(G2774=Lists!$B$5,I2774/2,IF(G2774=Lists!$B$6,I2774,0)))</f>
        <v/>
      </c>
      <c r="N2774" s="52">
        <f>IF(OR(A2774="",NOT(ISNUMBER(I2774))),"",IF(G2774=Lists!$B$5,I2774/2,IF(G2774=Lists!$B$7,I2774,0)))</f>
        <v/>
      </c>
      <c r="O2774" s="53">
        <f>IF(COUNTA(A2774:K2774)=0,"",IF(OR(A2774="",B2774="",C2774="",D2774="",E2774="",F2774="",G2774="",NOT(ISNUMBER(I2774))),"Incomplete",IF(COUNTIF(Lists!$H$4:$AA$4,C2774)=0,"Check category",IF(COUNTIF(INDEX(Lists!$H$6:$AA$45,0,MATCH(C2774,Lists!$H$4:$AA$4,0)),D2774)=0,"Check sub-category","OK"))))</f>
        <v/>
      </c>
      <c r="P2774">
        <f>IF(ISNUMBER(I2774),I2774+ROW()/10000000,"")</f>
        <v/>
      </c>
      <c r="Q2774">
        <f>IF(AND(ISNUMBER(P2774),ISNUMBER(A2774)),IF(AND(A2774&gt;=Dashboard!$Q$3,A2774&lt;=Dashboard!$Q$4,OR(J2774&lt;&gt;"Yes",Dashboard!$Q$15="Yes")),P2774,""),"")</f>
        <v/>
      </c>
    </row>
    <row r="2775">
      <c r="A2775" s="47" t="n"/>
      <c r="B2775" s="48" t="n"/>
      <c r="C2775" s="48" t="n"/>
      <c r="D2775" s="48" t="n"/>
      <c r="E2775" s="48" t="n"/>
      <c r="F2775" s="48" t="n"/>
      <c r="G2775" s="48" t="n"/>
      <c r="H2775" s="48" t="n"/>
      <c r="I2775" s="49" t="n"/>
      <c r="J2775" s="50" t="n"/>
      <c r="K2775" s="48" t="n"/>
      <c r="L2775" s="51">
        <f>IF(A2775="","",DATE(YEAR(A2775),MONTH(A2775),1))</f>
        <v/>
      </c>
      <c r="M2775" s="52">
        <f>IF(OR(A2775="",NOT(ISNUMBER(I2775))),"",IF(G2775=Lists!$B$5,I2775/2,IF(G2775=Lists!$B$6,I2775,0)))</f>
        <v/>
      </c>
      <c r="N2775" s="52">
        <f>IF(OR(A2775="",NOT(ISNUMBER(I2775))),"",IF(G2775=Lists!$B$5,I2775/2,IF(G2775=Lists!$B$7,I2775,0)))</f>
        <v/>
      </c>
      <c r="O2775" s="53">
        <f>IF(COUNTA(A2775:K2775)=0,"",IF(OR(A2775="",B2775="",C2775="",D2775="",E2775="",F2775="",G2775="",NOT(ISNUMBER(I2775))),"Incomplete",IF(COUNTIF(Lists!$H$4:$AA$4,C2775)=0,"Check category",IF(COUNTIF(INDEX(Lists!$H$6:$AA$45,0,MATCH(C2775,Lists!$H$4:$AA$4,0)),D2775)=0,"Check sub-category","OK"))))</f>
        <v/>
      </c>
      <c r="P2775">
        <f>IF(ISNUMBER(I2775),I2775+ROW()/10000000,"")</f>
        <v/>
      </c>
      <c r="Q2775">
        <f>IF(AND(ISNUMBER(P2775),ISNUMBER(A2775)),IF(AND(A2775&gt;=Dashboard!$Q$3,A2775&lt;=Dashboard!$Q$4,OR(J2775&lt;&gt;"Yes",Dashboard!$Q$15="Yes")),P2775,""),"")</f>
        <v/>
      </c>
    </row>
    <row r="2776">
      <c r="A2776" s="47" t="n"/>
      <c r="B2776" s="48" t="n"/>
      <c r="C2776" s="48" t="n"/>
      <c r="D2776" s="48" t="n"/>
      <c r="E2776" s="48" t="n"/>
      <c r="F2776" s="48" t="n"/>
      <c r="G2776" s="48" t="n"/>
      <c r="H2776" s="48" t="n"/>
      <c r="I2776" s="49" t="n"/>
      <c r="J2776" s="50" t="n"/>
      <c r="K2776" s="48" t="n"/>
      <c r="L2776" s="51">
        <f>IF(A2776="","",DATE(YEAR(A2776),MONTH(A2776),1))</f>
        <v/>
      </c>
      <c r="M2776" s="52">
        <f>IF(OR(A2776="",NOT(ISNUMBER(I2776))),"",IF(G2776=Lists!$B$5,I2776/2,IF(G2776=Lists!$B$6,I2776,0)))</f>
        <v/>
      </c>
      <c r="N2776" s="52">
        <f>IF(OR(A2776="",NOT(ISNUMBER(I2776))),"",IF(G2776=Lists!$B$5,I2776/2,IF(G2776=Lists!$B$7,I2776,0)))</f>
        <v/>
      </c>
      <c r="O2776" s="53">
        <f>IF(COUNTA(A2776:K2776)=0,"",IF(OR(A2776="",B2776="",C2776="",D2776="",E2776="",F2776="",G2776="",NOT(ISNUMBER(I2776))),"Incomplete",IF(COUNTIF(Lists!$H$4:$AA$4,C2776)=0,"Check category",IF(COUNTIF(INDEX(Lists!$H$6:$AA$45,0,MATCH(C2776,Lists!$H$4:$AA$4,0)),D2776)=0,"Check sub-category","OK"))))</f>
        <v/>
      </c>
      <c r="P2776">
        <f>IF(ISNUMBER(I2776),I2776+ROW()/10000000,"")</f>
        <v/>
      </c>
      <c r="Q2776">
        <f>IF(AND(ISNUMBER(P2776),ISNUMBER(A2776)),IF(AND(A2776&gt;=Dashboard!$Q$3,A2776&lt;=Dashboard!$Q$4,OR(J2776&lt;&gt;"Yes",Dashboard!$Q$15="Yes")),P2776,""),"")</f>
        <v/>
      </c>
    </row>
    <row r="2777">
      <c r="A2777" s="47" t="n"/>
      <c r="B2777" s="48" t="n"/>
      <c r="C2777" s="48" t="n"/>
      <c r="D2777" s="48" t="n"/>
      <c r="E2777" s="48" t="n"/>
      <c r="F2777" s="48" t="n"/>
      <c r="G2777" s="48" t="n"/>
      <c r="H2777" s="48" t="n"/>
      <c r="I2777" s="49" t="n"/>
      <c r="J2777" s="50" t="n"/>
      <c r="K2777" s="48" t="n"/>
      <c r="L2777" s="51">
        <f>IF(A2777="","",DATE(YEAR(A2777),MONTH(A2777),1))</f>
        <v/>
      </c>
      <c r="M2777" s="52">
        <f>IF(OR(A2777="",NOT(ISNUMBER(I2777))),"",IF(G2777=Lists!$B$5,I2777/2,IF(G2777=Lists!$B$6,I2777,0)))</f>
        <v/>
      </c>
      <c r="N2777" s="52">
        <f>IF(OR(A2777="",NOT(ISNUMBER(I2777))),"",IF(G2777=Lists!$B$5,I2777/2,IF(G2777=Lists!$B$7,I2777,0)))</f>
        <v/>
      </c>
      <c r="O2777" s="53">
        <f>IF(COUNTA(A2777:K2777)=0,"",IF(OR(A2777="",B2777="",C2777="",D2777="",E2777="",F2777="",G2777="",NOT(ISNUMBER(I2777))),"Incomplete",IF(COUNTIF(Lists!$H$4:$AA$4,C2777)=0,"Check category",IF(COUNTIF(INDEX(Lists!$H$6:$AA$45,0,MATCH(C2777,Lists!$H$4:$AA$4,0)),D2777)=0,"Check sub-category","OK"))))</f>
        <v/>
      </c>
      <c r="P2777">
        <f>IF(ISNUMBER(I2777),I2777+ROW()/10000000,"")</f>
        <v/>
      </c>
      <c r="Q2777">
        <f>IF(AND(ISNUMBER(P2777),ISNUMBER(A2777)),IF(AND(A2777&gt;=Dashboard!$Q$3,A2777&lt;=Dashboard!$Q$4,OR(J2777&lt;&gt;"Yes",Dashboard!$Q$15="Yes")),P2777,""),"")</f>
        <v/>
      </c>
    </row>
    <row r="2778">
      <c r="A2778" s="47" t="n"/>
      <c r="B2778" s="48" t="n"/>
      <c r="C2778" s="48" t="n"/>
      <c r="D2778" s="48" t="n"/>
      <c r="E2778" s="48" t="n"/>
      <c r="F2778" s="48" t="n"/>
      <c r="G2778" s="48" t="n"/>
      <c r="H2778" s="48" t="n"/>
      <c r="I2778" s="49" t="n"/>
      <c r="J2778" s="50" t="n"/>
      <c r="K2778" s="48" t="n"/>
      <c r="L2778" s="51">
        <f>IF(A2778="","",DATE(YEAR(A2778),MONTH(A2778),1))</f>
        <v/>
      </c>
      <c r="M2778" s="52">
        <f>IF(OR(A2778="",NOT(ISNUMBER(I2778))),"",IF(G2778=Lists!$B$5,I2778/2,IF(G2778=Lists!$B$6,I2778,0)))</f>
        <v/>
      </c>
      <c r="N2778" s="52">
        <f>IF(OR(A2778="",NOT(ISNUMBER(I2778))),"",IF(G2778=Lists!$B$5,I2778/2,IF(G2778=Lists!$B$7,I2778,0)))</f>
        <v/>
      </c>
      <c r="O2778" s="53">
        <f>IF(COUNTA(A2778:K2778)=0,"",IF(OR(A2778="",B2778="",C2778="",D2778="",E2778="",F2778="",G2778="",NOT(ISNUMBER(I2778))),"Incomplete",IF(COUNTIF(Lists!$H$4:$AA$4,C2778)=0,"Check category",IF(COUNTIF(INDEX(Lists!$H$6:$AA$45,0,MATCH(C2778,Lists!$H$4:$AA$4,0)),D2778)=0,"Check sub-category","OK"))))</f>
        <v/>
      </c>
      <c r="P2778">
        <f>IF(ISNUMBER(I2778),I2778+ROW()/10000000,"")</f>
        <v/>
      </c>
      <c r="Q2778">
        <f>IF(AND(ISNUMBER(P2778),ISNUMBER(A2778)),IF(AND(A2778&gt;=Dashboard!$Q$3,A2778&lt;=Dashboard!$Q$4,OR(J2778&lt;&gt;"Yes",Dashboard!$Q$15="Yes")),P2778,""),"")</f>
        <v/>
      </c>
    </row>
    <row r="2779">
      <c r="A2779" s="47" t="n"/>
      <c r="B2779" s="48" t="n"/>
      <c r="C2779" s="48" t="n"/>
      <c r="D2779" s="48" t="n"/>
      <c r="E2779" s="48" t="n"/>
      <c r="F2779" s="48" t="n"/>
      <c r="G2779" s="48" t="n"/>
      <c r="H2779" s="48" t="n"/>
      <c r="I2779" s="49" t="n"/>
      <c r="J2779" s="50" t="n"/>
      <c r="K2779" s="48" t="n"/>
      <c r="L2779" s="51">
        <f>IF(A2779="","",DATE(YEAR(A2779),MONTH(A2779),1))</f>
        <v/>
      </c>
      <c r="M2779" s="52">
        <f>IF(OR(A2779="",NOT(ISNUMBER(I2779))),"",IF(G2779=Lists!$B$5,I2779/2,IF(G2779=Lists!$B$6,I2779,0)))</f>
        <v/>
      </c>
      <c r="N2779" s="52">
        <f>IF(OR(A2779="",NOT(ISNUMBER(I2779))),"",IF(G2779=Lists!$B$5,I2779/2,IF(G2779=Lists!$B$7,I2779,0)))</f>
        <v/>
      </c>
      <c r="O2779" s="53">
        <f>IF(COUNTA(A2779:K2779)=0,"",IF(OR(A2779="",B2779="",C2779="",D2779="",E2779="",F2779="",G2779="",NOT(ISNUMBER(I2779))),"Incomplete",IF(COUNTIF(Lists!$H$4:$AA$4,C2779)=0,"Check category",IF(COUNTIF(INDEX(Lists!$H$6:$AA$45,0,MATCH(C2779,Lists!$H$4:$AA$4,0)),D2779)=0,"Check sub-category","OK"))))</f>
        <v/>
      </c>
      <c r="P2779">
        <f>IF(ISNUMBER(I2779),I2779+ROW()/10000000,"")</f>
        <v/>
      </c>
      <c r="Q2779">
        <f>IF(AND(ISNUMBER(P2779),ISNUMBER(A2779)),IF(AND(A2779&gt;=Dashboard!$Q$3,A2779&lt;=Dashboard!$Q$4,OR(J2779&lt;&gt;"Yes",Dashboard!$Q$15="Yes")),P2779,""),"")</f>
        <v/>
      </c>
    </row>
    <row r="2780">
      <c r="A2780" s="47" t="n"/>
      <c r="B2780" s="48" t="n"/>
      <c r="C2780" s="48" t="n"/>
      <c r="D2780" s="48" t="n"/>
      <c r="E2780" s="48" t="n"/>
      <c r="F2780" s="48" t="n"/>
      <c r="G2780" s="48" t="n"/>
      <c r="H2780" s="48" t="n"/>
      <c r="I2780" s="49" t="n"/>
      <c r="J2780" s="50" t="n"/>
      <c r="K2780" s="48" t="n"/>
      <c r="L2780" s="51">
        <f>IF(A2780="","",DATE(YEAR(A2780),MONTH(A2780),1))</f>
        <v/>
      </c>
      <c r="M2780" s="52">
        <f>IF(OR(A2780="",NOT(ISNUMBER(I2780))),"",IF(G2780=Lists!$B$5,I2780/2,IF(G2780=Lists!$B$6,I2780,0)))</f>
        <v/>
      </c>
      <c r="N2780" s="52">
        <f>IF(OR(A2780="",NOT(ISNUMBER(I2780))),"",IF(G2780=Lists!$B$5,I2780/2,IF(G2780=Lists!$B$7,I2780,0)))</f>
        <v/>
      </c>
      <c r="O2780" s="53">
        <f>IF(COUNTA(A2780:K2780)=0,"",IF(OR(A2780="",B2780="",C2780="",D2780="",E2780="",F2780="",G2780="",NOT(ISNUMBER(I2780))),"Incomplete",IF(COUNTIF(Lists!$H$4:$AA$4,C2780)=0,"Check category",IF(COUNTIF(INDEX(Lists!$H$6:$AA$45,0,MATCH(C2780,Lists!$H$4:$AA$4,0)),D2780)=0,"Check sub-category","OK"))))</f>
        <v/>
      </c>
      <c r="P2780">
        <f>IF(ISNUMBER(I2780),I2780+ROW()/10000000,"")</f>
        <v/>
      </c>
      <c r="Q2780">
        <f>IF(AND(ISNUMBER(P2780),ISNUMBER(A2780)),IF(AND(A2780&gt;=Dashboard!$Q$3,A2780&lt;=Dashboard!$Q$4,OR(J2780&lt;&gt;"Yes",Dashboard!$Q$15="Yes")),P2780,""),"")</f>
        <v/>
      </c>
    </row>
    <row r="2781">
      <c r="A2781" s="47" t="n"/>
      <c r="B2781" s="48" t="n"/>
      <c r="C2781" s="48" t="n"/>
      <c r="D2781" s="48" t="n"/>
      <c r="E2781" s="48" t="n"/>
      <c r="F2781" s="48" t="n"/>
      <c r="G2781" s="48" t="n"/>
      <c r="H2781" s="48" t="n"/>
      <c r="I2781" s="49" t="n"/>
      <c r="J2781" s="50" t="n"/>
      <c r="K2781" s="48" t="n"/>
      <c r="L2781" s="51">
        <f>IF(A2781="","",DATE(YEAR(A2781),MONTH(A2781),1))</f>
        <v/>
      </c>
      <c r="M2781" s="52">
        <f>IF(OR(A2781="",NOT(ISNUMBER(I2781))),"",IF(G2781=Lists!$B$5,I2781/2,IF(G2781=Lists!$B$6,I2781,0)))</f>
        <v/>
      </c>
      <c r="N2781" s="52">
        <f>IF(OR(A2781="",NOT(ISNUMBER(I2781))),"",IF(G2781=Lists!$B$5,I2781/2,IF(G2781=Lists!$B$7,I2781,0)))</f>
        <v/>
      </c>
      <c r="O2781" s="53">
        <f>IF(COUNTA(A2781:K2781)=0,"",IF(OR(A2781="",B2781="",C2781="",D2781="",E2781="",F2781="",G2781="",NOT(ISNUMBER(I2781))),"Incomplete",IF(COUNTIF(Lists!$H$4:$AA$4,C2781)=0,"Check category",IF(COUNTIF(INDEX(Lists!$H$6:$AA$45,0,MATCH(C2781,Lists!$H$4:$AA$4,0)),D2781)=0,"Check sub-category","OK"))))</f>
        <v/>
      </c>
      <c r="P2781">
        <f>IF(ISNUMBER(I2781),I2781+ROW()/10000000,"")</f>
        <v/>
      </c>
      <c r="Q2781">
        <f>IF(AND(ISNUMBER(P2781),ISNUMBER(A2781)),IF(AND(A2781&gt;=Dashboard!$Q$3,A2781&lt;=Dashboard!$Q$4,OR(J2781&lt;&gt;"Yes",Dashboard!$Q$15="Yes")),P2781,""),"")</f>
        <v/>
      </c>
    </row>
    <row r="2782">
      <c r="A2782" s="47" t="n"/>
      <c r="B2782" s="48" t="n"/>
      <c r="C2782" s="48" t="n"/>
      <c r="D2782" s="48" t="n"/>
      <c r="E2782" s="48" t="n"/>
      <c r="F2782" s="48" t="n"/>
      <c r="G2782" s="48" t="n"/>
      <c r="H2782" s="48" t="n"/>
      <c r="I2782" s="49" t="n"/>
      <c r="J2782" s="50" t="n"/>
      <c r="K2782" s="48" t="n"/>
      <c r="L2782" s="51">
        <f>IF(A2782="","",DATE(YEAR(A2782),MONTH(A2782),1))</f>
        <v/>
      </c>
      <c r="M2782" s="52">
        <f>IF(OR(A2782="",NOT(ISNUMBER(I2782))),"",IF(G2782=Lists!$B$5,I2782/2,IF(G2782=Lists!$B$6,I2782,0)))</f>
        <v/>
      </c>
      <c r="N2782" s="52">
        <f>IF(OR(A2782="",NOT(ISNUMBER(I2782))),"",IF(G2782=Lists!$B$5,I2782/2,IF(G2782=Lists!$B$7,I2782,0)))</f>
        <v/>
      </c>
      <c r="O2782" s="53">
        <f>IF(COUNTA(A2782:K2782)=0,"",IF(OR(A2782="",B2782="",C2782="",D2782="",E2782="",F2782="",G2782="",NOT(ISNUMBER(I2782))),"Incomplete",IF(COUNTIF(Lists!$H$4:$AA$4,C2782)=0,"Check category",IF(COUNTIF(INDEX(Lists!$H$6:$AA$45,0,MATCH(C2782,Lists!$H$4:$AA$4,0)),D2782)=0,"Check sub-category","OK"))))</f>
        <v/>
      </c>
      <c r="P2782">
        <f>IF(ISNUMBER(I2782),I2782+ROW()/10000000,"")</f>
        <v/>
      </c>
      <c r="Q2782">
        <f>IF(AND(ISNUMBER(P2782),ISNUMBER(A2782)),IF(AND(A2782&gt;=Dashboard!$Q$3,A2782&lt;=Dashboard!$Q$4,OR(J2782&lt;&gt;"Yes",Dashboard!$Q$15="Yes")),P2782,""),"")</f>
        <v/>
      </c>
    </row>
    <row r="2783">
      <c r="A2783" s="47" t="n"/>
      <c r="B2783" s="48" t="n"/>
      <c r="C2783" s="48" t="n"/>
      <c r="D2783" s="48" t="n"/>
      <c r="E2783" s="48" t="n"/>
      <c r="F2783" s="48" t="n"/>
      <c r="G2783" s="48" t="n"/>
      <c r="H2783" s="48" t="n"/>
      <c r="I2783" s="49" t="n"/>
      <c r="J2783" s="50" t="n"/>
      <c r="K2783" s="48" t="n"/>
      <c r="L2783" s="51">
        <f>IF(A2783="","",DATE(YEAR(A2783),MONTH(A2783),1))</f>
        <v/>
      </c>
      <c r="M2783" s="52">
        <f>IF(OR(A2783="",NOT(ISNUMBER(I2783))),"",IF(G2783=Lists!$B$5,I2783/2,IF(G2783=Lists!$B$6,I2783,0)))</f>
        <v/>
      </c>
      <c r="N2783" s="52">
        <f>IF(OR(A2783="",NOT(ISNUMBER(I2783))),"",IF(G2783=Lists!$B$5,I2783/2,IF(G2783=Lists!$B$7,I2783,0)))</f>
        <v/>
      </c>
      <c r="O2783" s="53">
        <f>IF(COUNTA(A2783:K2783)=0,"",IF(OR(A2783="",B2783="",C2783="",D2783="",E2783="",F2783="",G2783="",NOT(ISNUMBER(I2783))),"Incomplete",IF(COUNTIF(Lists!$H$4:$AA$4,C2783)=0,"Check category",IF(COUNTIF(INDEX(Lists!$H$6:$AA$45,0,MATCH(C2783,Lists!$H$4:$AA$4,0)),D2783)=0,"Check sub-category","OK"))))</f>
        <v/>
      </c>
      <c r="P2783">
        <f>IF(ISNUMBER(I2783),I2783+ROW()/10000000,"")</f>
        <v/>
      </c>
      <c r="Q2783">
        <f>IF(AND(ISNUMBER(P2783),ISNUMBER(A2783)),IF(AND(A2783&gt;=Dashboard!$Q$3,A2783&lt;=Dashboard!$Q$4,OR(J2783&lt;&gt;"Yes",Dashboard!$Q$15="Yes")),P2783,""),"")</f>
        <v/>
      </c>
    </row>
    <row r="2784">
      <c r="A2784" s="47" t="n"/>
      <c r="B2784" s="48" t="n"/>
      <c r="C2784" s="48" t="n"/>
      <c r="D2784" s="48" t="n"/>
      <c r="E2784" s="48" t="n"/>
      <c r="F2784" s="48" t="n"/>
      <c r="G2784" s="48" t="n"/>
      <c r="H2784" s="48" t="n"/>
      <c r="I2784" s="49" t="n"/>
      <c r="J2784" s="50" t="n"/>
      <c r="K2784" s="48" t="n"/>
      <c r="L2784" s="51">
        <f>IF(A2784="","",DATE(YEAR(A2784),MONTH(A2784),1))</f>
        <v/>
      </c>
      <c r="M2784" s="52">
        <f>IF(OR(A2784="",NOT(ISNUMBER(I2784))),"",IF(G2784=Lists!$B$5,I2784/2,IF(G2784=Lists!$B$6,I2784,0)))</f>
        <v/>
      </c>
      <c r="N2784" s="52">
        <f>IF(OR(A2784="",NOT(ISNUMBER(I2784))),"",IF(G2784=Lists!$B$5,I2784/2,IF(G2784=Lists!$B$7,I2784,0)))</f>
        <v/>
      </c>
      <c r="O2784" s="53">
        <f>IF(COUNTA(A2784:K2784)=0,"",IF(OR(A2784="",B2784="",C2784="",D2784="",E2784="",F2784="",G2784="",NOT(ISNUMBER(I2784))),"Incomplete",IF(COUNTIF(Lists!$H$4:$AA$4,C2784)=0,"Check category",IF(COUNTIF(INDEX(Lists!$H$6:$AA$45,0,MATCH(C2784,Lists!$H$4:$AA$4,0)),D2784)=0,"Check sub-category","OK"))))</f>
        <v/>
      </c>
      <c r="P2784">
        <f>IF(ISNUMBER(I2784),I2784+ROW()/10000000,"")</f>
        <v/>
      </c>
      <c r="Q2784">
        <f>IF(AND(ISNUMBER(P2784),ISNUMBER(A2784)),IF(AND(A2784&gt;=Dashboard!$Q$3,A2784&lt;=Dashboard!$Q$4,OR(J2784&lt;&gt;"Yes",Dashboard!$Q$15="Yes")),P2784,""),"")</f>
        <v/>
      </c>
    </row>
    <row r="2785">
      <c r="A2785" s="47" t="n"/>
      <c r="B2785" s="48" t="n"/>
      <c r="C2785" s="48" t="n"/>
      <c r="D2785" s="48" t="n"/>
      <c r="E2785" s="48" t="n"/>
      <c r="F2785" s="48" t="n"/>
      <c r="G2785" s="48" t="n"/>
      <c r="H2785" s="48" t="n"/>
      <c r="I2785" s="49" t="n"/>
      <c r="J2785" s="50" t="n"/>
      <c r="K2785" s="48" t="n"/>
      <c r="L2785" s="51">
        <f>IF(A2785="","",DATE(YEAR(A2785),MONTH(A2785),1))</f>
        <v/>
      </c>
      <c r="M2785" s="52">
        <f>IF(OR(A2785="",NOT(ISNUMBER(I2785))),"",IF(G2785=Lists!$B$5,I2785/2,IF(G2785=Lists!$B$6,I2785,0)))</f>
        <v/>
      </c>
      <c r="N2785" s="52">
        <f>IF(OR(A2785="",NOT(ISNUMBER(I2785))),"",IF(G2785=Lists!$B$5,I2785/2,IF(G2785=Lists!$B$7,I2785,0)))</f>
        <v/>
      </c>
      <c r="O2785" s="53">
        <f>IF(COUNTA(A2785:K2785)=0,"",IF(OR(A2785="",B2785="",C2785="",D2785="",E2785="",F2785="",G2785="",NOT(ISNUMBER(I2785))),"Incomplete",IF(COUNTIF(Lists!$H$4:$AA$4,C2785)=0,"Check category",IF(COUNTIF(INDEX(Lists!$H$6:$AA$45,0,MATCH(C2785,Lists!$H$4:$AA$4,0)),D2785)=0,"Check sub-category","OK"))))</f>
        <v/>
      </c>
      <c r="P2785">
        <f>IF(ISNUMBER(I2785),I2785+ROW()/10000000,"")</f>
        <v/>
      </c>
      <c r="Q2785">
        <f>IF(AND(ISNUMBER(P2785),ISNUMBER(A2785)),IF(AND(A2785&gt;=Dashboard!$Q$3,A2785&lt;=Dashboard!$Q$4,OR(J2785&lt;&gt;"Yes",Dashboard!$Q$15="Yes")),P2785,""),"")</f>
        <v/>
      </c>
    </row>
    <row r="2786">
      <c r="A2786" s="47" t="n"/>
      <c r="B2786" s="48" t="n"/>
      <c r="C2786" s="48" t="n"/>
      <c r="D2786" s="48" t="n"/>
      <c r="E2786" s="48" t="n"/>
      <c r="F2786" s="48" t="n"/>
      <c r="G2786" s="48" t="n"/>
      <c r="H2786" s="48" t="n"/>
      <c r="I2786" s="49" t="n"/>
      <c r="J2786" s="50" t="n"/>
      <c r="K2786" s="48" t="n"/>
      <c r="L2786" s="51">
        <f>IF(A2786="","",DATE(YEAR(A2786),MONTH(A2786),1))</f>
        <v/>
      </c>
      <c r="M2786" s="52">
        <f>IF(OR(A2786="",NOT(ISNUMBER(I2786))),"",IF(G2786=Lists!$B$5,I2786/2,IF(G2786=Lists!$B$6,I2786,0)))</f>
        <v/>
      </c>
      <c r="N2786" s="52">
        <f>IF(OR(A2786="",NOT(ISNUMBER(I2786))),"",IF(G2786=Lists!$B$5,I2786/2,IF(G2786=Lists!$B$7,I2786,0)))</f>
        <v/>
      </c>
      <c r="O2786" s="53">
        <f>IF(COUNTA(A2786:K2786)=0,"",IF(OR(A2786="",B2786="",C2786="",D2786="",E2786="",F2786="",G2786="",NOT(ISNUMBER(I2786))),"Incomplete",IF(COUNTIF(Lists!$H$4:$AA$4,C2786)=0,"Check category",IF(COUNTIF(INDEX(Lists!$H$6:$AA$45,0,MATCH(C2786,Lists!$H$4:$AA$4,0)),D2786)=0,"Check sub-category","OK"))))</f>
        <v/>
      </c>
      <c r="P2786">
        <f>IF(ISNUMBER(I2786),I2786+ROW()/10000000,"")</f>
        <v/>
      </c>
      <c r="Q2786">
        <f>IF(AND(ISNUMBER(P2786),ISNUMBER(A2786)),IF(AND(A2786&gt;=Dashboard!$Q$3,A2786&lt;=Dashboard!$Q$4,OR(J2786&lt;&gt;"Yes",Dashboard!$Q$15="Yes")),P2786,""),"")</f>
        <v/>
      </c>
    </row>
    <row r="2787">
      <c r="A2787" s="47" t="n"/>
      <c r="B2787" s="48" t="n"/>
      <c r="C2787" s="48" t="n"/>
      <c r="D2787" s="48" t="n"/>
      <c r="E2787" s="48" t="n"/>
      <c r="F2787" s="48" t="n"/>
      <c r="G2787" s="48" t="n"/>
      <c r="H2787" s="48" t="n"/>
      <c r="I2787" s="49" t="n"/>
      <c r="J2787" s="50" t="n"/>
      <c r="K2787" s="48" t="n"/>
      <c r="L2787" s="51">
        <f>IF(A2787="","",DATE(YEAR(A2787),MONTH(A2787),1))</f>
        <v/>
      </c>
      <c r="M2787" s="52">
        <f>IF(OR(A2787="",NOT(ISNUMBER(I2787))),"",IF(G2787=Lists!$B$5,I2787/2,IF(G2787=Lists!$B$6,I2787,0)))</f>
        <v/>
      </c>
      <c r="N2787" s="52">
        <f>IF(OR(A2787="",NOT(ISNUMBER(I2787))),"",IF(G2787=Lists!$B$5,I2787/2,IF(G2787=Lists!$B$7,I2787,0)))</f>
        <v/>
      </c>
      <c r="O2787" s="53">
        <f>IF(COUNTA(A2787:K2787)=0,"",IF(OR(A2787="",B2787="",C2787="",D2787="",E2787="",F2787="",G2787="",NOT(ISNUMBER(I2787))),"Incomplete",IF(COUNTIF(Lists!$H$4:$AA$4,C2787)=0,"Check category",IF(COUNTIF(INDEX(Lists!$H$6:$AA$45,0,MATCH(C2787,Lists!$H$4:$AA$4,0)),D2787)=0,"Check sub-category","OK"))))</f>
        <v/>
      </c>
      <c r="P2787">
        <f>IF(ISNUMBER(I2787),I2787+ROW()/10000000,"")</f>
        <v/>
      </c>
      <c r="Q2787">
        <f>IF(AND(ISNUMBER(P2787),ISNUMBER(A2787)),IF(AND(A2787&gt;=Dashboard!$Q$3,A2787&lt;=Dashboard!$Q$4,OR(J2787&lt;&gt;"Yes",Dashboard!$Q$15="Yes")),P2787,""),"")</f>
        <v/>
      </c>
    </row>
    <row r="2788">
      <c r="A2788" s="47" t="n"/>
      <c r="B2788" s="48" t="n"/>
      <c r="C2788" s="48" t="n"/>
      <c r="D2788" s="48" t="n"/>
      <c r="E2788" s="48" t="n"/>
      <c r="F2788" s="48" t="n"/>
      <c r="G2788" s="48" t="n"/>
      <c r="H2788" s="48" t="n"/>
      <c r="I2788" s="49" t="n"/>
      <c r="J2788" s="50" t="n"/>
      <c r="K2788" s="48" t="n"/>
      <c r="L2788" s="51">
        <f>IF(A2788="","",DATE(YEAR(A2788),MONTH(A2788),1))</f>
        <v/>
      </c>
      <c r="M2788" s="52">
        <f>IF(OR(A2788="",NOT(ISNUMBER(I2788))),"",IF(G2788=Lists!$B$5,I2788/2,IF(G2788=Lists!$B$6,I2788,0)))</f>
        <v/>
      </c>
      <c r="N2788" s="52">
        <f>IF(OR(A2788="",NOT(ISNUMBER(I2788))),"",IF(G2788=Lists!$B$5,I2788/2,IF(G2788=Lists!$B$7,I2788,0)))</f>
        <v/>
      </c>
      <c r="O2788" s="53">
        <f>IF(COUNTA(A2788:K2788)=0,"",IF(OR(A2788="",B2788="",C2788="",D2788="",E2788="",F2788="",G2788="",NOT(ISNUMBER(I2788))),"Incomplete",IF(COUNTIF(Lists!$H$4:$AA$4,C2788)=0,"Check category",IF(COUNTIF(INDEX(Lists!$H$6:$AA$45,0,MATCH(C2788,Lists!$H$4:$AA$4,0)),D2788)=0,"Check sub-category","OK"))))</f>
        <v/>
      </c>
      <c r="P2788">
        <f>IF(ISNUMBER(I2788),I2788+ROW()/10000000,"")</f>
        <v/>
      </c>
      <c r="Q2788">
        <f>IF(AND(ISNUMBER(P2788),ISNUMBER(A2788)),IF(AND(A2788&gt;=Dashboard!$Q$3,A2788&lt;=Dashboard!$Q$4,OR(J2788&lt;&gt;"Yes",Dashboard!$Q$15="Yes")),P2788,""),"")</f>
        <v/>
      </c>
    </row>
    <row r="2789">
      <c r="A2789" s="47" t="n"/>
      <c r="B2789" s="48" t="n"/>
      <c r="C2789" s="48" t="n"/>
      <c r="D2789" s="48" t="n"/>
      <c r="E2789" s="48" t="n"/>
      <c r="F2789" s="48" t="n"/>
      <c r="G2789" s="48" t="n"/>
      <c r="H2789" s="48" t="n"/>
      <c r="I2789" s="49" t="n"/>
      <c r="J2789" s="50" t="n"/>
      <c r="K2789" s="48" t="n"/>
      <c r="L2789" s="51">
        <f>IF(A2789="","",DATE(YEAR(A2789),MONTH(A2789),1))</f>
        <v/>
      </c>
      <c r="M2789" s="52">
        <f>IF(OR(A2789="",NOT(ISNUMBER(I2789))),"",IF(G2789=Lists!$B$5,I2789/2,IF(G2789=Lists!$B$6,I2789,0)))</f>
        <v/>
      </c>
      <c r="N2789" s="52">
        <f>IF(OR(A2789="",NOT(ISNUMBER(I2789))),"",IF(G2789=Lists!$B$5,I2789/2,IF(G2789=Lists!$B$7,I2789,0)))</f>
        <v/>
      </c>
      <c r="O2789" s="53">
        <f>IF(COUNTA(A2789:K2789)=0,"",IF(OR(A2789="",B2789="",C2789="",D2789="",E2789="",F2789="",G2789="",NOT(ISNUMBER(I2789))),"Incomplete",IF(COUNTIF(Lists!$H$4:$AA$4,C2789)=0,"Check category",IF(COUNTIF(INDEX(Lists!$H$6:$AA$45,0,MATCH(C2789,Lists!$H$4:$AA$4,0)),D2789)=0,"Check sub-category","OK"))))</f>
        <v/>
      </c>
      <c r="P2789">
        <f>IF(ISNUMBER(I2789),I2789+ROW()/10000000,"")</f>
        <v/>
      </c>
      <c r="Q2789">
        <f>IF(AND(ISNUMBER(P2789),ISNUMBER(A2789)),IF(AND(A2789&gt;=Dashboard!$Q$3,A2789&lt;=Dashboard!$Q$4,OR(J2789&lt;&gt;"Yes",Dashboard!$Q$15="Yes")),P2789,""),"")</f>
        <v/>
      </c>
    </row>
    <row r="2790">
      <c r="A2790" s="47" t="n"/>
      <c r="B2790" s="48" t="n"/>
      <c r="C2790" s="48" t="n"/>
      <c r="D2790" s="48" t="n"/>
      <c r="E2790" s="48" t="n"/>
      <c r="F2790" s="48" t="n"/>
      <c r="G2790" s="48" t="n"/>
      <c r="H2790" s="48" t="n"/>
      <c r="I2790" s="49" t="n"/>
      <c r="J2790" s="50" t="n"/>
      <c r="K2790" s="48" t="n"/>
      <c r="L2790" s="51">
        <f>IF(A2790="","",DATE(YEAR(A2790),MONTH(A2790),1))</f>
        <v/>
      </c>
      <c r="M2790" s="52">
        <f>IF(OR(A2790="",NOT(ISNUMBER(I2790))),"",IF(G2790=Lists!$B$5,I2790/2,IF(G2790=Lists!$B$6,I2790,0)))</f>
        <v/>
      </c>
      <c r="N2790" s="52">
        <f>IF(OR(A2790="",NOT(ISNUMBER(I2790))),"",IF(G2790=Lists!$B$5,I2790/2,IF(G2790=Lists!$B$7,I2790,0)))</f>
        <v/>
      </c>
      <c r="O2790" s="53">
        <f>IF(COUNTA(A2790:K2790)=0,"",IF(OR(A2790="",B2790="",C2790="",D2790="",E2790="",F2790="",G2790="",NOT(ISNUMBER(I2790))),"Incomplete",IF(COUNTIF(Lists!$H$4:$AA$4,C2790)=0,"Check category",IF(COUNTIF(INDEX(Lists!$H$6:$AA$45,0,MATCH(C2790,Lists!$H$4:$AA$4,0)),D2790)=0,"Check sub-category","OK"))))</f>
        <v/>
      </c>
      <c r="P2790">
        <f>IF(ISNUMBER(I2790),I2790+ROW()/10000000,"")</f>
        <v/>
      </c>
      <c r="Q2790">
        <f>IF(AND(ISNUMBER(P2790),ISNUMBER(A2790)),IF(AND(A2790&gt;=Dashboard!$Q$3,A2790&lt;=Dashboard!$Q$4,OR(J2790&lt;&gt;"Yes",Dashboard!$Q$15="Yes")),P2790,""),"")</f>
        <v/>
      </c>
    </row>
    <row r="2791">
      <c r="A2791" s="47" t="n"/>
      <c r="B2791" s="48" t="n"/>
      <c r="C2791" s="48" t="n"/>
      <c r="D2791" s="48" t="n"/>
      <c r="E2791" s="48" t="n"/>
      <c r="F2791" s="48" t="n"/>
      <c r="G2791" s="48" t="n"/>
      <c r="H2791" s="48" t="n"/>
      <c r="I2791" s="49" t="n"/>
      <c r="J2791" s="50" t="n"/>
      <c r="K2791" s="48" t="n"/>
      <c r="L2791" s="51">
        <f>IF(A2791="","",DATE(YEAR(A2791),MONTH(A2791),1))</f>
        <v/>
      </c>
      <c r="M2791" s="52">
        <f>IF(OR(A2791="",NOT(ISNUMBER(I2791))),"",IF(G2791=Lists!$B$5,I2791/2,IF(G2791=Lists!$B$6,I2791,0)))</f>
        <v/>
      </c>
      <c r="N2791" s="52">
        <f>IF(OR(A2791="",NOT(ISNUMBER(I2791))),"",IF(G2791=Lists!$B$5,I2791/2,IF(G2791=Lists!$B$7,I2791,0)))</f>
        <v/>
      </c>
      <c r="O2791" s="53">
        <f>IF(COUNTA(A2791:K2791)=0,"",IF(OR(A2791="",B2791="",C2791="",D2791="",E2791="",F2791="",G2791="",NOT(ISNUMBER(I2791))),"Incomplete",IF(COUNTIF(Lists!$H$4:$AA$4,C2791)=0,"Check category",IF(COUNTIF(INDEX(Lists!$H$6:$AA$45,0,MATCH(C2791,Lists!$H$4:$AA$4,0)),D2791)=0,"Check sub-category","OK"))))</f>
        <v/>
      </c>
      <c r="P2791">
        <f>IF(ISNUMBER(I2791),I2791+ROW()/10000000,"")</f>
        <v/>
      </c>
      <c r="Q2791">
        <f>IF(AND(ISNUMBER(P2791),ISNUMBER(A2791)),IF(AND(A2791&gt;=Dashboard!$Q$3,A2791&lt;=Dashboard!$Q$4,OR(J2791&lt;&gt;"Yes",Dashboard!$Q$15="Yes")),P2791,""),"")</f>
        <v/>
      </c>
    </row>
    <row r="2792">
      <c r="A2792" s="47" t="n"/>
      <c r="B2792" s="48" t="n"/>
      <c r="C2792" s="48" t="n"/>
      <c r="D2792" s="48" t="n"/>
      <c r="E2792" s="48" t="n"/>
      <c r="F2792" s="48" t="n"/>
      <c r="G2792" s="48" t="n"/>
      <c r="H2792" s="48" t="n"/>
      <c r="I2792" s="49" t="n"/>
      <c r="J2792" s="50" t="n"/>
      <c r="K2792" s="48" t="n"/>
      <c r="L2792" s="51">
        <f>IF(A2792="","",DATE(YEAR(A2792),MONTH(A2792),1))</f>
        <v/>
      </c>
      <c r="M2792" s="52">
        <f>IF(OR(A2792="",NOT(ISNUMBER(I2792))),"",IF(G2792=Lists!$B$5,I2792/2,IF(G2792=Lists!$B$6,I2792,0)))</f>
        <v/>
      </c>
      <c r="N2792" s="52">
        <f>IF(OR(A2792="",NOT(ISNUMBER(I2792))),"",IF(G2792=Lists!$B$5,I2792/2,IF(G2792=Lists!$B$7,I2792,0)))</f>
        <v/>
      </c>
      <c r="O2792" s="53">
        <f>IF(COUNTA(A2792:K2792)=0,"",IF(OR(A2792="",B2792="",C2792="",D2792="",E2792="",F2792="",G2792="",NOT(ISNUMBER(I2792))),"Incomplete",IF(COUNTIF(Lists!$H$4:$AA$4,C2792)=0,"Check category",IF(COUNTIF(INDEX(Lists!$H$6:$AA$45,0,MATCH(C2792,Lists!$H$4:$AA$4,0)),D2792)=0,"Check sub-category","OK"))))</f>
        <v/>
      </c>
      <c r="P2792">
        <f>IF(ISNUMBER(I2792),I2792+ROW()/10000000,"")</f>
        <v/>
      </c>
      <c r="Q2792">
        <f>IF(AND(ISNUMBER(P2792),ISNUMBER(A2792)),IF(AND(A2792&gt;=Dashboard!$Q$3,A2792&lt;=Dashboard!$Q$4,OR(J2792&lt;&gt;"Yes",Dashboard!$Q$15="Yes")),P2792,""),"")</f>
        <v/>
      </c>
    </row>
    <row r="2793">
      <c r="A2793" s="47" t="n"/>
      <c r="B2793" s="48" t="n"/>
      <c r="C2793" s="48" t="n"/>
      <c r="D2793" s="48" t="n"/>
      <c r="E2793" s="48" t="n"/>
      <c r="F2793" s="48" t="n"/>
      <c r="G2793" s="48" t="n"/>
      <c r="H2793" s="48" t="n"/>
      <c r="I2793" s="49" t="n"/>
      <c r="J2793" s="50" t="n"/>
      <c r="K2793" s="48" t="n"/>
      <c r="L2793" s="51">
        <f>IF(A2793="","",DATE(YEAR(A2793),MONTH(A2793),1))</f>
        <v/>
      </c>
      <c r="M2793" s="52">
        <f>IF(OR(A2793="",NOT(ISNUMBER(I2793))),"",IF(G2793=Lists!$B$5,I2793/2,IF(G2793=Lists!$B$6,I2793,0)))</f>
        <v/>
      </c>
      <c r="N2793" s="52">
        <f>IF(OR(A2793="",NOT(ISNUMBER(I2793))),"",IF(G2793=Lists!$B$5,I2793/2,IF(G2793=Lists!$B$7,I2793,0)))</f>
        <v/>
      </c>
      <c r="O2793" s="53">
        <f>IF(COUNTA(A2793:K2793)=0,"",IF(OR(A2793="",B2793="",C2793="",D2793="",E2793="",F2793="",G2793="",NOT(ISNUMBER(I2793))),"Incomplete",IF(COUNTIF(Lists!$H$4:$AA$4,C2793)=0,"Check category",IF(COUNTIF(INDEX(Lists!$H$6:$AA$45,0,MATCH(C2793,Lists!$H$4:$AA$4,0)),D2793)=0,"Check sub-category","OK"))))</f>
        <v/>
      </c>
      <c r="P2793">
        <f>IF(ISNUMBER(I2793),I2793+ROW()/10000000,"")</f>
        <v/>
      </c>
      <c r="Q2793">
        <f>IF(AND(ISNUMBER(P2793),ISNUMBER(A2793)),IF(AND(A2793&gt;=Dashboard!$Q$3,A2793&lt;=Dashboard!$Q$4,OR(J2793&lt;&gt;"Yes",Dashboard!$Q$15="Yes")),P2793,""),"")</f>
        <v/>
      </c>
    </row>
    <row r="2794">
      <c r="A2794" s="47" t="n"/>
      <c r="B2794" s="48" t="n"/>
      <c r="C2794" s="48" t="n"/>
      <c r="D2794" s="48" t="n"/>
      <c r="E2794" s="48" t="n"/>
      <c r="F2794" s="48" t="n"/>
      <c r="G2794" s="48" t="n"/>
      <c r="H2794" s="48" t="n"/>
      <c r="I2794" s="49" t="n"/>
      <c r="J2794" s="50" t="n"/>
      <c r="K2794" s="48" t="n"/>
      <c r="L2794" s="51">
        <f>IF(A2794="","",DATE(YEAR(A2794),MONTH(A2794),1))</f>
        <v/>
      </c>
      <c r="M2794" s="52">
        <f>IF(OR(A2794="",NOT(ISNUMBER(I2794))),"",IF(G2794=Lists!$B$5,I2794/2,IF(G2794=Lists!$B$6,I2794,0)))</f>
        <v/>
      </c>
      <c r="N2794" s="52">
        <f>IF(OR(A2794="",NOT(ISNUMBER(I2794))),"",IF(G2794=Lists!$B$5,I2794/2,IF(G2794=Lists!$B$7,I2794,0)))</f>
        <v/>
      </c>
      <c r="O2794" s="53">
        <f>IF(COUNTA(A2794:K2794)=0,"",IF(OR(A2794="",B2794="",C2794="",D2794="",E2794="",F2794="",G2794="",NOT(ISNUMBER(I2794))),"Incomplete",IF(COUNTIF(Lists!$H$4:$AA$4,C2794)=0,"Check category",IF(COUNTIF(INDEX(Lists!$H$6:$AA$45,0,MATCH(C2794,Lists!$H$4:$AA$4,0)),D2794)=0,"Check sub-category","OK"))))</f>
        <v/>
      </c>
      <c r="P2794">
        <f>IF(ISNUMBER(I2794),I2794+ROW()/10000000,"")</f>
        <v/>
      </c>
      <c r="Q2794">
        <f>IF(AND(ISNUMBER(P2794),ISNUMBER(A2794)),IF(AND(A2794&gt;=Dashboard!$Q$3,A2794&lt;=Dashboard!$Q$4,OR(J2794&lt;&gt;"Yes",Dashboard!$Q$15="Yes")),P2794,""),"")</f>
        <v/>
      </c>
    </row>
    <row r="2795">
      <c r="A2795" s="47" t="n"/>
      <c r="B2795" s="48" t="n"/>
      <c r="C2795" s="48" t="n"/>
      <c r="D2795" s="48" t="n"/>
      <c r="E2795" s="48" t="n"/>
      <c r="F2795" s="48" t="n"/>
      <c r="G2795" s="48" t="n"/>
      <c r="H2795" s="48" t="n"/>
      <c r="I2795" s="49" t="n"/>
      <c r="J2795" s="50" t="n"/>
      <c r="K2795" s="48" t="n"/>
      <c r="L2795" s="51">
        <f>IF(A2795="","",DATE(YEAR(A2795),MONTH(A2795),1))</f>
        <v/>
      </c>
      <c r="M2795" s="52">
        <f>IF(OR(A2795="",NOT(ISNUMBER(I2795))),"",IF(G2795=Lists!$B$5,I2795/2,IF(G2795=Lists!$B$6,I2795,0)))</f>
        <v/>
      </c>
      <c r="N2795" s="52">
        <f>IF(OR(A2795="",NOT(ISNUMBER(I2795))),"",IF(G2795=Lists!$B$5,I2795/2,IF(G2795=Lists!$B$7,I2795,0)))</f>
        <v/>
      </c>
      <c r="O2795" s="53">
        <f>IF(COUNTA(A2795:K2795)=0,"",IF(OR(A2795="",B2795="",C2795="",D2795="",E2795="",F2795="",G2795="",NOT(ISNUMBER(I2795))),"Incomplete",IF(COUNTIF(Lists!$H$4:$AA$4,C2795)=0,"Check category",IF(COUNTIF(INDEX(Lists!$H$6:$AA$45,0,MATCH(C2795,Lists!$H$4:$AA$4,0)),D2795)=0,"Check sub-category","OK"))))</f>
        <v/>
      </c>
      <c r="P2795">
        <f>IF(ISNUMBER(I2795),I2795+ROW()/10000000,"")</f>
        <v/>
      </c>
      <c r="Q2795">
        <f>IF(AND(ISNUMBER(P2795),ISNUMBER(A2795)),IF(AND(A2795&gt;=Dashboard!$Q$3,A2795&lt;=Dashboard!$Q$4,OR(J2795&lt;&gt;"Yes",Dashboard!$Q$15="Yes")),P2795,""),"")</f>
        <v/>
      </c>
    </row>
    <row r="2796">
      <c r="A2796" s="47" t="n"/>
      <c r="B2796" s="48" t="n"/>
      <c r="C2796" s="48" t="n"/>
      <c r="D2796" s="48" t="n"/>
      <c r="E2796" s="48" t="n"/>
      <c r="F2796" s="48" t="n"/>
      <c r="G2796" s="48" t="n"/>
      <c r="H2796" s="48" t="n"/>
      <c r="I2796" s="49" t="n"/>
      <c r="J2796" s="50" t="n"/>
      <c r="K2796" s="48" t="n"/>
      <c r="L2796" s="51">
        <f>IF(A2796="","",DATE(YEAR(A2796),MONTH(A2796),1))</f>
        <v/>
      </c>
      <c r="M2796" s="52">
        <f>IF(OR(A2796="",NOT(ISNUMBER(I2796))),"",IF(G2796=Lists!$B$5,I2796/2,IF(G2796=Lists!$B$6,I2796,0)))</f>
        <v/>
      </c>
      <c r="N2796" s="52">
        <f>IF(OR(A2796="",NOT(ISNUMBER(I2796))),"",IF(G2796=Lists!$B$5,I2796/2,IF(G2796=Lists!$B$7,I2796,0)))</f>
        <v/>
      </c>
      <c r="O2796" s="53">
        <f>IF(COUNTA(A2796:K2796)=0,"",IF(OR(A2796="",B2796="",C2796="",D2796="",E2796="",F2796="",G2796="",NOT(ISNUMBER(I2796))),"Incomplete",IF(COUNTIF(Lists!$H$4:$AA$4,C2796)=0,"Check category",IF(COUNTIF(INDEX(Lists!$H$6:$AA$45,0,MATCH(C2796,Lists!$H$4:$AA$4,0)),D2796)=0,"Check sub-category","OK"))))</f>
        <v/>
      </c>
      <c r="P2796">
        <f>IF(ISNUMBER(I2796),I2796+ROW()/10000000,"")</f>
        <v/>
      </c>
      <c r="Q2796">
        <f>IF(AND(ISNUMBER(P2796),ISNUMBER(A2796)),IF(AND(A2796&gt;=Dashboard!$Q$3,A2796&lt;=Dashboard!$Q$4,OR(J2796&lt;&gt;"Yes",Dashboard!$Q$15="Yes")),P2796,""),"")</f>
        <v/>
      </c>
    </row>
    <row r="2797">
      <c r="A2797" s="47" t="n"/>
      <c r="B2797" s="48" t="n"/>
      <c r="C2797" s="48" t="n"/>
      <c r="D2797" s="48" t="n"/>
      <c r="E2797" s="48" t="n"/>
      <c r="F2797" s="48" t="n"/>
      <c r="G2797" s="48" t="n"/>
      <c r="H2797" s="48" t="n"/>
      <c r="I2797" s="49" t="n"/>
      <c r="J2797" s="50" t="n"/>
      <c r="K2797" s="48" t="n"/>
      <c r="L2797" s="51">
        <f>IF(A2797="","",DATE(YEAR(A2797),MONTH(A2797),1))</f>
        <v/>
      </c>
      <c r="M2797" s="52">
        <f>IF(OR(A2797="",NOT(ISNUMBER(I2797))),"",IF(G2797=Lists!$B$5,I2797/2,IF(G2797=Lists!$B$6,I2797,0)))</f>
        <v/>
      </c>
      <c r="N2797" s="52">
        <f>IF(OR(A2797="",NOT(ISNUMBER(I2797))),"",IF(G2797=Lists!$B$5,I2797/2,IF(G2797=Lists!$B$7,I2797,0)))</f>
        <v/>
      </c>
      <c r="O2797" s="53">
        <f>IF(COUNTA(A2797:K2797)=0,"",IF(OR(A2797="",B2797="",C2797="",D2797="",E2797="",F2797="",G2797="",NOT(ISNUMBER(I2797))),"Incomplete",IF(COUNTIF(Lists!$H$4:$AA$4,C2797)=0,"Check category",IF(COUNTIF(INDEX(Lists!$H$6:$AA$45,0,MATCH(C2797,Lists!$H$4:$AA$4,0)),D2797)=0,"Check sub-category","OK"))))</f>
        <v/>
      </c>
      <c r="P2797">
        <f>IF(ISNUMBER(I2797),I2797+ROW()/10000000,"")</f>
        <v/>
      </c>
      <c r="Q2797">
        <f>IF(AND(ISNUMBER(P2797),ISNUMBER(A2797)),IF(AND(A2797&gt;=Dashboard!$Q$3,A2797&lt;=Dashboard!$Q$4,OR(J2797&lt;&gt;"Yes",Dashboard!$Q$15="Yes")),P2797,""),"")</f>
        <v/>
      </c>
    </row>
    <row r="2798">
      <c r="A2798" s="47" t="n"/>
      <c r="B2798" s="48" t="n"/>
      <c r="C2798" s="48" t="n"/>
      <c r="D2798" s="48" t="n"/>
      <c r="E2798" s="48" t="n"/>
      <c r="F2798" s="48" t="n"/>
      <c r="G2798" s="48" t="n"/>
      <c r="H2798" s="48" t="n"/>
      <c r="I2798" s="49" t="n"/>
      <c r="J2798" s="50" t="n"/>
      <c r="K2798" s="48" t="n"/>
      <c r="L2798" s="51">
        <f>IF(A2798="","",DATE(YEAR(A2798),MONTH(A2798),1))</f>
        <v/>
      </c>
      <c r="M2798" s="52">
        <f>IF(OR(A2798="",NOT(ISNUMBER(I2798))),"",IF(G2798=Lists!$B$5,I2798/2,IF(G2798=Lists!$B$6,I2798,0)))</f>
        <v/>
      </c>
      <c r="N2798" s="52">
        <f>IF(OR(A2798="",NOT(ISNUMBER(I2798))),"",IF(G2798=Lists!$B$5,I2798/2,IF(G2798=Lists!$B$7,I2798,0)))</f>
        <v/>
      </c>
      <c r="O2798" s="53">
        <f>IF(COUNTA(A2798:K2798)=0,"",IF(OR(A2798="",B2798="",C2798="",D2798="",E2798="",F2798="",G2798="",NOT(ISNUMBER(I2798))),"Incomplete",IF(COUNTIF(Lists!$H$4:$AA$4,C2798)=0,"Check category",IF(COUNTIF(INDEX(Lists!$H$6:$AA$45,0,MATCH(C2798,Lists!$H$4:$AA$4,0)),D2798)=0,"Check sub-category","OK"))))</f>
        <v/>
      </c>
      <c r="P2798">
        <f>IF(ISNUMBER(I2798),I2798+ROW()/10000000,"")</f>
        <v/>
      </c>
      <c r="Q2798">
        <f>IF(AND(ISNUMBER(P2798),ISNUMBER(A2798)),IF(AND(A2798&gt;=Dashboard!$Q$3,A2798&lt;=Dashboard!$Q$4,OR(J2798&lt;&gt;"Yes",Dashboard!$Q$15="Yes")),P2798,""),"")</f>
        <v/>
      </c>
    </row>
    <row r="2799">
      <c r="A2799" s="47" t="n"/>
      <c r="B2799" s="48" t="n"/>
      <c r="C2799" s="48" t="n"/>
      <c r="D2799" s="48" t="n"/>
      <c r="E2799" s="48" t="n"/>
      <c r="F2799" s="48" t="n"/>
      <c r="G2799" s="48" t="n"/>
      <c r="H2799" s="48" t="n"/>
      <c r="I2799" s="49" t="n"/>
      <c r="J2799" s="50" t="n"/>
      <c r="K2799" s="48" t="n"/>
      <c r="L2799" s="51">
        <f>IF(A2799="","",DATE(YEAR(A2799),MONTH(A2799),1))</f>
        <v/>
      </c>
      <c r="M2799" s="52">
        <f>IF(OR(A2799="",NOT(ISNUMBER(I2799))),"",IF(G2799=Lists!$B$5,I2799/2,IF(G2799=Lists!$B$6,I2799,0)))</f>
        <v/>
      </c>
      <c r="N2799" s="52">
        <f>IF(OR(A2799="",NOT(ISNUMBER(I2799))),"",IF(G2799=Lists!$B$5,I2799/2,IF(G2799=Lists!$B$7,I2799,0)))</f>
        <v/>
      </c>
      <c r="O2799" s="53">
        <f>IF(COUNTA(A2799:K2799)=0,"",IF(OR(A2799="",B2799="",C2799="",D2799="",E2799="",F2799="",G2799="",NOT(ISNUMBER(I2799))),"Incomplete",IF(COUNTIF(Lists!$H$4:$AA$4,C2799)=0,"Check category",IF(COUNTIF(INDEX(Lists!$H$6:$AA$45,0,MATCH(C2799,Lists!$H$4:$AA$4,0)),D2799)=0,"Check sub-category","OK"))))</f>
        <v/>
      </c>
      <c r="P2799">
        <f>IF(ISNUMBER(I2799),I2799+ROW()/10000000,"")</f>
        <v/>
      </c>
      <c r="Q2799">
        <f>IF(AND(ISNUMBER(P2799),ISNUMBER(A2799)),IF(AND(A2799&gt;=Dashboard!$Q$3,A2799&lt;=Dashboard!$Q$4,OR(J2799&lt;&gt;"Yes",Dashboard!$Q$15="Yes")),P2799,""),"")</f>
        <v/>
      </c>
    </row>
    <row r="2800">
      <c r="A2800" s="47" t="n"/>
      <c r="B2800" s="48" t="n"/>
      <c r="C2800" s="48" t="n"/>
      <c r="D2800" s="48" t="n"/>
      <c r="E2800" s="48" t="n"/>
      <c r="F2800" s="48" t="n"/>
      <c r="G2800" s="48" t="n"/>
      <c r="H2800" s="48" t="n"/>
      <c r="I2800" s="49" t="n"/>
      <c r="J2800" s="50" t="n"/>
      <c r="K2800" s="48" t="n"/>
      <c r="L2800" s="51">
        <f>IF(A2800="","",DATE(YEAR(A2800),MONTH(A2800),1))</f>
        <v/>
      </c>
      <c r="M2800" s="52">
        <f>IF(OR(A2800="",NOT(ISNUMBER(I2800))),"",IF(G2800=Lists!$B$5,I2800/2,IF(G2800=Lists!$B$6,I2800,0)))</f>
        <v/>
      </c>
      <c r="N2800" s="52">
        <f>IF(OR(A2800="",NOT(ISNUMBER(I2800))),"",IF(G2800=Lists!$B$5,I2800/2,IF(G2800=Lists!$B$7,I2800,0)))</f>
        <v/>
      </c>
      <c r="O2800" s="53">
        <f>IF(COUNTA(A2800:K2800)=0,"",IF(OR(A2800="",B2800="",C2800="",D2800="",E2800="",F2800="",G2800="",NOT(ISNUMBER(I2800))),"Incomplete",IF(COUNTIF(Lists!$H$4:$AA$4,C2800)=0,"Check category",IF(COUNTIF(INDEX(Lists!$H$6:$AA$45,0,MATCH(C2800,Lists!$H$4:$AA$4,0)),D2800)=0,"Check sub-category","OK"))))</f>
        <v/>
      </c>
      <c r="P2800">
        <f>IF(ISNUMBER(I2800),I2800+ROW()/10000000,"")</f>
        <v/>
      </c>
      <c r="Q2800">
        <f>IF(AND(ISNUMBER(P2800),ISNUMBER(A2800)),IF(AND(A2800&gt;=Dashboard!$Q$3,A2800&lt;=Dashboard!$Q$4,OR(J2800&lt;&gt;"Yes",Dashboard!$Q$15="Yes")),P2800,""),"")</f>
        <v/>
      </c>
    </row>
    <row r="2801">
      <c r="A2801" s="47" t="n"/>
      <c r="B2801" s="48" t="n"/>
      <c r="C2801" s="48" t="n"/>
      <c r="D2801" s="48" t="n"/>
      <c r="E2801" s="48" t="n"/>
      <c r="F2801" s="48" t="n"/>
      <c r="G2801" s="48" t="n"/>
      <c r="H2801" s="48" t="n"/>
      <c r="I2801" s="49" t="n"/>
      <c r="J2801" s="50" t="n"/>
      <c r="K2801" s="48" t="n"/>
      <c r="L2801" s="51">
        <f>IF(A2801="","",DATE(YEAR(A2801),MONTH(A2801),1))</f>
        <v/>
      </c>
      <c r="M2801" s="52">
        <f>IF(OR(A2801="",NOT(ISNUMBER(I2801))),"",IF(G2801=Lists!$B$5,I2801/2,IF(G2801=Lists!$B$6,I2801,0)))</f>
        <v/>
      </c>
      <c r="N2801" s="52">
        <f>IF(OR(A2801="",NOT(ISNUMBER(I2801))),"",IF(G2801=Lists!$B$5,I2801/2,IF(G2801=Lists!$B$7,I2801,0)))</f>
        <v/>
      </c>
      <c r="O2801" s="53">
        <f>IF(COUNTA(A2801:K2801)=0,"",IF(OR(A2801="",B2801="",C2801="",D2801="",E2801="",F2801="",G2801="",NOT(ISNUMBER(I2801))),"Incomplete",IF(COUNTIF(Lists!$H$4:$AA$4,C2801)=0,"Check category",IF(COUNTIF(INDEX(Lists!$H$6:$AA$45,0,MATCH(C2801,Lists!$H$4:$AA$4,0)),D2801)=0,"Check sub-category","OK"))))</f>
        <v/>
      </c>
      <c r="P2801">
        <f>IF(ISNUMBER(I2801),I2801+ROW()/10000000,"")</f>
        <v/>
      </c>
      <c r="Q2801">
        <f>IF(AND(ISNUMBER(P2801),ISNUMBER(A2801)),IF(AND(A2801&gt;=Dashboard!$Q$3,A2801&lt;=Dashboard!$Q$4,OR(J2801&lt;&gt;"Yes",Dashboard!$Q$15="Yes")),P2801,""),"")</f>
        <v/>
      </c>
    </row>
    <row r="2802">
      <c r="A2802" s="47" t="n"/>
      <c r="B2802" s="48" t="n"/>
      <c r="C2802" s="48" t="n"/>
      <c r="D2802" s="48" t="n"/>
      <c r="E2802" s="48" t="n"/>
      <c r="F2802" s="48" t="n"/>
      <c r="G2802" s="48" t="n"/>
      <c r="H2802" s="48" t="n"/>
      <c r="I2802" s="49" t="n"/>
      <c r="J2802" s="50" t="n"/>
      <c r="K2802" s="48" t="n"/>
      <c r="L2802" s="51">
        <f>IF(A2802="","",DATE(YEAR(A2802),MONTH(A2802),1))</f>
        <v/>
      </c>
      <c r="M2802" s="52">
        <f>IF(OR(A2802="",NOT(ISNUMBER(I2802))),"",IF(G2802=Lists!$B$5,I2802/2,IF(G2802=Lists!$B$6,I2802,0)))</f>
        <v/>
      </c>
      <c r="N2802" s="52">
        <f>IF(OR(A2802="",NOT(ISNUMBER(I2802))),"",IF(G2802=Lists!$B$5,I2802/2,IF(G2802=Lists!$B$7,I2802,0)))</f>
        <v/>
      </c>
      <c r="O2802" s="53">
        <f>IF(COUNTA(A2802:K2802)=0,"",IF(OR(A2802="",B2802="",C2802="",D2802="",E2802="",F2802="",G2802="",NOT(ISNUMBER(I2802))),"Incomplete",IF(COUNTIF(Lists!$H$4:$AA$4,C2802)=0,"Check category",IF(COUNTIF(INDEX(Lists!$H$6:$AA$45,0,MATCH(C2802,Lists!$H$4:$AA$4,0)),D2802)=0,"Check sub-category","OK"))))</f>
        <v/>
      </c>
      <c r="P2802">
        <f>IF(ISNUMBER(I2802),I2802+ROW()/10000000,"")</f>
        <v/>
      </c>
      <c r="Q2802">
        <f>IF(AND(ISNUMBER(P2802),ISNUMBER(A2802)),IF(AND(A2802&gt;=Dashboard!$Q$3,A2802&lt;=Dashboard!$Q$4,OR(J2802&lt;&gt;"Yes",Dashboard!$Q$15="Yes")),P2802,""),"")</f>
        <v/>
      </c>
    </row>
    <row r="2803">
      <c r="A2803" s="47" t="n"/>
      <c r="B2803" s="48" t="n"/>
      <c r="C2803" s="48" t="n"/>
      <c r="D2803" s="48" t="n"/>
      <c r="E2803" s="48" t="n"/>
      <c r="F2803" s="48" t="n"/>
      <c r="G2803" s="48" t="n"/>
      <c r="H2803" s="48" t="n"/>
      <c r="I2803" s="49" t="n"/>
      <c r="J2803" s="50" t="n"/>
      <c r="K2803" s="48" t="n"/>
      <c r="L2803" s="51">
        <f>IF(A2803="","",DATE(YEAR(A2803),MONTH(A2803),1))</f>
        <v/>
      </c>
      <c r="M2803" s="52">
        <f>IF(OR(A2803="",NOT(ISNUMBER(I2803))),"",IF(G2803=Lists!$B$5,I2803/2,IF(G2803=Lists!$B$6,I2803,0)))</f>
        <v/>
      </c>
      <c r="N2803" s="52">
        <f>IF(OR(A2803="",NOT(ISNUMBER(I2803))),"",IF(G2803=Lists!$B$5,I2803/2,IF(G2803=Lists!$B$7,I2803,0)))</f>
        <v/>
      </c>
      <c r="O2803" s="53">
        <f>IF(COUNTA(A2803:K2803)=0,"",IF(OR(A2803="",B2803="",C2803="",D2803="",E2803="",F2803="",G2803="",NOT(ISNUMBER(I2803))),"Incomplete",IF(COUNTIF(Lists!$H$4:$AA$4,C2803)=0,"Check category",IF(COUNTIF(INDEX(Lists!$H$6:$AA$45,0,MATCH(C2803,Lists!$H$4:$AA$4,0)),D2803)=0,"Check sub-category","OK"))))</f>
        <v/>
      </c>
      <c r="P2803">
        <f>IF(ISNUMBER(I2803),I2803+ROW()/10000000,"")</f>
        <v/>
      </c>
      <c r="Q2803">
        <f>IF(AND(ISNUMBER(P2803),ISNUMBER(A2803)),IF(AND(A2803&gt;=Dashboard!$Q$3,A2803&lt;=Dashboard!$Q$4,OR(J2803&lt;&gt;"Yes",Dashboard!$Q$15="Yes")),P2803,""),"")</f>
        <v/>
      </c>
    </row>
    <row r="2804">
      <c r="A2804" s="47" t="n"/>
      <c r="B2804" s="48" t="n"/>
      <c r="C2804" s="48" t="n"/>
      <c r="D2804" s="48" t="n"/>
      <c r="E2804" s="48" t="n"/>
      <c r="F2804" s="48" t="n"/>
      <c r="G2804" s="48" t="n"/>
      <c r="H2804" s="48" t="n"/>
      <c r="I2804" s="49" t="n"/>
      <c r="J2804" s="50" t="n"/>
      <c r="K2804" s="48" t="n"/>
      <c r="L2804" s="51">
        <f>IF(A2804="","",DATE(YEAR(A2804),MONTH(A2804),1))</f>
        <v/>
      </c>
      <c r="M2804" s="52">
        <f>IF(OR(A2804="",NOT(ISNUMBER(I2804))),"",IF(G2804=Lists!$B$5,I2804/2,IF(G2804=Lists!$B$6,I2804,0)))</f>
        <v/>
      </c>
      <c r="N2804" s="52">
        <f>IF(OR(A2804="",NOT(ISNUMBER(I2804))),"",IF(G2804=Lists!$B$5,I2804/2,IF(G2804=Lists!$B$7,I2804,0)))</f>
        <v/>
      </c>
      <c r="O2804" s="53">
        <f>IF(COUNTA(A2804:K2804)=0,"",IF(OR(A2804="",B2804="",C2804="",D2804="",E2804="",F2804="",G2804="",NOT(ISNUMBER(I2804))),"Incomplete",IF(COUNTIF(Lists!$H$4:$AA$4,C2804)=0,"Check category",IF(COUNTIF(INDEX(Lists!$H$6:$AA$45,0,MATCH(C2804,Lists!$H$4:$AA$4,0)),D2804)=0,"Check sub-category","OK"))))</f>
        <v/>
      </c>
      <c r="P2804">
        <f>IF(ISNUMBER(I2804),I2804+ROW()/10000000,"")</f>
        <v/>
      </c>
      <c r="Q2804">
        <f>IF(AND(ISNUMBER(P2804),ISNUMBER(A2804)),IF(AND(A2804&gt;=Dashboard!$Q$3,A2804&lt;=Dashboard!$Q$4,OR(J2804&lt;&gt;"Yes",Dashboard!$Q$15="Yes")),P2804,""),"")</f>
        <v/>
      </c>
    </row>
    <row r="2805">
      <c r="A2805" s="47" t="n"/>
      <c r="B2805" s="48" t="n"/>
      <c r="C2805" s="48" t="n"/>
      <c r="D2805" s="48" t="n"/>
      <c r="E2805" s="48" t="n"/>
      <c r="F2805" s="48" t="n"/>
      <c r="G2805" s="48" t="n"/>
      <c r="H2805" s="48" t="n"/>
      <c r="I2805" s="49" t="n"/>
      <c r="J2805" s="50" t="n"/>
      <c r="K2805" s="48" t="n"/>
      <c r="L2805" s="51">
        <f>IF(A2805="","",DATE(YEAR(A2805),MONTH(A2805),1))</f>
        <v/>
      </c>
      <c r="M2805" s="52">
        <f>IF(OR(A2805="",NOT(ISNUMBER(I2805))),"",IF(G2805=Lists!$B$5,I2805/2,IF(G2805=Lists!$B$6,I2805,0)))</f>
        <v/>
      </c>
      <c r="N2805" s="52">
        <f>IF(OR(A2805="",NOT(ISNUMBER(I2805))),"",IF(G2805=Lists!$B$5,I2805/2,IF(G2805=Lists!$B$7,I2805,0)))</f>
        <v/>
      </c>
      <c r="O2805" s="53">
        <f>IF(COUNTA(A2805:K2805)=0,"",IF(OR(A2805="",B2805="",C2805="",D2805="",E2805="",F2805="",G2805="",NOT(ISNUMBER(I2805))),"Incomplete",IF(COUNTIF(Lists!$H$4:$AA$4,C2805)=0,"Check category",IF(COUNTIF(INDEX(Lists!$H$6:$AA$45,0,MATCH(C2805,Lists!$H$4:$AA$4,0)),D2805)=0,"Check sub-category","OK"))))</f>
        <v/>
      </c>
      <c r="P2805">
        <f>IF(ISNUMBER(I2805),I2805+ROW()/10000000,"")</f>
        <v/>
      </c>
      <c r="Q2805">
        <f>IF(AND(ISNUMBER(P2805),ISNUMBER(A2805)),IF(AND(A2805&gt;=Dashboard!$Q$3,A2805&lt;=Dashboard!$Q$4,OR(J2805&lt;&gt;"Yes",Dashboard!$Q$15="Yes")),P2805,""),"")</f>
        <v/>
      </c>
    </row>
    <row r="2806">
      <c r="A2806" s="47" t="n"/>
      <c r="B2806" s="48" t="n"/>
      <c r="C2806" s="48" t="n"/>
      <c r="D2806" s="48" t="n"/>
      <c r="E2806" s="48" t="n"/>
      <c r="F2806" s="48" t="n"/>
      <c r="G2806" s="48" t="n"/>
      <c r="H2806" s="48" t="n"/>
      <c r="I2806" s="49" t="n"/>
      <c r="J2806" s="50" t="n"/>
      <c r="K2806" s="48" t="n"/>
      <c r="L2806" s="51">
        <f>IF(A2806="","",DATE(YEAR(A2806),MONTH(A2806),1))</f>
        <v/>
      </c>
      <c r="M2806" s="52">
        <f>IF(OR(A2806="",NOT(ISNUMBER(I2806))),"",IF(G2806=Lists!$B$5,I2806/2,IF(G2806=Lists!$B$6,I2806,0)))</f>
        <v/>
      </c>
      <c r="N2806" s="52">
        <f>IF(OR(A2806="",NOT(ISNUMBER(I2806))),"",IF(G2806=Lists!$B$5,I2806/2,IF(G2806=Lists!$B$7,I2806,0)))</f>
        <v/>
      </c>
      <c r="O2806" s="53">
        <f>IF(COUNTA(A2806:K2806)=0,"",IF(OR(A2806="",B2806="",C2806="",D2806="",E2806="",F2806="",G2806="",NOT(ISNUMBER(I2806))),"Incomplete",IF(COUNTIF(Lists!$H$4:$AA$4,C2806)=0,"Check category",IF(COUNTIF(INDEX(Lists!$H$6:$AA$45,0,MATCH(C2806,Lists!$H$4:$AA$4,0)),D2806)=0,"Check sub-category","OK"))))</f>
        <v/>
      </c>
      <c r="P2806">
        <f>IF(ISNUMBER(I2806),I2806+ROW()/10000000,"")</f>
        <v/>
      </c>
      <c r="Q2806">
        <f>IF(AND(ISNUMBER(P2806),ISNUMBER(A2806)),IF(AND(A2806&gt;=Dashboard!$Q$3,A2806&lt;=Dashboard!$Q$4,OR(J2806&lt;&gt;"Yes",Dashboard!$Q$15="Yes")),P2806,""),"")</f>
        <v/>
      </c>
    </row>
    <row r="2807">
      <c r="A2807" s="47" t="n"/>
      <c r="B2807" s="48" t="n"/>
      <c r="C2807" s="48" t="n"/>
      <c r="D2807" s="48" t="n"/>
      <c r="E2807" s="48" t="n"/>
      <c r="F2807" s="48" t="n"/>
      <c r="G2807" s="48" t="n"/>
      <c r="H2807" s="48" t="n"/>
      <c r="I2807" s="49" t="n"/>
      <c r="J2807" s="50" t="n"/>
      <c r="K2807" s="48" t="n"/>
      <c r="L2807" s="51">
        <f>IF(A2807="","",DATE(YEAR(A2807),MONTH(A2807),1))</f>
        <v/>
      </c>
      <c r="M2807" s="52">
        <f>IF(OR(A2807="",NOT(ISNUMBER(I2807))),"",IF(G2807=Lists!$B$5,I2807/2,IF(G2807=Lists!$B$6,I2807,0)))</f>
        <v/>
      </c>
      <c r="N2807" s="52">
        <f>IF(OR(A2807="",NOT(ISNUMBER(I2807))),"",IF(G2807=Lists!$B$5,I2807/2,IF(G2807=Lists!$B$7,I2807,0)))</f>
        <v/>
      </c>
      <c r="O2807" s="53">
        <f>IF(COUNTA(A2807:K2807)=0,"",IF(OR(A2807="",B2807="",C2807="",D2807="",E2807="",F2807="",G2807="",NOT(ISNUMBER(I2807))),"Incomplete",IF(COUNTIF(Lists!$H$4:$AA$4,C2807)=0,"Check category",IF(COUNTIF(INDEX(Lists!$H$6:$AA$45,0,MATCH(C2807,Lists!$H$4:$AA$4,0)),D2807)=0,"Check sub-category","OK"))))</f>
        <v/>
      </c>
      <c r="P2807">
        <f>IF(ISNUMBER(I2807),I2807+ROW()/10000000,"")</f>
        <v/>
      </c>
      <c r="Q2807">
        <f>IF(AND(ISNUMBER(P2807),ISNUMBER(A2807)),IF(AND(A2807&gt;=Dashboard!$Q$3,A2807&lt;=Dashboard!$Q$4,OR(J2807&lt;&gt;"Yes",Dashboard!$Q$15="Yes")),P2807,""),"")</f>
        <v/>
      </c>
    </row>
    <row r="2808">
      <c r="A2808" s="47" t="n"/>
      <c r="B2808" s="48" t="n"/>
      <c r="C2808" s="48" t="n"/>
      <c r="D2808" s="48" t="n"/>
      <c r="E2808" s="48" t="n"/>
      <c r="F2808" s="48" t="n"/>
      <c r="G2808" s="48" t="n"/>
      <c r="H2808" s="48" t="n"/>
      <c r="I2808" s="49" t="n"/>
      <c r="J2808" s="50" t="n"/>
      <c r="K2808" s="48" t="n"/>
      <c r="L2808" s="51">
        <f>IF(A2808="","",DATE(YEAR(A2808),MONTH(A2808),1))</f>
        <v/>
      </c>
      <c r="M2808" s="52">
        <f>IF(OR(A2808="",NOT(ISNUMBER(I2808))),"",IF(G2808=Lists!$B$5,I2808/2,IF(G2808=Lists!$B$6,I2808,0)))</f>
        <v/>
      </c>
      <c r="N2808" s="52">
        <f>IF(OR(A2808="",NOT(ISNUMBER(I2808))),"",IF(G2808=Lists!$B$5,I2808/2,IF(G2808=Lists!$B$7,I2808,0)))</f>
        <v/>
      </c>
      <c r="O2808" s="53">
        <f>IF(COUNTA(A2808:K2808)=0,"",IF(OR(A2808="",B2808="",C2808="",D2808="",E2808="",F2808="",G2808="",NOT(ISNUMBER(I2808))),"Incomplete",IF(COUNTIF(Lists!$H$4:$AA$4,C2808)=0,"Check category",IF(COUNTIF(INDEX(Lists!$H$6:$AA$45,0,MATCH(C2808,Lists!$H$4:$AA$4,0)),D2808)=0,"Check sub-category","OK"))))</f>
        <v/>
      </c>
      <c r="P2808">
        <f>IF(ISNUMBER(I2808),I2808+ROW()/10000000,"")</f>
        <v/>
      </c>
      <c r="Q2808">
        <f>IF(AND(ISNUMBER(P2808),ISNUMBER(A2808)),IF(AND(A2808&gt;=Dashboard!$Q$3,A2808&lt;=Dashboard!$Q$4,OR(J2808&lt;&gt;"Yes",Dashboard!$Q$15="Yes")),P2808,""),"")</f>
        <v/>
      </c>
    </row>
    <row r="2809">
      <c r="A2809" s="47" t="n"/>
      <c r="B2809" s="48" t="n"/>
      <c r="C2809" s="48" t="n"/>
      <c r="D2809" s="48" t="n"/>
      <c r="E2809" s="48" t="n"/>
      <c r="F2809" s="48" t="n"/>
      <c r="G2809" s="48" t="n"/>
      <c r="H2809" s="48" t="n"/>
      <c r="I2809" s="49" t="n"/>
      <c r="J2809" s="50" t="n"/>
      <c r="K2809" s="48" t="n"/>
      <c r="L2809" s="51">
        <f>IF(A2809="","",DATE(YEAR(A2809),MONTH(A2809),1))</f>
        <v/>
      </c>
      <c r="M2809" s="52">
        <f>IF(OR(A2809="",NOT(ISNUMBER(I2809))),"",IF(G2809=Lists!$B$5,I2809/2,IF(G2809=Lists!$B$6,I2809,0)))</f>
        <v/>
      </c>
      <c r="N2809" s="52">
        <f>IF(OR(A2809="",NOT(ISNUMBER(I2809))),"",IF(G2809=Lists!$B$5,I2809/2,IF(G2809=Lists!$B$7,I2809,0)))</f>
        <v/>
      </c>
      <c r="O2809" s="53">
        <f>IF(COUNTA(A2809:K2809)=0,"",IF(OR(A2809="",B2809="",C2809="",D2809="",E2809="",F2809="",G2809="",NOT(ISNUMBER(I2809))),"Incomplete",IF(COUNTIF(Lists!$H$4:$AA$4,C2809)=0,"Check category",IF(COUNTIF(INDEX(Lists!$H$6:$AA$45,0,MATCH(C2809,Lists!$H$4:$AA$4,0)),D2809)=0,"Check sub-category","OK"))))</f>
        <v/>
      </c>
      <c r="P2809">
        <f>IF(ISNUMBER(I2809),I2809+ROW()/10000000,"")</f>
        <v/>
      </c>
      <c r="Q2809">
        <f>IF(AND(ISNUMBER(P2809),ISNUMBER(A2809)),IF(AND(A2809&gt;=Dashboard!$Q$3,A2809&lt;=Dashboard!$Q$4,OR(J2809&lt;&gt;"Yes",Dashboard!$Q$15="Yes")),P2809,""),"")</f>
        <v/>
      </c>
    </row>
    <row r="2810">
      <c r="A2810" s="47" t="n"/>
      <c r="B2810" s="48" t="n"/>
      <c r="C2810" s="48" t="n"/>
      <c r="D2810" s="48" t="n"/>
      <c r="E2810" s="48" t="n"/>
      <c r="F2810" s="48" t="n"/>
      <c r="G2810" s="48" t="n"/>
      <c r="H2810" s="48" t="n"/>
      <c r="I2810" s="49" t="n"/>
      <c r="J2810" s="50" t="n"/>
      <c r="K2810" s="48" t="n"/>
      <c r="L2810" s="51">
        <f>IF(A2810="","",DATE(YEAR(A2810),MONTH(A2810),1))</f>
        <v/>
      </c>
      <c r="M2810" s="52">
        <f>IF(OR(A2810="",NOT(ISNUMBER(I2810))),"",IF(G2810=Lists!$B$5,I2810/2,IF(G2810=Lists!$B$6,I2810,0)))</f>
        <v/>
      </c>
      <c r="N2810" s="52">
        <f>IF(OR(A2810="",NOT(ISNUMBER(I2810))),"",IF(G2810=Lists!$B$5,I2810/2,IF(G2810=Lists!$B$7,I2810,0)))</f>
        <v/>
      </c>
      <c r="O2810" s="53">
        <f>IF(COUNTA(A2810:K2810)=0,"",IF(OR(A2810="",B2810="",C2810="",D2810="",E2810="",F2810="",G2810="",NOT(ISNUMBER(I2810))),"Incomplete",IF(COUNTIF(Lists!$H$4:$AA$4,C2810)=0,"Check category",IF(COUNTIF(INDEX(Lists!$H$6:$AA$45,0,MATCH(C2810,Lists!$H$4:$AA$4,0)),D2810)=0,"Check sub-category","OK"))))</f>
        <v/>
      </c>
      <c r="P2810">
        <f>IF(ISNUMBER(I2810),I2810+ROW()/10000000,"")</f>
        <v/>
      </c>
      <c r="Q2810">
        <f>IF(AND(ISNUMBER(P2810),ISNUMBER(A2810)),IF(AND(A2810&gt;=Dashboard!$Q$3,A2810&lt;=Dashboard!$Q$4,OR(J2810&lt;&gt;"Yes",Dashboard!$Q$15="Yes")),P2810,""),"")</f>
        <v/>
      </c>
    </row>
    <row r="2811">
      <c r="A2811" s="47" t="n"/>
      <c r="B2811" s="48" t="n"/>
      <c r="C2811" s="48" t="n"/>
      <c r="D2811" s="48" t="n"/>
      <c r="E2811" s="48" t="n"/>
      <c r="F2811" s="48" t="n"/>
      <c r="G2811" s="48" t="n"/>
      <c r="H2811" s="48" t="n"/>
      <c r="I2811" s="49" t="n"/>
      <c r="J2811" s="50" t="n"/>
      <c r="K2811" s="48" t="n"/>
      <c r="L2811" s="51">
        <f>IF(A2811="","",DATE(YEAR(A2811),MONTH(A2811),1))</f>
        <v/>
      </c>
      <c r="M2811" s="52">
        <f>IF(OR(A2811="",NOT(ISNUMBER(I2811))),"",IF(G2811=Lists!$B$5,I2811/2,IF(G2811=Lists!$B$6,I2811,0)))</f>
        <v/>
      </c>
      <c r="N2811" s="52">
        <f>IF(OR(A2811="",NOT(ISNUMBER(I2811))),"",IF(G2811=Lists!$B$5,I2811/2,IF(G2811=Lists!$B$7,I2811,0)))</f>
        <v/>
      </c>
      <c r="O2811" s="53">
        <f>IF(COUNTA(A2811:K2811)=0,"",IF(OR(A2811="",B2811="",C2811="",D2811="",E2811="",F2811="",G2811="",NOT(ISNUMBER(I2811))),"Incomplete",IF(COUNTIF(Lists!$H$4:$AA$4,C2811)=0,"Check category",IF(COUNTIF(INDEX(Lists!$H$6:$AA$45,0,MATCH(C2811,Lists!$H$4:$AA$4,0)),D2811)=0,"Check sub-category","OK"))))</f>
        <v/>
      </c>
      <c r="P2811">
        <f>IF(ISNUMBER(I2811),I2811+ROW()/10000000,"")</f>
        <v/>
      </c>
      <c r="Q2811">
        <f>IF(AND(ISNUMBER(P2811),ISNUMBER(A2811)),IF(AND(A2811&gt;=Dashboard!$Q$3,A2811&lt;=Dashboard!$Q$4,OR(J2811&lt;&gt;"Yes",Dashboard!$Q$15="Yes")),P2811,""),"")</f>
        <v/>
      </c>
    </row>
    <row r="2812">
      <c r="A2812" s="47" t="n"/>
      <c r="B2812" s="48" t="n"/>
      <c r="C2812" s="48" t="n"/>
      <c r="D2812" s="48" t="n"/>
      <c r="E2812" s="48" t="n"/>
      <c r="F2812" s="48" t="n"/>
      <c r="G2812" s="48" t="n"/>
      <c r="H2812" s="48" t="n"/>
      <c r="I2812" s="49" t="n"/>
      <c r="J2812" s="50" t="n"/>
      <c r="K2812" s="48" t="n"/>
      <c r="L2812" s="51">
        <f>IF(A2812="","",DATE(YEAR(A2812),MONTH(A2812),1))</f>
        <v/>
      </c>
      <c r="M2812" s="52">
        <f>IF(OR(A2812="",NOT(ISNUMBER(I2812))),"",IF(G2812=Lists!$B$5,I2812/2,IF(G2812=Lists!$B$6,I2812,0)))</f>
        <v/>
      </c>
      <c r="N2812" s="52">
        <f>IF(OR(A2812="",NOT(ISNUMBER(I2812))),"",IF(G2812=Lists!$B$5,I2812/2,IF(G2812=Lists!$B$7,I2812,0)))</f>
        <v/>
      </c>
      <c r="O2812" s="53">
        <f>IF(COUNTA(A2812:K2812)=0,"",IF(OR(A2812="",B2812="",C2812="",D2812="",E2812="",F2812="",G2812="",NOT(ISNUMBER(I2812))),"Incomplete",IF(COUNTIF(Lists!$H$4:$AA$4,C2812)=0,"Check category",IF(COUNTIF(INDEX(Lists!$H$6:$AA$45,0,MATCH(C2812,Lists!$H$4:$AA$4,0)),D2812)=0,"Check sub-category","OK"))))</f>
        <v/>
      </c>
      <c r="P2812">
        <f>IF(ISNUMBER(I2812),I2812+ROW()/10000000,"")</f>
        <v/>
      </c>
      <c r="Q2812">
        <f>IF(AND(ISNUMBER(P2812),ISNUMBER(A2812)),IF(AND(A2812&gt;=Dashboard!$Q$3,A2812&lt;=Dashboard!$Q$4,OR(J2812&lt;&gt;"Yes",Dashboard!$Q$15="Yes")),P2812,""),"")</f>
        <v/>
      </c>
    </row>
    <row r="2813">
      <c r="A2813" s="47" t="n"/>
      <c r="B2813" s="48" t="n"/>
      <c r="C2813" s="48" t="n"/>
      <c r="D2813" s="48" t="n"/>
      <c r="E2813" s="48" t="n"/>
      <c r="F2813" s="48" t="n"/>
      <c r="G2813" s="48" t="n"/>
      <c r="H2813" s="48" t="n"/>
      <c r="I2813" s="49" t="n"/>
      <c r="J2813" s="50" t="n"/>
      <c r="K2813" s="48" t="n"/>
      <c r="L2813" s="51">
        <f>IF(A2813="","",DATE(YEAR(A2813),MONTH(A2813),1))</f>
        <v/>
      </c>
      <c r="M2813" s="52">
        <f>IF(OR(A2813="",NOT(ISNUMBER(I2813))),"",IF(G2813=Lists!$B$5,I2813/2,IF(G2813=Lists!$B$6,I2813,0)))</f>
        <v/>
      </c>
      <c r="N2813" s="52">
        <f>IF(OR(A2813="",NOT(ISNUMBER(I2813))),"",IF(G2813=Lists!$B$5,I2813/2,IF(G2813=Lists!$B$7,I2813,0)))</f>
        <v/>
      </c>
      <c r="O2813" s="53">
        <f>IF(COUNTA(A2813:K2813)=0,"",IF(OR(A2813="",B2813="",C2813="",D2813="",E2813="",F2813="",G2813="",NOT(ISNUMBER(I2813))),"Incomplete",IF(COUNTIF(Lists!$H$4:$AA$4,C2813)=0,"Check category",IF(COUNTIF(INDEX(Lists!$H$6:$AA$45,0,MATCH(C2813,Lists!$H$4:$AA$4,0)),D2813)=0,"Check sub-category","OK"))))</f>
        <v/>
      </c>
      <c r="P2813">
        <f>IF(ISNUMBER(I2813),I2813+ROW()/10000000,"")</f>
        <v/>
      </c>
      <c r="Q2813">
        <f>IF(AND(ISNUMBER(P2813),ISNUMBER(A2813)),IF(AND(A2813&gt;=Dashboard!$Q$3,A2813&lt;=Dashboard!$Q$4,OR(J2813&lt;&gt;"Yes",Dashboard!$Q$15="Yes")),P2813,""),"")</f>
        <v/>
      </c>
    </row>
    <row r="2814">
      <c r="A2814" s="47" t="n"/>
      <c r="B2814" s="48" t="n"/>
      <c r="C2814" s="48" t="n"/>
      <c r="D2814" s="48" t="n"/>
      <c r="E2814" s="48" t="n"/>
      <c r="F2814" s="48" t="n"/>
      <c r="G2814" s="48" t="n"/>
      <c r="H2814" s="48" t="n"/>
      <c r="I2814" s="49" t="n"/>
      <c r="J2814" s="50" t="n"/>
      <c r="K2814" s="48" t="n"/>
      <c r="L2814" s="51">
        <f>IF(A2814="","",DATE(YEAR(A2814),MONTH(A2814),1))</f>
        <v/>
      </c>
      <c r="M2814" s="52">
        <f>IF(OR(A2814="",NOT(ISNUMBER(I2814))),"",IF(G2814=Lists!$B$5,I2814/2,IF(G2814=Lists!$B$6,I2814,0)))</f>
        <v/>
      </c>
      <c r="N2814" s="52">
        <f>IF(OR(A2814="",NOT(ISNUMBER(I2814))),"",IF(G2814=Lists!$B$5,I2814/2,IF(G2814=Lists!$B$7,I2814,0)))</f>
        <v/>
      </c>
      <c r="O2814" s="53">
        <f>IF(COUNTA(A2814:K2814)=0,"",IF(OR(A2814="",B2814="",C2814="",D2814="",E2814="",F2814="",G2814="",NOT(ISNUMBER(I2814))),"Incomplete",IF(COUNTIF(Lists!$H$4:$AA$4,C2814)=0,"Check category",IF(COUNTIF(INDEX(Lists!$H$6:$AA$45,0,MATCH(C2814,Lists!$H$4:$AA$4,0)),D2814)=0,"Check sub-category","OK"))))</f>
        <v/>
      </c>
      <c r="P2814">
        <f>IF(ISNUMBER(I2814),I2814+ROW()/10000000,"")</f>
        <v/>
      </c>
      <c r="Q2814">
        <f>IF(AND(ISNUMBER(P2814),ISNUMBER(A2814)),IF(AND(A2814&gt;=Dashboard!$Q$3,A2814&lt;=Dashboard!$Q$4,OR(J2814&lt;&gt;"Yes",Dashboard!$Q$15="Yes")),P2814,""),"")</f>
        <v/>
      </c>
    </row>
    <row r="2815">
      <c r="A2815" s="47" t="n"/>
      <c r="B2815" s="48" t="n"/>
      <c r="C2815" s="48" t="n"/>
      <c r="D2815" s="48" t="n"/>
      <c r="E2815" s="48" t="n"/>
      <c r="F2815" s="48" t="n"/>
      <c r="G2815" s="48" t="n"/>
      <c r="H2815" s="48" t="n"/>
      <c r="I2815" s="49" t="n"/>
      <c r="J2815" s="50" t="n"/>
      <c r="K2815" s="48" t="n"/>
      <c r="L2815" s="51">
        <f>IF(A2815="","",DATE(YEAR(A2815),MONTH(A2815),1))</f>
        <v/>
      </c>
      <c r="M2815" s="52">
        <f>IF(OR(A2815="",NOT(ISNUMBER(I2815))),"",IF(G2815=Lists!$B$5,I2815/2,IF(G2815=Lists!$B$6,I2815,0)))</f>
        <v/>
      </c>
      <c r="N2815" s="52">
        <f>IF(OR(A2815="",NOT(ISNUMBER(I2815))),"",IF(G2815=Lists!$B$5,I2815/2,IF(G2815=Lists!$B$7,I2815,0)))</f>
        <v/>
      </c>
      <c r="O2815" s="53">
        <f>IF(COUNTA(A2815:K2815)=0,"",IF(OR(A2815="",B2815="",C2815="",D2815="",E2815="",F2815="",G2815="",NOT(ISNUMBER(I2815))),"Incomplete",IF(COUNTIF(Lists!$H$4:$AA$4,C2815)=0,"Check category",IF(COUNTIF(INDEX(Lists!$H$6:$AA$45,0,MATCH(C2815,Lists!$H$4:$AA$4,0)),D2815)=0,"Check sub-category","OK"))))</f>
        <v/>
      </c>
      <c r="P2815">
        <f>IF(ISNUMBER(I2815),I2815+ROW()/10000000,"")</f>
        <v/>
      </c>
      <c r="Q2815">
        <f>IF(AND(ISNUMBER(P2815),ISNUMBER(A2815)),IF(AND(A2815&gt;=Dashboard!$Q$3,A2815&lt;=Dashboard!$Q$4,OR(J2815&lt;&gt;"Yes",Dashboard!$Q$15="Yes")),P2815,""),"")</f>
        <v/>
      </c>
    </row>
    <row r="2816">
      <c r="A2816" s="47" t="n"/>
      <c r="B2816" s="48" t="n"/>
      <c r="C2816" s="48" t="n"/>
      <c r="D2816" s="48" t="n"/>
      <c r="E2816" s="48" t="n"/>
      <c r="F2816" s="48" t="n"/>
      <c r="G2816" s="48" t="n"/>
      <c r="H2816" s="48" t="n"/>
      <c r="I2816" s="49" t="n"/>
      <c r="J2816" s="50" t="n"/>
      <c r="K2816" s="48" t="n"/>
      <c r="L2816" s="51">
        <f>IF(A2816="","",DATE(YEAR(A2816),MONTH(A2816),1))</f>
        <v/>
      </c>
      <c r="M2816" s="52">
        <f>IF(OR(A2816="",NOT(ISNUMBER(I2816))),"",IF(G2816=Lists!$B$5,I2816/2,IF(G2816=Lists!$B$6,I2816,0)))</f>
        <v/>
      </c>
      <c r="N2816" s="52">
        <f>IF(OR(A2816="",NOT(ISNUMBER(I2816))),"",IF(G2816=Lists!$B$5,I2816/2,IF(G2816=Lists!$B$7,I2816,0)))</f>
        <v/>
      </c>
      <c r="O2816" s="53">
        <f>IF(COUNTA(A2816:K2816)=0,"",IF(OR(A2816="",B2816="",C2816="",D2816="",E2816="",F2816="",G2816="",NOT(ISNUMBER(I2816))),"Incomplete",IF(COUNTIF(Lists!$H$4:$AA$4,C2816)=0,"Check category",IF(COUNTIF(INDEX(Lists!$H$6:$AA$45,0,MATCH(C2816,Lists!$H$4:$AA$4,0)),D2816)=0,"Check sub-category","OK"))))</f>
        <v/>
      </c>
      <c r="P2816">
        <f>IF(ISNUMBER(I2816),I2816+ROW()/10000000,"")</f>
        <v/>
      </c>
      <c r="Q2816">
        <f>IF(AND(ISNUMBER(P2816),ISNUMBER(A2816)),IF(AND(A2816&gt;=Dashboard!$Q$3,A2816&lt;=Dashboard!$Q$4,OR(J2816&lt;&gt;"Yes",Dashboard!$Q$15="Yes")),P2816,""),"")</f>
        <v/>
      </c>
    </row>
    <row r="2817">
      <c r="A2817" s="47" t="n"/>
      <c r="B2817" s="48" t="n"/>
      <c r="C2817" s="48" t="n"/>
      <c r="D2817" s="48" t="n"/>
      <c r="E2817" s="48" t="n"/>
      <c r="F2817" s="48" t="n"/>
      <c r="G2817" s="48" t="n"/>
      <c r="H2817" s="48" t="n"/>
      <c r="I2817" s="49" t="n"/>
      <c r="J2817" s="50" t="n"/>
      <c r="K2817" s="48" t="n"/>
      <c r="L2817" s="51">
        <f>IF(A2817="","",DATE(YEAR(A2817),MONTH(A2817),1))</f>
        <v/>
      </c>
      <c r="M2817" s="52">
        <f>IF(OR(A2817="",NOT(ISNUMBER(I2817))),"",IF(G2817=Lists!$B$5,I2817/2,IF(G2817=Lists!$B$6,I2817,0)))</f>
        <v/>
      </c>
      <c r="N2817" s="52">
        <f>IF(OR(A2817="",NOT(ISNUMBER(I2817))),"",IF(G2817=Lists!$B$5,I2817/2,IF(G2817=Lists!$B$7,I2817,0)))</f>
        <v/>
      </c>
      <c r="O2817" s="53">
        <f>IF(COUNTA(A2817:K2817)=0,"",IF(OR(A2817="",B2817="",C2817="",D2817="",E2817="",F2817="",G2817="",NOT(ISNUMBER(I2817))),"Incomplete",IF(COUNTIF(Lists!$H$4:$AA$4,C2817)=0,"Check category",IF(COUNTIF(INDEX(Lists!$H$6:$AA$45,0,MATCH(C2817,Lists!$H$4:$AA$4,0)),D2817)=0,"Check sub-category","OK"))))</f>
        <v/>
      </c>
      <c r="P2817">
        <f>IF(ISNUMBER(I2817),I2817+ROW()/10000000,"")</f>
        <v/>
      </c>
      <c r="Q2817">
        <f>IF(AND(ISNUMBER(P2817),ISNUMBER(A2817)),IF(AND(A2817&gt;=Dashboard!$Q$3,A2817&lt;=Dashboard!$Q$4,OR(J2817&lt;&gt;"Yes",Dashboard!$Q$15="Yes")),P2817,""),"")</f>
        <v/>
      </c>
    </row>
    <row r="2818">
      <c r="A2818" s="47" t="n"/>
      <c r="B2818" s="48" t="n"/>
      <c r="C2818" s="48" t="n"/>
      <c r="D2818" s="48" t="n"/>
      <c r="E2818" s="48" t="n"/>
      <c r="F2818" s="48" t="n"/>
      <c r="G2818" s="48" t="n"/>
      <c r="H2818" s="48" t="n"/>
      <c r="I2818" s="49" t="n"/>
      <c r="J2818" s="50" t="n"/>
      <c r="K2818" s="48" t="n"/>
      <c r="L2818" s="51">
        <f>IF(A2818="","",DATE(YEAR(A2818),MONTH(A2818),1))</f>
        <v/>
      </c>
      <c r="M2818" s="52">
        <f>IF(OR(A2818="",NOT(ISNUMBER(I2818))),"",IF(G2818=Lists!$B$5,I2818/2,IF(G2818=Lists!$B$6,I2818,0)))</f>
        <v/>
      </c>
      <c r="N2818" s="52">
        <f>IF(OR(A2818="",NOT(ISNUMBER(I2818))),"",IF(G2818=Lists!$B$5,I2818/2,IF(G2818=Lists!$B$7,I2818,0)))</f>
        <v/>
      </c>
      <c r="O2818" s="53">
        <f>IF(COUNTA(A2818:K2818)=0,"",IF(OR(A2818="",B2818="",C2818="",D2818="",E2818="",F2818="",G2818="",NOT(ISNUMBER(I2818))),"Incomplete",IF(COUNTIF(Lists!$H$4:$AA$4,C2818)=0,"Check category",IF(COUNTIF(INDEX(Lists!$H$6:$AA$45,0,MATCH(C2818,Lists!$H$4:$AA$4,0)),D2818)=0,"Check sub-category","OK"))))</f>
        <v/>
      </c>
      <c r="P2818">
        <f>IF(ISNUMBER(I2818),I2818+ROW()/10000000,"")</f>
        <v/>
      </c>
      <c r="Q2818">
        <f>IF(AND(ISNUMBER(P2818),ISNUMBER(A2818)),IF(AND(A2818&gt;=Dashboard!$Q$3,A2818&lt;=Dashboard!$Q$4,OR(J2818&lt;&gt;"Yes",Dashboard!$Q$15="Yes")),P2818,""),"")</f>
        <v/>
      </c>
    </row>
    <row r="2819">
      <c r="A2819" s="47" t="n"/>
      <c r="B2819" s="48" t="n"/>
      <c r="C2819" s="48" t="n"/>
      <c r="D2819" s="48" t="n"/>
      <c r="E2819" s="48" t="n"/>
      <c r="F2819" s="48" t="n"/>
      <c r="G2819" s="48" t="n"/>
      <c r="H2819" s="48" t="n"/>
      <c r="I2819" s="49" t="n"/>
      <c r="J2819" s="50" t="n"/>
      <c r="K2819" s="48" t="n"/>
      <c r="L2819" s="51">
        <f>IF(A2819="","",DATE(YEAR(A2819),MONTH(A2819),1))</f>
        <v/>
      </c>
      <c r="M2819" s="52">
        <f>IF(OR(A2819="",NOT(ISNUMBER(I2819))),"",IF(G2819=Lists!$B$5,I2819/2,IF(G2819=Lists!$B$6,I2819,0)))</f>
        <v/>
      </c>
      <c r="N2819" s="52">
        <f>IF(OR(A2819="",NOT(ISNUMBER(I2819))),"",IF(G2819=Lists!$B$5,I2819/2,IF(G2819=Lists!$B$7,I2819,0)))</f>
        <v/>
      </c>
      <c r="O2819" s="53">
        <f>IF(COUNTA(A2819:K2819)=0,"",IF(OR(A2819="",B2819="",C2819="",D2819="",E2819="",F2819="",G2819="",NOT(ISNUMBER(I2819))),"Incomplete",IF(COUNTIF(Lists!$H$4:$AA$4,C2819)=0,"Check category",IF(COUNTIF(INDEX(Lists!$H$6:$AA$45,0,MATCH(C2819,Lists!$H$4:$AA$4,0)),D2819)=0,"Check sub-category","OK"))))</f>
        <v/>
      </c>
      <c r="P2819">
        <f>IF(ISNUMBER(I2819),I2819+ROW()/10000000,"")</f>
        <v/>
      </c>
      <c r="Q2819">
        <f>IF(AND(ISNUMBER(P2819),ISNUMBER(A2819)),IF(AND(A2819&gt;=Dashboard!$Q$3,A2819&lt;=Dashboard!$Q$4,OR(J2819&lt;&gt;"Yes",Dashboard!$Q$15="Yes")),P2819,""),"")</f>
        <v/>
      </c>
    </row>
    <row r="2820">
      <c r="A2820" s="47" t="n"/>
      <c r="B2820" s="48" t="n"/>
      <c r="C2820" s="48" t="n"/>
      <c r="D2820" s="48" t="n"/>
      <c r="E2820" s="48" t="n"/>
      <c r="F2820" s="48" t="n"/>
      <c r="G2820" s="48" t="n"/>
      <c r="H2820" s="48" t="n"/>
      <c r="I2820" s="49" t="n"/>
      <c r="J2820" s="50" t="n"/>
      <c r="K2820" s="48" t="n"/>
      <c r="L2820" s="51">
        <f>IF(A2820="","",DATE(YEAR(A2820),MONTH(A2820),1))</f>
        <v/>
      </c>
      <c r="M2820" s="52">
        <f>IF(OR(A2820="",NOT(ISNUMBER(I2820))),"",IF(G2820=Lists!$B$5,I2820/2,IF(G2820=Lists!$B$6,I2820,0)))</f>
        <v/>
      </c>
      <c r="N2820" s="52">
        <f>IF(OR(A2820="",NOT(ISNUMBER(I2820))),"",IF(G2820=Lists!$B$5,I2820/2,IF(G2820=Lists!$B$7,I2820,0)))</f>
        <v/>
      </c>
      <c r="O2820" s="53">
        <f>IF(COUNTA(A2820:K2820)=0,"",IF(OR(A2820="",B2820="",C2820="",D2820="",E2820="",F2820="",G2820="",NOT(ISNUMBER(I2820))),"Incomplete",IF(COUNTIF(Lists!$H$4:$AA$4,C2820)=0,"Check category",IF(COUNTIF(INDEX(Lists!$H$6:$AA$45,0,MATCH(C2820,Lists!$H$4:$AA$4,0)),D2820)=0,"Check sub-category","OK"))))</f>
        <v/>
      </c>
      <c r="P2820">
        <f>IF(ISNUMBER(I2820),I2820+ROW()/10000000,"")</f>
        <v/>
      </c>
      <c r="Q2820">
        <f>IF(AND(ISNUMBER(P2820),ISNUMBER(A2820)),IF(AND(A2820&gt;=Dashboard!$Q$3,A2820&lt;=Dashboard!$Q$4,OR(J2820&lt;&gt;"Yes",Dashboard!$Q$15="Yes")),P2820,""),"")</f>
        <v/>
      </c>
    </row>
    <row r="2821">
      <c r="A2821" s="47" t="n"/>
      <c r="B2821" s="48" t="n"/>
      <c r="C2821" s="48" t="n"/>
      <c r="D2821" s="48" t="n"/>
      <c r="E2821" s="48" t="n"/>
      <c r="F2821" s="48" t="n"/>
      <c r="G2821" s="48" t="n"/>
      <c r="H2821" s="48" t="n"/>
      <c r="I2821" s="49" t="n"/>
      <c r="J2821" s="50" t="n"/>
      <c r="K2821" s="48" t="n"/>
      <c r="L2821" s="51">
        <f>IF(A2821="","",DATE(YEAR(A2821),MONTH(A2821),1))</f>
        <v/>
      </c>
      <c r="M2821" s="52">
        <f>IF(OR(A2821="",NOT(ISNUMBER(I2821))),"",IF(G2821=Lists!$B$5,I2821/2,IF(G2821=Lists!$B$6,I2821,0)))</f>
        <v/>
      </c>
      <c r="N2821" s="52">
        <f>IF(OR(A2821="",NOT(ISNUMBER(I2821))),"",IF(G2821=Lists!$B$5,I2821/2,IF(G2821=Lists!$B$7,I2821,0)))</f>
        <v/>
      </c>
      <c r="O2821" s="53">
        <f>IF(COUNTA(A2821:K2821)=0,"",IF(OR(A2821="",B2821="",C2821="",D2821="",E2821="",F2821="",G2821="",NOT(ISNUMBER(I2821))),"Incomplete",IF(COUNTIF(Lists!$H$4:$AA$4,C2821)=0,"Check category",IF(COUNTIF(INDEX(Lists!$H$6:$AA$45,0,MATCH(C2821,Lists!$H$4:$AA$4,0)),D2821)=0,"Check sub-category","OK"))))</f>
        <v/>
      </c>
      <c r="P2821">
        <f>IF(ISNUMBER(I2821),I2821+ROW()/10000000,"")</f>
        <v/>
      </c>
      <c r="Q2821">
        <f>IF(AND(ISNUMBER(P2821),ISNUMBER(A2821)),IF(AND(A2821&gt;=Dashboard!$Q$3,A2821&lt;=Dashboard!$Q$4,OR(J2821&lt;&gt;"Yes",Dashboard!$Q$15="Yes")),P2821,""),"")</f>
        <v/>
      </c>
    </row>
    <row r="2822">
      <c r="A2822" s="47" t="n"/>
      <c r="B2822" s="48" t="n"/>
      <c r="C2822" s="48" t="n"/>
      <c r="D2822" s="48" t="n"/>
      <c r="E2822" s="48" t="n"/>
      <c r="F2822" s="48" t="n"/>
      <c r="G2822" s="48" t="n"/>
      <c r="H2822" s="48" t="n"/>
      <c r="I2822" s="49" t="n"/>
      <c r="J2822" s="50" t="n"/>
      <c r="K2822" s="48" t="n"/>
      <c r="L2822" s="51">
        <f>IF(A2822="","",DATE(YEAR(A2822),MONTH(A2822),1))</f>
        <v/>
      </c>
      <c r="M2822" s="52">
        <f>IF(OR(A2822="",NOT(ISNUMBER(I2822))),"",IF(G2822=Lists!$B$5,I2822/2,IF(G2822=Lists!$B$6,I2822,0)))</f>
        <v/>
      </c>
      <c r="N2822" s="52">
        <f>IF(OR(A2822="",NOT(ISNUMBER(I2822))),"",IF(G2822=Lists!$B$5,I2822/2,IF(G2822=Lists!$B$7,I2822,0)))</f>
        <v/>
      </c>
      <c r="O2822" s="53">
        <f>IF(COUNTA(A2822:K2822)=0,"",IF(OR(A2822="",B2822="",C2822="",D2822="",E2822="",F2822="",G2822="",NOT(ISNUMBER(I2822))),"Incomplete",IF(COUNTIF(Lists!$H$4:$AA$4,C2822)=0,"Check category",IF(COUNTIF(INDEX(Lists!$H$6:$AA$45,0,MATCH(C2822,Lists!$H$4:$AA$4,0)),D2822)=0,"Check sub-category","OK"))))</f>
        <v/>
      </c>
      <c r="P2822">
        <f>IF(ISNUMBER(I2822),I2822+ROW()/10000000,"")</f>
        <v/>
      </c>
      <c r="Q2822">
        <f>IF(AND(ISNUMBER(P2822),ISNUMBER(A2822)),IF(AND(A2822&gt;=Dashboard!$Q$3,A2822&lt;=Dashboard!$Q$4,OR(J2822&lt;&gt;"Yes",Dashboard!$Q$15="Yes")),P2822,""),"")</f>
        <v/>
      </c>
    </row>
    <row r="2823">
      <c r="A2823" s="47" t="n"/>
      <c r="B2823" s="48" t="n"/>
      <c r="C2823" s="48" t="n"/>
      <c r="D2823" s="48" t="n"/>
      <c r="E2823" s="48" t="n"/>
      <c r="F2823" s="48" t="n"/>
      <c r="G2823" s="48" t="n"/>
      <c r="H2823" s="48" t="n"/>
      <c r="I2823" s="49" t="n"/>
      <c r="J2823" s="50" t="n"/>
      <c r="K2823" s="48" t="n"/>
      <c r="L2823" s="51">
        <f>IF(A2823="","",DATE(YEAR(A2823),MONTH(A2823),1))</f>
        <v/>
      </c>
      <c r="M2823" s="52">
        <f>IF(OR(A2823="",NOT(ISNUMBER(I2823))),"",IF(G2823=Lists!$B$5,I2823/2,IF(G2823=Lists!$B$6,I2823,0)))</f>
        <v/>
      </c>
      <c r="N2823" s="52">
        <f>IF(OR(A2823="",NOT(ISNUMBER(I2823))),"",IF(G2823=Lists!$B$5,I2823/2,IF(G2823=Lists!$B$7,I2823,0)))</f>
        <v/>
      </c>
      <c r="O2823" s="53">
        <f>IF(COUNTA(A2823:K2823)=0,"",IF(OR(A2823="",B2823="",C2823="",D2823="",E2823="",F2823="",G2823="",NOT(ISNUMBER(I2823))),"Incomplete",IF(COUNTIF(Lists!$H$4:$AA$4,C2823)=0,"Check category",IF(COUNTIF(INDEX(Lists!$H$6:$AA$45,0,MATCH(C2823,Lists!$H$4:$AA$4,0)),D2823)=0,"Check sub-category","OK"))))</f>
        <v/>
      </c>
      <c r="P2823">
        <f>IF(ISNUMBER(I2823),I2823+ROW()/10000000,"")</f>
        <v/>
      </c>
      <c r="Q2823">
        <f>IF(AND(ISNUMBER(P2823),ISNUMBER(A2823)),IF(AND(A2823&gt;=Dashboard!$Q$3,A2823&lt;=Dashboard!$Q$4,OR(J2823&lt;&gt;"Yes",Dashboard!$Q$15="Yes")),P2823,""),"")</f>
        <v/>
      </c>
    </row>
    <row r="2824">
      <c r="A2824" s="47" t="n"/>
      <c r="B2824" s="48" t="n"/>
      <c r="C2824" s="48" t="n"/>
      <c r="D2824" s="48" t="n"/>
      <c r="E2824" s="48" t="n"/>
      <c r="F2824" s="48" t="n"/>
      <c r="G2824" s="48" t="n"/>
      <c r="H2824" s="48" t="n"/>
      <c r="I2824" s="49" t="n"/>
      <c r="J2824" s="50" t="n"/>
      <c r="K2824" s="48" t="n"/>
      <c r="L2824" s="51">
        <f>IF(A2824="","",DATE(YEAR(A2824),MONTH(A2824),1))</f>
        <v/>
      </c>
      <c r="M2824" s="52">
        <f>IF(OR(A2824="",NOT(ISNUMBER(I2824))),"",IF(G2824=Lists!$B$5,I2824/2,IF(G2824=Lists!$B$6,I2824,0)))</f>
        <v/>
      </c>
      <c r="N2824" s="52">
        <f>IF(OR(A2824="",NOT(ISNUMBER(I2824))),"",IF(G2824=Lists!$B$5,I2824/2,IF(G2824=Lists!$B$7,I2824,0)))</f>
        <v/>
      </c>
      <c r="O2824" s="53">
        <f>IF(COUNTA(A2824:K2824)=0,"",IF(OR(A2824="",B2824="",C2824="",D2824="",E2824="",F2824="",G2824="",NOT(ISNUMBER(I2824))),"Incomplete",IF(COUNTIF(Lists!$H$4:$AA$4,C2824)=0,"Check category",IF(COUNTIF(INDEX(Lists!$H$6:$AA$45,0,MATCH(C2824,Lists!$H$4:$AA$4,0)),D2824)=0,"Check sub-category","OK"))))</f>
        <v/>
      </c>
      <c r="P2824">
        <f>IF(ISNUMBER(I2824),I2824+ROW()/10000000,"")</f>
        <v/>
      </c>
      <c r="Q2824">
        <f>IF(AND(ISNUMBER(P2824),ISNUMBER(A2824)),IF(AND(A2824&gt;=Dashboard!$Q$3,A2824&lt;=Dashboard!$Q$4,OR(J2824&lt;&gt;"Yes",Dashboard!$Q$15="Yes")),P2824,""),"")</f>
        <v/>
      </c>
    </row>
    <row r="2825">
      <c r="A2825" s="47" t="n"/>
      <c r="B2825" s="48" t="n"/>
      <c r="C2825" s="48" t="n"/>
      <c r="D2825" s="48" t="n"/>
      <c r="E2825" s="48" t="n"/>
      <c r="F2825" s="48" t="n"/>
      <c r="G2825" s="48" t="n"/>
      <c r="H2825" s="48" t="n"/>
      <c r="I2825" s="49" t="n"/>
      <c r="J2825" s="50" t="n"/>
      <c r="K2825" s="48" t="n"/>
      <c r="L2825" s="51">
        <f>IF(A2825="","",DATE(YEAR(A2825),MONTH(A2825),1))</f>
        <v/>
      </c>
      <c r="M2825" s="52">
        <f>IF(OR(A2825="",NOT(ISNUMBER(I2825))),"",IF(G2825=Lists!$B$5,I2825/2,IF(G2825=Lists!$B$6,I2825,0)))</f>
        <v/>
      </c>
      <c r="N2825" s="52">
        <f>IF(OR(A2825="",NOT(ISNUMBER(I2825))),"",IF(G2825=Lists!$B$5,I2825/2,IF(G2825=Lists!$B$7,I2825,0)))</f>
        <v/>
      </c>
      <c r="O2825" s="53">
        <f>IF(COUNTA(A2825:K2825)=0,"",IF(OR(A2825="",B2825="",C2825="",D2825="",E2825="",F2825="",G2825="",NOT(ISNUMBER(I2825))),"Incomplete",IF(COUNTIF(Lists!$H$4:$AA$4,C2825)=0,"Check category",IF(COUNTIF(INDEX(Lists!$H$6:$AA$45,0,MATCH(C2825,Lists!$H$4:$AA$4,0)),D2825)=0,"Check sub-category","OK"))))</f>
        <v/>
      </c>
      <c r="P2825">
        <f>IF(ISNUMBER(I2825),I2825+ROW()/10000000,"")</f>
        <v/>
      </c>
      <c r="Q2825">
        <f>IF(AND(ISNUMBER(P2825),ISNUMBER(A2825)),IF(AND(A2825&gt;=Dashboard!$Q$3,A2825&lt;=Dashboard!$Q$4,OR(J2825&lt;&gt;"Yes",Dashboard!$Q$15="Yes")),P2825,""),"")</f>
        <v/>
      </c>
    </row>
    <row r="2826">
      <c r="A2826" s="47" t="n"/>
      <c r="B2826" s="48" t="n"/>
      <c r="C2826" s="48" t="n"/>
      <c r="D2826" s="48" t="n"/>
      <c r="E2826" s="48" t="n"/>
      <c r="F2826" s="48" t="n"/>
      <c r="G2826" s="48" t="n"/>
      <c r="H2826" s="48" t="n"/>
      <c r="I2826" s="49" t="n"/>
      <c r="J2826" s="50" t="n"/>
      <c r="K2826" s="48" t="n"/>
      <c r="L2826" s="51">
        <f>IF(A2826="","",DATE(YEAR(A2826),MONTH(A2826),1))</f>
        <v/>
      </c>
      <c r="M2826" s="52">
        <f>IF(OR(A2826="",NOT(ISNUMBER(I2826))),"",IF(G2826=Lists!$B$5,I2826/2,IF(G2826=Lists!$B$6,I2826,0)))</f>
        <v/>
      </c>
      <c r="N2826" s="52">
        <f>IF(OR(A2826="",NOT(ISNUMBER(I2826))),"",IF(G2826=Lists!$B$5,I2826/2,IF(G2826=Lists!$B$7,I2826,0)))</f>
        <v/>
      </c>
      <c r="O2826" s="53">
        <f>IF(COUNTA(A2826:K2826)=0,"",IF(OR(A2826="",B2826="",C2826="",D2826="",E2826="",F2826="",G2826="",NOT(ISNUMBER(I2826))),"Incomplete",IF(COUNTIF(Lists!$H$4:$AA$4,C2826)=0,"Check category",IF(COUNTIF(INDEX(Lists!$H$6:$AA$45,0,MATCH(C2826,Lists!$H$4:$AA$4,0)),D2826)=0,"Check sub-category","OK"))))</f>
        <v/>
      </c>
      <c r="P2826">
        <f>IF(ISNUMBER(I2826),I2826+ROW()/10000000,"")</f>
        <v/>
      </c>
      <c r="Q2826">
        <f>IF(AND(ISNUMBER(P2826),ISNUMBER(A2826)),IF(AND(A2826&gt;=Dashboard!$Q$3,A2826&lt;=Dashboard!$Q$4,OR(J2826&lt;&gt;"Yes",Dashboard!$Q$15="Yes")),P2826,""),"")</f>
        <v/>
      </c>
    </row>
    <row r="2827">
      <c r="A2827" s="47" t="n"/>
      <c r="B2827" s="48" t="n"/>
      <c r="C2827" s="48" t="n"/>
      <c r="D2827" s="48" t="n"/>
      <c r="E2827" s="48" t="n"/>
      <c r="F2827" s="48" t="n"/>
      <c r="G2827" s="48" t="n"/>
      <c r="H2827" s="48" t="n"/>
      <c r="I2827" s="49" t="n"/>
      <c r="J2827" s="50" t="n"/>
      <c r="K2827" s="48" t="n"/>
      <c r="L2827" s="51">
        <f>IF(A2827="","",DATE(YEAR(A2827),MONTH(A2827),1))</f>
        <v/>
      </c>
      <c r="M2827" s="52">
        <f>IF(OR(A2827="",NOT(ISNUMBER(I2827))),"",IF(G2827=Lists!$B$5,I2827/2,IF(G2827=Lists!$B$6,I2827,0)))</f>
        <v/>
      </c>
      <c r="N2827" s="52">
        <f>IF(OR(A2827="",NOT(ISNUMBER(I2827))),"",IF(G2827=Lists!$B$5,I2827/2,IF(G2827=Lists!$B$7,I2827,0)))</f>
        <v/>
      </c>
      <c r="O2827" s="53">
        <f>IF(COUNTA(A2827:K2827)=0,"",IF(OR(A2827="",B2827="",C2827="",D2827="",E2827="",F2827="",G2827="",NOT(ISNUMBER(I2827))),"Incomplete",IF(COUNTIF(Lists!$H$4:$AA$4,C2827)=0,"Check category",IF(COUNTIF(INDEX(Lists!$H$6:$AA$45,0,MATCH(C2827,Lists!$H$4:$AA$4,0)),D2827)=0,"Check sub-category","OK"))))</f>
        <v/>
      </c>
      <c r="P2827">
        <f>IF(ISNUMBER(I2827),I2827+ROW()/10000000,"")</f>
        <v/>
      </c>
      <c r="Q2827">
        <f>IF(AND(ISNUMBER(P2827),ISNUMBER(A2827)),IF(AND(A2827&gt;=Dashboard!$Q$3,A2827&lt;=Dashboard!$Q$4,OR(J2827&lt;&gt;"Yes",Dashboard!$Q$15="Yes")),P2827,""),"")</f>
        <v/>
      </c>
    </row>
    <row r="2828">
      <c r="A2828" s="47" t="n"/>
      <c r="B2828" s="48" t="n"/>
      <c r="C2828" s="48" t="n"/>
      <c r="D2828" s="48" t="n"/>
      <c r="E2828" s="48" t="n"/>
      <c r="F2828" s="48" t="n"/>
      <c r="G2828" s="48" t="n"/>
      <c r="H2828" s="48" t="n"/>
      <c r="I2828" s="49" t="n"/>
      <c r="J2828" s="50" t="n"/>
      <c r="K2828" s="48" t="n"/>
      <c r="L2828" s="51">
        <f>IF(A2828="","",DATE(YEAR(A2828),MONTH(A2828),1))</f>
        <v/>
      </c>
      <c r="M2828" s="52">
        <f>IF(OR(A2828="",NOT(ISNUMBER(I2828))),"",IF(G2828=Lists!$B$5,I2828/2,IF(G2828=Lists!$B$6,I2828,0)))</f>
        <v/>
      </c>
      <c r="N2828" s="52">
        <f>IF(OR(A2828="",NOT(ISNUMBER(I2828))),"",IF(G2828=Lists!$B$5,I2828/2,IF(G2828=Lists!$B$7,I2828,0)))</f>
        <v/>
      </c>
      <c r="O2828" s="53">
        <f>IF(COUNTA(A2828:K2828)=0,"",IF(OR(A2828="",B2828="",C2828="",D2828="",E2828="",F2828="",G2828="",NOT(ISNUMBER(I2828))),"Incomplete",IF(COUNTIF(Lists!$H$4:$AA$4,C2828)=0,"Check category",IF(COUNTIF(INDEX(Lists!$H$6:$AA$45,0,MATCH(C2828,Lists!$H$4:$AA$4,0)),D2828)=0,"Check sub-category","OK"))))</f>
        <v/>
      </c>
      <c r="P2828">
        <f>IF(ISNUMBER(I2828),I2828+ROW()/10000000,"")</f>
        <v/>
      </c>
      <c r="Q2828">
        <f>IF(AND(ISNUMBER(P2828),ISNUMBER(A2828)),IF(AND(A2828&gt;=Dashboard!$Q$3,A2828&lt;=Dashboard!$Q$4,OR(J2828&lt;&gt;"Yes",Dashboard!$Q$15="Yes")),P2828,""),"")</f>
        <v/>
      </c>
    </row>
    <row r="2829">
      <c r="A2829" s="47" t="n"/>
      <c r="B2829" s="48" t="n"/>
      <c r="C2829" s="48" t="n"/>
      <c r="D2829" s="48" t="n"/>
      <c r="E2829" s="48" t="n"/>
      <c r="F2829" s="48" t="n"/>
      <c r="G2829" s="48" t="n"/>
      <c r="H2829" s="48" t="n"/>
      <c r="I2829" s="49" t="n"/>
      <c r="J2829" s="50" t="n"/>
      <c r="K2829" s="48" t="n"/>
      <c r="L2829" s="51">
        <f>IF(A2829="","",DATE(YEAR(A2829),MONTH(A2829),1))</f>
        <v/>
      </c>
      <c r="M2829" s="52">
        <f>IF(OR(A2829="",NOT(ISNUMBER(I2829))),"",IF(G2829=Lists!$B$5,I2829/2,IF(G2829=Lists!$B$6,I2829,0)))</f>
        <v/>
      </c>
      <c r="N2829" s="52">
        <f>IF(OR(A2829="",NOT(ISNUMBER(I2829))),"",IF(G2829=Lists!$B$5,I2829/2,IF(G2829=Lists!$B$7,I2829,0)))</f>
        <v/>
      </c>
      <c r="O2829" s="53">
        <f>IF(COUNTA(A2829:K2829)=0,"",IF(OR(A2829="",B2829="",C2829="",D2829="",E2829="",F2829="",G2829="",NOT(ISNUMBER(I2829))),"Incomplete",IF(COUNTIF(Lists!$H$4:$AA$4,C2829)=0,"Check category",IF(COUNTIF(INDEX(Lists!$H$6:$AA$45,0,MATCH(C2829,Lists!$H$4:$AA$4,0)),D2829)=0,"Check sub-category","OK"))))</f>
        <v/>
      </c>
      <c r="P2829">
        <f>IF(ISNUMBER(I2829),I2829+ROW()/10000000,"")</f>
        <v/>
      </c>
      <c r="Q2829">
        <f>IF(AND(ISNUMBER(P2829),ISNUMBER(A2829)),IF(AND(A2829&gt;=Dashboard!$Q$3,A2829&lt;=Dashboard!$Q$4,OR(J2829&lt;&gt;"Yes",Dashboard!$Q$15="Yes")),P2829,""),"")</f>
        <v/>
      </c>
    </row>
    <row r="2830">
      <c r="A2830" s="47" t="n"/>
      <c r="B2830" s="48" t="n"/>
      <c r="C2830" s="48" t="n"/>
      <c r="D2830" s="48" t="n"/>
      <c r="E2830" s="48" t="n"/>
      <c r="F2830" s="48" t="n"/>
      <c r="G2830" s="48" t="n"/>
      <c r="H2830" s="48" t="n"/>
      <c r="I2830" s="49" t="n"/>
      <c r="J2830" s="50" t="n"/>
      <c r="K2830" s="48" t="n"/>
      <c r="L2830" s="51">
        <f>IF(A2830="","",DATE(YEAR(A2830),MONTH(A2830),1))</f>
        <v/>
      </c>
      <c r="M2830" s="52">
        <f>IF(OR(A2830="",NOT(ISNUMBER(I2830))),"",IF(G2830=Lists!$B$5,I2830/2,IF(G2830=Lists!$B$6,I2830,0)))</f>
        <v/>
      </c>
      <c r="N2830" s="52">
        <f>IF(OR(A2830="",NOT(ISNUMBER(I2830))),"",IF(G2830=Lists!$B$5,I2830/2,IF(G2830=Lists!$B$7,I2830,0)))</f>
        <v/>
      </c>
      <c r="O2830" s="53">
        <f>IF(COUNTA(A2830:K2830)=0,"",IF(OR(A2830="",B2830="",C2830="",D2830="",E2830="",F2830="",G2830="",NOT(ISNUMBER(I2830))),"Incomplete",IF(COUNTIF(Lists!$H$4:$AA$4,C2830)=0,"Check category",IF(COUNTIF(INDEX(Lists!$H$6:$AA$45,0,MATCH(C2830,Lists!$H$4:$AA$4,0)),D2830)=0,"Check sub-category","OK"))))</f>
        <v/>
      </c>
      <c r="P2830">
        <f>IF(ISNUMBER(I2830),I2830+ROW()/10000000,"")</f>
        <v/>
      </c>
      <c r="Q2830">
        <f>IF(AND(ISNUMBER(P2830),ISNUMBER(A2830)),IF(AND(A2830&gt;=Dashboard!$Q$3,A2830&lt;=Dashboard!$Q$4,OR(J2830&lt;&gt;"Yes",Dashboard!$Q$15="Yes")),P2830,""),"")</f>
        <v/>
      </c>
    </row>
    <row r="2831">
      <c r="A2831" s="47" t="n"/>
      <c r="B2831" s="48" t="n"/>
      <c r="C2831" s="48" t="n"/>
      <c r="D2831" s="48" t="n"/>
      <c r="E2831" s="48" t="n"/>
      <c r="F2831" s="48" t="n"/>
      <c r="G2831" s="48" t="n"/>
      <c r="H2831" s="48" t="n"/>
      <c r="I2831" s="49" t="n"/>
      <c r="J2831" s="50" t="n"/>
      <c r="K2831" s="48" t="n"/>
      <c r="L2831" s="51">
        <f>IF(A2831="","",DATE(YEAR(A2831),MONTH(A2831),1))</f>
        <v/>
      </c>
      <c r="M2831" s="52">
        <f>IF(OR(A2831="",NOT(ISNUMBER(I2831))),"",IF(G2831=Lists!$B$5,I2831/2,IF(G2831=Lists!$B$6,I2831,0)))</f>
        <v/>
      </c>
      <c r="N2831" s="52">
        <f>IF(OR(A2831="",NOT(ISNUMBER(I2831))),"",IF(G2831=Lists!$B$5,I2831/2,IF(G2831=Lists!$B$7,I2831,0)))</f>
        <v/>
      </c>
      <c r="O2831" s="53">
        <f>IF(COUNTA(A2831:K2831)=0,"",IF(OR(A2831="",B2831="",C2831="",D2831="",E2831="",F2831="",G2831="",NOT(ISNUMBER(I2831))),"Incomplete",IF(COUNTIF(Lists!$H$4:$AA$4,C2831)=0,"Check category",IF(COUNTIF(INDEX(Lists!$H$6:$AA$45,0,MATCH(C2831,Lists!$H$4:$AA$4,0)),D2831)=0,"Check sub-category","OK"))))</f>
        <v/>
      </c>
      <c r="P2831">
        <f>IF(ISNUMBER(I2831),I2831+ROW()/10000000,"")</f>
        <v/>
      </c>
      <c r="Q2831">
        <f>IF(AND(ISNUMBER(P2831),ISNUMBER(A2831)),IF(AND(A2831&gt;=Dashboard!$Q$3,A2831&lt;=Dashboard!$Q$4,OR(J2831&lt;&gt;"Yes",Dashboard!$Q$15="Yes")),P2831,""),"")</f>
        <v/>
      </c>
    </row>
    <row r="2832">
      <c r="A2832" s="47" t="n"/>
      <c r="B2832" s="48" t="n"/>
      <c r="C2832" s="48" t="n"/>
      <c r="D2832" s="48" t="n"/>
      <c r="E2832" s="48" t="n"/>
      <c r="F2832" s="48" t="n"/>
      <c r="G2832" s="48" t="n"/>
      <c r="H2832" s="48" t="n"/>
      <c r="I2832" s="49" t="n"/>
      <c r="J2832" s="50" t="n"/>
      <c r="K2832" s="48" t="n"/>
      <c r="L2832" s="51">
        <f>IF(A2832="","",DATE(YEAR(A2832),MONTH(A2832),1))</f>
        <v/>
      </c>
      <c r="M2832" s="52">
        <f>IF(OR(A2832="",NOT(ISNUMBER(I2832))),"",IF(G2832=Lists!$B$5,I2832/2,IF(G2832=Lists!$B$6,I2832,0)))</f>
        <v/>
      </c>
      <c r="N2832" s="52">
        <f>IF(OR(A2832="",NOT(ISNUMBER(I2832))),"",IF(G2832=Lists!$B$5,I2832/2,IF(G2832=Lists!$B$7,I2832,0)))</f>
        <v/>
      </c>
      <c r="O2832" s="53">
        <f>IF(COUNTA(A2832:K2832)=0,"",IF(OR(A2832="",B2832="",C2832="",D2832="",E2832="",F2832="",G2832="",NOT(ISNUMBER(I2832))),"Incomplete",IF(COUNTIF(Lists!$H$4:$AA$4,C2832)=0,"Check category",IF(COUNTIF(INDEX(Lists!$H$6:$AA$45,0,MATCH(C2832,Lists!$H$4:$AA$4,0)),D2832)=0,"Check sub-category","OK"))))</f>
        <v/>
      </c>
      <c r="P2832">
        <f>IF(ISNUMBER(I2832),I2832+ROW()/10000000,"")</f>
        <v/>
      </c>
      <c r="Q2832">
        <f>IF(AND(ISNUMBER(P2832),ISNUMBER(A2832)),IF(AND(A2832&gt;=Dashboard!$Q$3,A2832&lt;=Dashboard!$Q$4,OR(J2832&lt;&gt;"Yes",Dashboard!$Q$15="Yes")),P2832,""),"")</f>
        <v/>
      </c>
    </row>
    <row r="2833">
      <c r="A2833" s="47" t="n"/>
      <c r="B2833" s="48" t="n"/>
      <c r="C2833" s="48" t="n"/>
      <c r="D2833" s="48" t="n"/>
      <c r="E2833" s="48" t="n"/>
      <c r="F2833" s="48" t="n"/>
      <c r="G2833" s="48" t="n"/>
      <c r="H2833" s="48" t="n"/>
      <c r="I2833" s="49" t="n"/>
      <c r="J2833" s="50" t="n"/>
      <c r="K2833" s="48" t="n"/>
      <c r="L2833" s="51">
        <f>IF(A2833="","",DATE(YEAR(A2833),MONTH(A2833),1))</f>
        <v/>
      </c>
      <c r="M2833" s="52">
        <f>IF(OR(A2833="",NOT(ISNUMBER(I2833))),"",IF(G2833=Lists!$B$5,I2833/2,IF(G2833=Lists!$B$6,I2833,0)))</f>
        <v/>
      </c>
      <c r="N2833" s="52">
        <f>IF(OR(A2833="",NOT(ISNUMBER(I2833))),"",IF(G2833=Lists!$B$5,I2833/2,IF(G2833=Lists!$B$7,I2833,0)))</f>
        <v/>
      </c>
      <c r="O2833" s="53">
        <f>IF(COUNTA(A2833:K2833)=0,"",IF(OR(A2833="",B2833="",C2833="",D2833="",E2833="",F2833="",G2833="",NOT(ISNUMBER(I2833))),"Incomplete",IF(COUNTIF(Lists!$H$4:$AA$4,C2833)=0,"Check category",IF(COUNTIF(INDEX(Lists!$H$6:$AA$45,0,MATCH(C2833,Lists!$H$4:$AA$4,0)),D2833)=0,"Check sub-category","OK"))))</f>
        <v/>
      </c>
      <c r="P2833">
        <f>IF(ISNUMBER(I2833),I2833+ROW()/10000000,"")</f>
        <v/>
      </c>
      <c r="Q2833">
        <f>IF(AND(ISNUMBER(P2833),ISNUMBER(A2833)),IF(AND(A2833&gt;=Dashboard!$Q$3,A2833&lt;=Dashboard!$Q$4,OR(J2833&lt;&gt;"Yes",Dashboard!$Q$15="Yes")),P2833,""),"")</f>
        <v/>
      </c>
    </row>
    <row r="2834">
      <c r="A2834" s="47" t="n"/>
      <c r="B2834" s="48" t="n"/>
      <c r="C2834" s="48" t="n"/>
      <c r="D2834" s="48" t="n"/>
      <c r="E2834" s="48" t="n"/>
      <c r="F2834" s="48" t="n"/>
      <c r="G2834" s="48" t="n"/>
      <c r="H2834" s="48" t="n"/>
      <c r="I2834" s="49" t="n"/>
      <c r="J2834" s="50" t="n"/>
      <c r="K2834" s="48" t="n"/>
      <c r="L2834" s="51">
        <f>IF(A2834="","",DATE(YEAR(A2834),MONTH(A2834),1))</f>
        <v/>
      </c>
      <c r="M2834" s="52">
        <f>IF(OR(A2834="",NOT(ISNUMBER(I2834))),"",IF(G2834=Lists!$B$5,I2834/2,IF(G2834=Lists!$B$6,I2834,0)))</f>
        <v/>
      </c>
      <c r="N2834" s="52">
        <f>IF(OR(A2834="",NOT(ISNUMBER(I2834))),"",IF(G2834=Lists!$B$5,I2834/2,IF(G2834=Lists!$B$7,I2834,0)))</f>
        <v/>
      </c>
      <c r="O2834" s="53">
        <f>IF(COUNTA(A2834:K2834)=0,"",IF(OR(A2834="",B2834="",C2834="",D2834="",E2834="",F2834="",G2834="",NOT(ISNUMBER(I2834))),"Incomplete",IF(COUNTIF(Lists!$H$4:$AA$4,C2834)=0,"Check category",IF(COUNTIF(INDEX(Lists!$H$6:$AA$45,0,MATCH(C2834,Lists!$H$4:$AA$4,0)),D2834)=0,"Check sub-category","OK"))))</f>
        <v/>
      </c>
      <c r="P2834">
        <f>IF(ISNUMBER(I2834),I2834+ROW()/10000000,"")</f>
        <v/>
      </c>
      <c r="Q2834">
        <f>IF(AND(ISNUMBER(P2834),ISNUMBER(A2834)),IF(AND(A2834&gt;=Dashboard!$Q$3,A2834&lt;=Dashboard!$Q$4,OR(J2834&lt;&gt;"Yes",Dashboard!$Q$15="Yes")),P2834,""),"")</f>
        <v/>
      </c>
    </row>
    <row r="2835">
      <c r="A2835" s="47" t="n"/>
      <c r="B2835" s="48" t="n"/>
      <c r="C2835" s="48" t="n"/>
      <c r="D2835" s="48" t="n"/>
      <c r="E2835" s="48" t="n"/>
      <c r="F2835" s="48" t="n"/>
      <c r="G2835" s="48" t="n"/>
      <c r="H2835" s="48" t="n"/>
      <c r="I2835" s="49" t="n"/>
      <c r="J2835" s="50" t="n"/>
      <c r="K2835" s="48" t="n"/>
      <c r="L2835" s="51">
        <f>IF(A2835="","",DATE(YEAR(A2835),MONTH(A2835),1))</f>
        <v/>
      </c>
      <c r="M2835" s="52">
        <f>IF(OR(A2835="",NOT(ISNUMBER(I2835))),"",IF(G2835=Lists!$B$5,I2835/2,IF(G2835=Lists!$B$6,I2835,0)))</f>
        <v/>
      </c>
      <c r="N2835" s="52">
        <f>IF(OR(A2835="",NOT(ISNUMBER(I2835))),"",IF(G2835=Lists!$B$5,I2835/2,IF(G2835=Lists!$B$7,I2835,0)))</f>
        <v/>
      </c>
      <c r="O2835" s="53">
        <f>IF(COUNTA(A2835:K2835)=0,"",IF(OR(A2835="",B2835="",C2835="",D2835="",E2835="",F2835="",G2835="",NOT(ISNUMBER(I2835))),"Incomplete",IF(COUNTIF(Lists!$H$4:$AA$4,C2835)=0,"Check category",IF(COUNTIF(INDEX(Lists!$H$6:$AA$45,0,MATCH(C2835,Lists!$H$4:$AA$4,0)),D2835)=0,"Check sub-category","OK"))))</f>
        <v/>
      </c>
      <c r="P2835">
        <f>IF(ISNUMBER(I2835),I2835+ROW()/10000000,"")</f>
        <v/>
      </c>
      <c r="Q2835">
        <f>IF(AND(ISNUMBER(P2835),ISNUMBER(A2835)),IF(AND(A2835&gt;=Dashboard!$Q$3,A2835&lt;=Dashboard!$Q$4,OR(J2835&lt;&gt;"Yes",Dashboard!$Q$15="Yes")),P2835,""),"")</f>
        <v/>
      </c>
    </row>
    <row r="2836">
      <c r="A2836" s="47" t="n"/>
      <c r="B2836" s="48" t="n"/>
      <c r="C2836" s="48" t="n"/>
      <c r="D2836" s="48" t="n"/>
      <c r="E2836" s="48" t="n"/>
      <c r="F2836" s="48" t="n"/>
      <c r="G2836" s="48" t="n"/>
      <c r="H2836" s="48" t="n"/>
      <c r="I2836" s="49" t="n"/>
      <c r="J2836" s="50" t="n"/>
      <c r="K2836" s="48" t="n"/>
      <c r="L2836" s="51">
        <f>IF(A2836="","",DATE(YEAR(A2836),MONTH(A2836),1))</f>
        <v/>
      </c>
      <c r="M2836" s="52">
        <f>IF(OR(A2836="",NOT(ISNUMBER(I2836))),"",IF(G2836=Lists!$B$5,I2836/2,IF(G2836=Lists!$B$6,I2836,0)))</f>
        <v/>
      </c>
      <c r="N2836" s="52">
        <f>IF(OR(A2836="",NOT(ISNUMBER(I2836))),"",IF(G2836=Lists!$B$5,I2836/2,IF(G2836=Lists!$B$7,I2836,0)))</f>
        <v/>
      </c>
      <c r="O2836" s="53">
        <f>IF(COUNTA(A2836:K2836)=0,"",IF(OR(A2836="",B2836="",C2836="",D2836="",E2836="",F2836="",G2836="",NOT(ISNUMBER(I2836))),"Incomplete",IF(COUNTIF(Lists!$H$4:$AA$4,C2836)=0,"Check category",IF(COUNTIF(INDEX(Lists!$H$6:$AA$45,0,MATCH(C2836,Lists!$H$4:$AA$4,0)),D2836)=0,"Check sub-category","OK"))))</f>
        <v/>
      </c>
      <c r="P2836">
        <f>IF(ISNUMBER(I2836),I2836+ROW()/10000000,"")</f>
        <v/>
      </c>
      <c r="Q2836">
        <f>IF(AND(ISNUMBER(P2836),ISNUMBER(A2836)),IF(AND(A2836&gt;=Dashboard!$Q$3,A2836&lt;=Dashboard!$Q$4,OR(J2836&lt;&gt;"Yes",Dashboard!$Q$15="Yes")),P2836,""),"")</f>
        <v/>
      </c>
    </row>
    <row r="2837">
      <c r="A2837" s="47" t="n"/>
      <c r="B2837" s="48" t="n"/>
      <c r="C2837" s="48" t="n"/>
      <c r="D2837" s="48" t="n"/>
      <c r="E2837" s="48" t="n"/>
      <c r="F2837" s="48" t="n"/>
      <c r="G2837" s="48" t="n"/>
      <c r="H2837" s="48" t="n"/>
      <c r="I2837" s="49" t="n"/>
      <c r="J2837" s="50" t="n"/>
      <c r="K2837" s="48" t="n"/>
      <c r="L2837" s="51">
        <f>IF(A2837="","",DATE(YEAR(A2837),MONTH(A2837),1))</f>
        <v/>
      </c>
      <c r="M2837" s="52">
        <f>IF(OR(A2837="",NOT(ISNUMBER(I2837))),"",IF(G2837=Lists!$B$5,I2837/2,IF(G2837=Lists!$B$6,I2837,0)))</f>
        <v/>
      </c>
      <c r="N2837" s="52">
        <f>IF(OR(A2837="",NOT(ISNUMBER(I2837))),"",IF(G2837=Lists!$B$5,I2837/2,IF(G2837=Lists!$B$7,I2837,0)))</f>
        <v/>
      </c>
      <c r="O2837" s="53">
        <f>IF(COUNTA(A2837:K2837)=0,"",IF(OR(A2837="",B2837="",C2837="",D2837="",E2837="",F2837="",G2837="",NOT(ISNUMBER(I2837))),"Incomplete",IF(COUNTIF(Lists!$H$4:$AA$4,C2837)=0,"Check category",IF(COUNTIF(INDEX(Lists!$H$6:$AA$45,0,MATCH(C2837,Lists!$H$4:$AA$4,0)),D2837)=0,"Check sub-category","OK"))))</f>
        <v/>
      </c>
      <c r="P2837">
        <f>IF(ISNUMBER(I2837),I2837+ROW()/10000000,"")</f>
        <v/>
      </c>
      <c r="Q2837">
        <f>IF(AND(ISNUMBER(P2837),ISNUMBER(A2837)),IF(AND(A2837&gt;=Dashboard!$Q$3,A2837&lt;=Dashboard!$Q$4,OR(J2837&lt;&gt;"Yes",Dashboard!$Q$15="Yes")),P2837,""),"")</f>
        <v/>
      </c>
    </row>
    <row r="2838">
      <c r="A2838" s="47" t="n"/>
      <c r="B2838" s="48" t="n"/>
      <c r="C2838" s="48" t="n"/>
      <c r="D2838" s="48" t="n"/>
      <c r="E2838" s="48" t="n"/>
      <c r="F2838" s="48" t="n"/>
      <c r="G2838" s="48" t="n"/>
      <c r="H2838" s="48" t="n"/>
      <c r="I2838" s="49" t="n"/>
      <c r="J2838" s="50" t="n"/>
      <c r="K2838" s="48" t="n"/>
      <c r="L2838" s="51">
        <f>IF(A2838="","",DATE(YEAR(A2838),MONTH(A2838),1))</f>
        <v/>
      </c>
      <c r="M2838" s="52">
        <f>IF(OR(A2838="",NOT(ISNUMBER(I2838))),"",IF(G2838=Lists!$B$5,I2838/2,IF(G2838=Lists!$B$6,I2838,0)))</f>
        <v/>
      </c>
      <c r="N2838" s="52">
        <f>IF(OR(A2838="",NOT(ISNUMBER(I2838))),"",IF(G2838=Lists!$B$5,I2838/2,IF(G2838=Lists!$B$7,I2838,0)))</f>
        <v/>
      </c>
      <c r="O2838" s="53">
        <f>IF(COUNTA(A2838:K2838)=0,"",IF(OR(A2838="",B2838="",C2838="",D2838="",E2838="",F2838="",G2838="",NOT(ISNUMBER(I2838))),"Incomplete",IF(COUNTIF(Lists!$H$4:$AA$4,C2838)=0,"Check category",IF(COUNTIF(INDEX(Lists!$H$6:$AA$45,0,MATCH(C2838,Lists!$H$4:$AA$4,0)),D2838)=0,"Check sub-category","OK"))))</f>
        <v/>
      </c>
      <c r="P2838">
        <f>IF(ISNUMBER(I2838),I2838+ROW()/10000000,"")</f>
        <v/>
      </c>
      <c r="Q2838">
        <f>IF(AND(ISNUMBER(P2838),ISNUMBER(A2838)),IF(AND(A2838&gt;=Dashboard!$Q$3,A2838&lt;=Dashboard!$Q$4,OR(J2838&lt;&gt;"Yes",Dashboard!$Q$15="Yes")),P2838,""),"")</f>
        <v/>
      </c>
    </row>
    <row r="2839">
      <c r="A2839" s="47" t="n"/>
      <c r="B2839" s="48" t="n"/>
      <c r="C2839" s="48" t="n"/>
      <c r="D2839" s="48" t="n"/>
      <c r="E2839" s="48" t="n"/>
      <c r="F2839" s="48" t="n"/>
      <c r="G2839" s="48" t="n"/>
      <c r="H2839" s="48" t="n"/>
      <c r="I2839" s="49" t="n"/>
      <c r="J2839" s="50" t="n"/>
      <c r="K2839" s="48" t="n"/>
      <c r="L2839" s="51">
        <f>IF(A2839="","",DATE(YEAR(A2839),MONTH(A2839),1))</f>
        <v/>
      </c>
      <c r="M2839" s="52">
        <f>IF(OR(A2839="",NOT(ISNUMBER(I2839))),"",IF(G2839=Lists!$B$5,I2839/2,IF(G2839=Lists!$B$6,I2839,0)))</f>
        <v/>
      </c>
      <c r="N2839" s="52">
        <f>IF(OR(A2839="",NOT(ISNUMBER(I2839))),"",IF(G2839=Lists!$B$5,I2839/2,IF(G2839=Lists!$B$7,I2839,0)))</f>
        <v/>
      </c>
      <c r="O2839" s="53">
        <f>IF(COUNTA(A2839:K2839)=0,"",IF(OR(A2839="",B2839="",C2839="",D2839="",E2839="",F2839="",G2839="",NOT(ISNUMBER(I2839))),"Incomplete",IF(COUNTIF(Lists!$H$4:$AA$4,C2839)=0,"Check category",IF(COUNTIF(INDEX(Lists!$H$6:$AA$45,0,MATCH(C2839,Lists!$H$4:$AA$4,0)),D2839)=0,"Check sub-category","OK"))))</f>
        <v/>
      </c>
      <c r="P2839">
        <f>IF(ISNUMBER(I2839),I2839+ROW()/10000000,"")</f>
        <v/>
      </c>
      <c r="Q2839">
        <f>IF(AND(ISNUMBER(P2839),ISNUMBER(A2839)),IF(AND(A2839&gt;=Dashboard!$Q$3,A2839&lt;=Dashboard!$Q$4,OR(J2839&lt;&gt;"Yes",Dashboard!$Q$15="Yes")),P2839,""),"")</f>
        <v/>
      </c>
    </row>
    <row r="2840">
      <c r="A2840" s="47" t="n"/>
      <c r="B2840" s="48" t="n"/>
      <c r="C2840" s="48" t="n"/>
      <c r="D2840" s="48" t="n"/>
      <c r="E2840" s="48" t="n"/>
      <c r="F2840" s="48" t="n"/>
      <c r="G2840" s="48" t="n"/>
      <c r="H2840" s="48" t="n"/>
      <c r="I2840" s="49" t="n"/>
      <c r="J2840" s="50" t="n"/>
      <c r="K2840" s="48" t="n"/>
      <c r="L2840" s="51">
        <f>IF(A2840="","",DATE(YEAR(A2840),MONTH(A2840),1))</f>
        <v/>
      </c>
      <c r="M2840" s="52">
        <f>IF(OR(A2840="",NOT(ISNUMBER(I2840))),"",IF(G2840=Lists!$B$5,I2840/2,IF(G2840=Lists!$B$6,I2840,0)))</f>
        <v/>
      </c>
      <c r="N2840" s="52">
        <f>IF(OR(A2840="",NOT(ISNUMBER(I2840))),"",IF(G2840=Lists!$B$5,I2840/2,IF(G2840=Lists!$B$7,I2840,0)))</f>
        <v/>
      </c>
      <c r="O2840" s="53">
        <f>IF(COUNTA(A2840:K2840)=0,"",IF(OR(A2840="",B2840="",C2840="",D2840="",E2840="",F2840="",G2840="",NOT(ISNUMBER(I2840))),"Incomplete",IF(COUNTIF(Lists!$H$4:$AA$4,C2840)=0,"Check category",IF(COUNTIF(INDEX(Lists!$H$6:$AA$45,0,MATCH(C2840,Lists!$H$4:$AA$4,0)),D2840)=0,"Check sub-category","OK"))))</f>
        <v/>
      </c>
      <c r="P2840">
        <f>IF(ISNUMBER(I2840),I2840+ROW()/10000000,"")</f>
        <v/>
      </c>
      <c r="Q2840">
        <f>IF(AND(ISNUMBER(P2840),ISNUMBER(A2840)),IF(AND(A2840&gt;=Dashboard!$Q$3,A2840&lt;=Dashboard!$Q$4,OR(J2840&lt;&gt;"Yes",Dashboard!$Q$15="Yes")),P2840,""),"")</f>
        <v/>
      </c>
    </row>
    <row r="2841">
      <c r="A2841" s="47" t="n"/>
      <c r="B2841" s="48" t="n"/>
      <c r="C2841" s="48" t="n"/>
      <c r="D2841" s="48" t="n"/>
      <c r="E2841" s="48" t="n"/>
      <c r="F2841" s="48" t="n"/>
      <c r="G2841" s="48" t="n"/>
      <c r="H2841" s="48" t="n"/>
      <c r="I2841" s="49" t="n"/>
      <c r="J2841" s="50" t="n"/>
      <c r="K2841" s="48" t="n"/>
      <c r="L2841" s="51">
        <f>IF(A2841="","",DATE(YEAR(A2841),MONTH(A2841),1))</f>
        <v/>
      </c>
      <c r="M2841" s="52">
        <f>IF(OR(A2841="",NOT(ISNUMBER(I2841))),"",IF(G2841=Lists!$B$5,I2841/2,IF(G2841=Lists!$B$6,I2841,0)))</f>
        <v/>
      </c>
      <c r="N2841" s="52">
        <f>IF(OR(A2841="",NOT(ISNUMBER(I2841))),"",IF(G2841=Lists!$B$5,I2841/2,IF(G2841=Lists!$B$7,I2841,0)))</f>
        <v/>
      </c>
      <c r="O2841" s="53">
        <f>IF(COUNTA(A2841:K2841)=0,"",IF(OR(A2841="",B2841="",C2841="",D2841="",E2841="",F2841="",G2841="",NOT(ISNUMBER(I2841))),"Incomplete",IF(COUNTIF(Lists!$H$4:$AA$4,C2841)=0,"Check category",IF(COUNTIF(INDEX(Lists!$H$6:$AA$45,0,MATCH(C2841,Lists!$H$4:$AA$4,0)),D2841)=0,"Check sub-category","OK"))))</f>
        <v/>
      </c>
      <c r="P2841">
        <f>IF(ISNUMBER(I2841),I2841+ROW()/10000000,"")</f>
        <v/>
      </c>
      <c r="Q2841">
        <f>IF(AND(ISNUMBER(P2841),ISNUMBER(A2841)),IF(AND(A2841&gt;=Dashboard!$Q$3,A2841&lt;=Dashboard!$Q$4,OR(J2841&lt;&gt;"Yes",Dashboard!$Q$15="Yes")),P2841,""),"")</f>
        <v/>
      </c>
    </row>
    <row r="2842">
      <c r="A2842" s="47" t="n"/>
      <c r="B2842" s="48" t="n"/>
      <c r="C2842" s="48" t="n"/>
      <c r="D2842" s="48" t="n"/>
      <c r="E2842" s="48" t="n"/>
      <c r="F2842" s="48" t="n"/>
      <c r="G2842" s="48" t="n"/>
      <c r="H2842" s="48" t="n"/>
      <c r="I2842" s="49" t="n"/>
      <c r="J2842" s="50" t="n"/>
      <c r="K2842" s="48" t="n"/>
      <c r="L2842" s="51">
        <f>IF(A2842="","",DATE(YEAR(A2842),MONTH(A2842),1))</f>
        <v/>
      </c>
      <c r="M2842" s="52">
        <f>IF(OR(A2842="",NOT(ISNUMBER(I2842))),"",IF(G2842=Lists!$B$5,I2842/2,IF(G2842=Lists!$B$6,I2842,0)))</f>
        <v/>
      </c>
      <c r="N2842" s="52">
        <f>IF(OR(A2842="",NOT(ISNUMBER(I2842))),"",IF(G2842=Lists!$B$5,I2842/2,IF(G2842=Lists!$B$7,I2842,0)))</f>
        <v/>
      </c>
      <c r="O2842" s="53">
        <f>IF(COUNTA(A2842:K2842)=0,"",IF(OR(A2842="",B2842="",C2842="",D2842="",E2842="",F2842="",G2842="",NOT(ISNUMBER(I2842))),"Incomplete",IF(COUNTIF(Lists!$H$4:$AA$4,C2842)=0,"Check category",IF(COUNTIF(INDEX(Lists!$H$6:$AA$45,0,MATCH(C2842,Lists!$H$4:$AA$4,0)),D2842)=0,"Check sub-category","OK"))))</f>
        <v/>
      </c>
      <c r="P2842">
        <f>IF(ISNUMBER(I2842),I2842+ROW()/10000000,"")</f>
        <v/>
      </c>
      <c r="Q2842">
        <f>IF(AND(ISNUMBER(P2842),ISNUMBER(A2842)),IF(AND(A2842&gt;=Dashboard!$Q$3,A2842&lt;=Dashboard!$Q$4,OR(J2842&lt;&gt;"Yes",Dashboard!$Q$15="Yes")),P2842,""),"")</f>
        <v/>
      </c>
    </row>
    <row r="2843">
      <c r="A2843" s="47" t="n"/>
      <c r="B2843" s="48" t="n"/>
      <c r="C2843" s="48" t="n"/>
      <c r="D2843" s="48" t="n"/>
      <c r="E2843" s="48" t="n"/>
      <c r="F2843" s="48" t="n"/>
      <c r="G2843" s="48" t="n"/>
      <c r="H2843" s="48" t="n"/>
      <c r="I2843" s="49" t="n"/>
      <c r="J2843" s="50" t="n"/>
      <c r="K2843" s="48" t="n"/>
      <c r="L2843" s="51">
        <f>IF(A2843="","",DATE(YEAR(A2843),MONTH(A2843),1))</f>
        <v/>
      </c>
      <c r="M2843" s="52">
        <f>IF(OR(A2843="",NOT(ISNUMBER(I2843))),"",IF(G2843=Lists!$B$5,I2843/2,IF(G2843=Lists!$B$6,I2843,0)))</f>
        <v/>
      </c>
      <c r="N2843" s="52">
        <f>IF(OR(A2843="",NOT(ISNUMBER(I2843))),"",IF(G2843=Lists!$B$5,I2843/2,IF(G2843=Lists!$B$7,I2843,0)))</f>
        <v/>
      </c>
      <c r="O2843" s="53">
        <f>IF(COUNTA(A2843:K2843)=0,"",IF(OR(A2843="",B2843="",C2843="",D2843="",E2843="",F2843="",G2843="",NOT(ISNUMBER(I2843))),"Incomplete",IF(COUNTIF(Lists!$H$4:$AA$4,C2843)=0,"Check category",IF(COUNTIF(INDEX(Lists!$H$6:$AA$45,0,MATCH(C2843,Lists!$H$4:$AA$4,0)),D2843)=0,"Check sub-category","OK"))))</f>
        <v/>
      </c>
      <c r="P2843">
        <f>IF(ISNUMBER(I2843),I2843+ROW()/10000000,"")</f>
        <v/>
      </c>
      <c r="Q2843">
        <f>IF(AND(ISNUMBER(P2843),ISNUMBER(A2843)),IF(AND(A2843&gt;=Dashboard!$Q$3,A2843&lt;=Dashboard!$Q$4,OR(J2843&lt;&gt;"Yes",Dashboard!$Q$15="Yes")),P2843,""),"")</f>
        <v/>
      </c>
    </row>
    <row r="2844">
      <c r="A2844" s="47" t="n"/>
      <c r="B2844" s="48" t="n"/>
      <c r="C2844" s="48" t="n"/>
      <c r="D2844" s="48" t="n"/>
      <c r="E2844" s="48" t="n"/>
      <c r="F2844" s="48" t="n"/>
      <c r="G2844" s="48" t="n"/>
      <c r="H2844" s="48" t="n"/>
      <c r="I2844" s="49" t="n"/>
      <c r="J2844" s="50" t="n"/>
      <c r="K2844" s="48" t="n"/>
      <c r="L2844" s="51">
        <f>IF(A2844="","",DATE(YEAR(A2844),MONTH(A2844),1))</f>
        <v/>
      </c>
      <c r="M2844" s="52">
        <f>IF(OR(A2844="",NOT(ISNUMBER(I2844))),"",IF(G2844=Lists!$B$5,I2844/2,IF(G2844=Lists!$B$6,I2844,0)))</f>
        <v/>
      </c>
      <c r="N2844" s="52">
        <f>IF(OR(A2844="",NOT(ISNUMBER(I2844))),"",IF(G2844=Lists!$B$5,I2844/2,IF(G2844=Lists!$B$7,I2844,0)))</f>
        <v/>
      </c>
      <c r="O2844" s="53">
        <f>IF(COUNTA(A2844:K2844)=0,"",IF(OR(A2844="",B2844="",C2844="",D2844="",E2844="",F2844="",G2844="",NOT(ISNUMBER(I2844))),"Incomplete",IF(COUNTIF(Lists!$H$4:$AA$4,C2844)=0,"Check category",IF(COUNTIF(INDEX(Lists!$H$6:$AA$45,0,MATCH(C2844,Lists!$H$4:$AA$4,0)),D2844)=0,"Check sub-category","OK"))))</f>
        <v/>
      </c>
      <c r="P2844">
        <f>IF(ISNUMBER(I2844),I2844+ROW()/10000000,"")</f>
        <v/>
      </c>
      <c r="Q2844">
        <f>IF(AND(ISNUMBER(P2844),ISNUMBER(A2844)),IF(AND(A2844&gt;=Dashboard!$Q$3,A2844&lt;=Dashboard!$Q$4,OR(J2844&lt;&gt;"Yes",Dashboard!$Q$15="Yes")),P2844,""),"")</f>
        <v/>
      </c>
    </row>
    <row r="2845">
      <c r="A2845" s="47" t="n"/>
      <c r="B2845" s="48" t="n"/>
      <c r="C2845" s="48" t="n"/>
      <c r="D2845" s="48" t="n"/>
      <c r="E2845" s="48" t="n"/>
      <c r="F2845" s="48" t="n"/>
      <c r="G2845" s="48" t="n"/>
      <c r="H2845" s="48" t="n"/>
      <c r="I2845" s="49" t="n"/>
      <c r="J2845" s="50" t="n"/>
      <c r="K2845" s="48" t="n"/>
      <c r="L2845" s="51">
        <f>IF(A2845="","",DATE(YEAR(A2845),MONTH(A2845),1))</f>
        <v/>
      </c>
      <c r="M2845" s="52">
        <f>IF(OR(A2845="",NOT(ISNUMBER(I2845))),"",IF(G2845=Lists!$B$5,I2845/2,IF(G2845=Lists!$B$6,I2845,0)))</f>
        <v/>
      </c>
      <c r="N2845" s="52">
        <f>IF(OR(A2845="",NOT(ISNUMBER(I2845))),"",IF(G2845=Lists!$B$5,I2845/2,IF(G2845=Lists!$B$7,I2845,0)))</f>
        <v/>
      </c>
      <c r="O2845" s="53">
        <f>IF(COUNTA(A2845:K2845)=0,"",IF(OR(A2845="",B2845="",C2845="",D2845="",E2845="",F2845="",G2845="",NOT(ISNUMBER(I2845))),"Incomplete",IF(COUNTIF(Lists!$H$4:$AA$4,C2845)=0,"Check category",IF(COUNTIF(INDEX(Lists!$H$6:$AA$45,0,MATCH(C2845,Lists!$H$4:$AA$4,0)),D2845)=0,"Check sub-category","OK"))))</f>
        <v/>
      </c>
      <c r="P2845">
        <f>IF(ISNUMBER(I2845),I2845+ROW()/10000000,"")</f>
        <v/>
      </c>
      <c r="Q2845">
        <f>IF(AND(ISNUMBER(P2845),ISNUMBER(A2845)),IF(AND(A2845&gt;=Dashboard!$Q$3,A2845&lt;=Dashboard!$Q$4,OR(J2845&lt;&gt;"Yes",Dashboard!$Q$15="Yes")),P2845,""),"")</f>
        <v/>
      </c>
    </row>
    <row r="2846">
      <c r="A2846" s="47" t="n"/>
      <c r="B2846" s="48" t="n"/>
      <c r="C2846" s="48" t="n"/>
      <c r="D2846" s="48" t="n"/>
      <c r="E2846" s="48" t="n"/>
      <c r="F2846" s="48" t="n"/>
      <c r="G2846" s="48" t="n"/>
      <c r="H2846" s="48" t="n"/>
      <c r="I2846" s="49" t="n"/>
      <c r="J2846" s="50" t="n"/>
      <c r="K2846" s="48" t="n"/>
      <c r="L2846" s="51">
        <f>IF(A2846="","",DATE(YEAR(A2846),MONTH(A2846),1))</f>
        <v/>
      </c>
      <c r="M2846" s="52">
        <f>IF(OR(A2846="",NOT(ISNUMBER(I2846))),"",IF(G2846=Lists!$B$5,I2846/2,IF(G2846=Lists!$B$6,I2846,0)))</f>
        <v/>
      </c>
      <c r="N2846" s="52">
        <f>IF(OR(A2846="",NOT(ISNUMBER(I2846))),"",IF(G2846=Lists!$B$5,I2846/2,IF(G2846=Lists!$B$7,I2846,0)))</f>
        <v/>
      </c>
      <c r="O2846" s="53">
        <f>IF(COUNTA(A2846:K2846)=0,"",IF(OR(A2846="",B2846="",C2846="",D2846="",E2846="",F2846="",G2846="",NOT(ISNUMBER(I2846))),"Incomplete",IF(COUNTIF(Lists!$H$4:$AA$4,C2846)=0,"Check category",IF(COUNTIF(INDEX(Lists!$H$6:$AA$45,0,MATCH(C2846,Lists!$H$4:$AA$4,0)),D2846)=0,"Check sub-category","OK"))))</f>
        <v/>
      </c>
      <c r="P2846">
        <f>IF(ISNUMBER(I2846),I2846+ROW()/10000000,"")</f>
        <v/>
      </c>
      <c r="Q2846">
        <f>IF(AND(ISNUMBER(P2846),ISNUMBER(A2846)),IF(AND(A2846&gt;=Dashboard!$Q$3,A2846&lt;=Dashboard!$Q$4,OR(J2846&lt;&gt;"Yes",Dashboard!$Q$15="Yes")),P2846,""),"")</f>
        <v/>
      </c>
    </row>
    <row r="2847">
      <c r="A2847" s="47" t="n"/>
      <c r="B2847" s="48" t="n"/>
      <c r="C2847" s="48" t="n"/>
      <c r="D2847" s="48" t="n"/>
      <c r="E2847" s="48" t="n"/>
      <c r="F2847" s="48" t="n"/>
      <c r="G2847" s="48" t="n"/>
      <c r="H2847" s="48" t="n"/>
      <c r="I2847" s="49" t="n"/>
      <c r="J2847" s="50" t="n"/>
      <c r="K2847" s="48" t="n"/>
      <c r="L2847" s="51">
        <f>IF(A2847="","",DATE(YEAR(A2847),MONTH(A2847),1))</f>
        <v/>
      </c>
      <c r="M2847" s="52">
        <f>IF(OR(A2847="",NOT(ISNUMBER(I2847))),"",IF(G2847=Lists!$B$5,I2847/2,IF(G2847=Lists!$B$6,I2847,0)))</f>
        <v/>
      </c>
      <c r="N2847" s="52">
        <f>IF(OR(A2847="",NOT(ISNUMBER(I2847))),"",IF(G2847=Lists!$B$5,I2847/2,IF(G2847=Lists!$B$7,I2847,0)))</f>
        <v/>
      </c>
      <c r="O2847" s="53">
        <f>IF(COUNTA(A2847:K2847)=0,"",IF(OR(A2847="",B2847="",C2847="",D2847="",E2847="",F2847="",G2847="",NOT(ISNUMBER(I2847))),"Incomplete",IF(COUNTIF(Lists!$H$4:$AA$4,C2847)=0,"Check category",IF(COUNTIF(INDEX(Lists!$H$6:$AA$45,0,MATCH(C2847,Lists!$H$4:$AA$4,0)),D2847)=0,"Check sub-category","OK"))))</f>
        <v/>
      </c>
      <c r="P2847">
        <f>IF(ISNUMBER(I2847),I2847+ROW()/10000000,"")</f>
        <v/>
      </c>
      <c r="Q2847">
        <f>IF(AND(ISNUMBER(P2847),ISNUMBER(A2847)),IF(AND(A2847&gt;=Dashboard!$Q$3,A2847&lt;=Dashboard!$Q$4,OR(J2847&lt;&gt;"Yes",Dashboard!$Q$15="Yes")),P2847,""),"")</f>
        <v/>
      </c>
    </row>
    <row r="2848">
      <c r="A2848" s="47" t="n"/>
      <c r="B2848" s="48" t="n"/>
      <c r="C2848" s="48" t="n"/>
      <c r="D2848" s="48" t="n"/>
      <c r="E2848" s="48" t="n"/>
      <c r="F2848" s="48" t="n"/>
      <c r="G2848" s="48" t="n"/>
      <c r="H2848" s="48" t="n"/>
      <c r="I2848" s="49" t="n"/>
      <c r="J2848" s="50" t="n"/>
      <c r="K2848" s="48" t="n"/>
      <c r="L2848" s="51">
        <f>IF(A2848="","",DATE(YEAR(A2848),MONTH(A2848),1))</f>
        <v/>
      </c>
      <c r="M2848" s="52">
        <f>IF(OR(A2848="",NOT(ISNUMBER(I2848))),"",IF(G2848=Lists!$B$5,I2848/2,IF(G2848=Lists!$B$6,I2848,0)))</f>
        <v/>
      </c>
      <c r="N2848" s="52">
        <f>IF(OR(A2848="",NOT(ISNUMBER(I2848))),"",IF(G2848=Lists!$B$5,I2848/2,IF(G2848=Lists!$B$7,I2848,0)))</f>
        <v/>
      </c>
      <c r="O2848" s="53">
        <f>IF(COUNTA(A2848:K2848)=0,"",IF(OR(A2848="",B2848="",C2848="",D2848="",E2848="",F2848="",G2848="",NOT(ISNUMBER(I2848))),"Incomplete",IF(COUNTIF(Lists!$H$4:$AA$4,C2848)=0,"Check category",IF(COUNTIF(INDEX(Lists!$H$6:$AA$45,0,MATCH(C2848,Lists!$H$4:$AA$4,0)),D2848)=0,"Check sub-category","OK"))))</f>
        <v/>
      </c>
      <c r="P2848">
        <f>IF(ISNUMBER(I2848),I2848+ROW()/10000000,"")</f>
        <v/>
      </c>
      <c r="Q2848">
        <f>IF(AND(ISNUMBER(P2848),ISNUMBER(A2848)),IF(AND(A2848&gt;=Dashboard!$Q$3,A2848&lt;=Dashboard!$Q$4,OR(J2848&lt;&gt;"Yes",Dashboard!$Q$15="Yes")),P2848,""),"")</f>
        <v/>
      </c>
    </row>
    <row r="2849">
      <c r="A2849" s="47" t="n"/>
      <c r="B2849" s="48" t="n"/>
      <c r="C2849" s="48" t="n"/>
      <c r="D2849" s="48" t="n"/>
      <c r="E2849" s="48" t="n"/>
      <c r="F2849" s="48" t="n"/>
      <c r="G2849" s="48" t="n"/>
      <c r="H2849" s="48" t="n"/>
      <c r="I2849" s="49" t="n"/>
      <c r="J2849" s="50" t="n"/>
      <c r="K2849" s="48" t="n"/>
      <c r="L2849" s="51">
        <f>IF(A2849="","",DATE(YEAR(A2849),MONTH(A2849),1))</f>
        <v/>
      </c>
      <c r="M2849" s="52">
        <f>IF(OR(A2849="",NOT(ISNUMBER(I2849))),"",IF(G2849=Lists!$B$5,I2849/2,IF(G2849=Lists!$B$6,I2849,0)))</f>
        <v/>
      </c>
      <c r="N2849" s="52">
        <f>IF(OR(A2849="",NOT(ISNUMBER(I2849))),"",IF(G2849=Lists!$B$5,I2849/2,IF(G2849=Lists!$B$7,I2849,0)))</f>
        <v/>
      </c>
      <c r="O2849" s="53">
        <f>IF(COUNTA(A2849:K2849)=0,"",IF(OR(A2849="",B2849="",C2849="",D2849="",E2849="",F2849="",G2849="",NOT(ISNUMBER(I2849))),"Incomplete",IF(COUNTIF(Lists!$H$4:$AA$4,C2849)=0,"Check category",IF(COUNTIF(INDEX(Lists!$H$6:$AA$45,0,MATCH(C2849,Lists!$H$4:$AA$4,0)),D2849)=0,"Check sub-category","OK"))))</f>
        <v/>
      </c>
      <c r="P2849">
        <f>IF(ISNUMBER(I2849),I2849+ROW()/10000000,"")</f>
        <v/>
      </c>
      <c r="Q2849">
        <f>IF(AND(ISNUMBER(P2849),ISNUMBER(A2849)),IF(AND(A2849&gt;=Dashboard!$Q$3,A2849&lt;=Dashboard!$Q$4,OR(J2849&lt;&gt;"Yes",Dashboard!$Q$15="Yes")),P2849,""),"")</f>
        <v/>
      </c>
    </row>
    <row r="2850">
      <c r="A2850" s="47" t="n"/>
      <c r="B2850" s="48" t="n"/>
      <c r="C2850" s="48" t="n"/>
      <c r="D2850" s="48" t="n"/>
      <c r="E2850" s="48" t="n"/>
      <c r="F2850" s="48" t="n"/>
      <c r="G2850" s="48" t="n"/>
      <c r="H2850" s="48" t="n"/>
      <c r="I2850" s="49" t="n"/>
      <c r="J2850" s="50" t="n"/>
      <c r="K2850" s="48" t="n"/>
      <c r="L2850" s="51">
        <f>IF(A2850="","",DATE(YEAR(A2850),MONTH(A2850),1))</f>
        <v/>
      </c>
      <c r="M2850" s="52">
        <f>IF(OR(A2850="",NOT(ISNUMBER(I2850))),"",IF(G2850=Lists!$B$5,I2850/2,IF(G2850=Lists!$B$6,I2850,0)))</f>
        <v/>
      </c>
      <c r="N2850" s="52">
        <f>IF(OR(A2850="",NOT(ISNUMBER(I2850))),"",IF(G2850=Lists!$B$5,I2850/2,IF(G2850=Lists!$B$7,I2850,0)))</f>
        <v/>
      </c>
      <c r="O2850" s="53">
        <f>IF(COUNTA(A2850:K2850)=0,"",IF(OR(A2850="",B2850="",C2850="",D2850="",E2850="",F2850="",G2850="",NOT(ISNUMBER(I2850))),"Incomplete",IF(COUNTIF(Lists!$H$4:$AA$4,C2850)=0,"Check category",IF(COUNTIF(INDEX(Lists!$H$6:$AA$45,0,MATCH(C2850,Lists!$H$4:$AA$4,0)),D2850)=0,"Check sub-category","OK"))))</f>
        <v/>
      </c>
      <c r="P2850">
        <f>IF(ISNUMBER(I2850),I2850+ROW()/10000000,"")</f>
        <v/>
      </c>
      <c r="Q2850">
        <f>IF(AND(ISNUMBER(P2850),ISNUMBER(A2850)),IF(AND(A2850&gt;=Dashboard!$Q$3,A2850&lt;=Dashboard!$Q$4,OR(J2850&lt;&gt;"Yes",Dashboard!$Q$15="Yes")),P2850,""),"")</f>
        <v/>
      </c>
    </row>
    <row r="2851">
      <c r="A2851" s="47" t="n"/>
      <c r="B2851" s="48" t="n"/>
      <c r="C2851" s="48" t="n"/>
      <c r="D2851" s="48" t="n"/>
      <c r="E2851" s="48" t="n"/>
      <c r="F2851" s="48" t="n"/>
      <c r="G2851" s="48" t="n"/>
      <c r="H2851" s="48" t="n"/>
      <c r="I2851" s="49" t="n"/>
      <c r="J2851" s="50" t="n"/>
      <c r="K2851" s="48" t="n"/>
      <c r="L2851" s="51">
        <f>IF(A2851="","",DATE(YEAR(A2851),MONTH(A2851),1))</f>
        <v/>
      </c>
      <c r="M2851" s="52">
        <f>IF(OR(A2851="",NOT(ISNUMBER(I2851))),"",IF(G2851=Lists!$B$5,I2851/2,IF(G2851=Lists!$B$6,I2851,0)))</f>
        <v/>
      </c>
      <c r="N2851" s="52">
        <f>IF(OR(A2851="",NOT(ISNUMBER(I2851))),"",IF(G2851=Lists!$B$5,I2851/2,IF(G2851=Lists!$B$7,I2851,0)))</f>
        <v/>
      </c>
      <c r="O2851" s="53">
        <f>IF(COUNTA(A2851:K2851)=0,"",IF(OR(A2851="",B2851="",C2851="",D2851="",E2851="",F2851="",G2851="",NOT(ISNUMBER(I2851))),"Incomplete",IF(COUNTIF(Lists!$H$4:$AA$4,C2851)=0,"Check category",IF(COUNTIF(INDEX(Lists!$H$6:$AA$45,0,MATCH(C2851,Lists!$H$4:$AA$4,0)),D2851)=0,"Check sub-category","OK"))))</f>
        <v/>
      </c>
      <c r="P2851">
        <f>IF(ISNUMBER(I2851),I2851+ROW()/10000000,"")</f>
        <v/>
      </c>
      <c r="Q2851">
        <f>IF(AND(ISNUMBER(P2851),ISNUMBER(A2851)),IF(AND(A2851&gt;=Dashboard!$Q$3,A2851&lt;=Dashboard!$Q$4,OR(J2851&lt;&gt;"Yes",Dashboard!$Q$15="Yes")),P2851,""),"")</f>
        <v/>
      </c>
    </row>
    <row r="2852">
      <c r="A2852" s="47" t="n"/>
      <c r="B2852" s="48" t="n"/>
      <c r="C2852" s="48" t="n"/>
      <c r="D2852" s="48" t="n"/>
      <c r="E2852" s="48" t="n"/>
      <c r="F2852" s="48" t="n"/>
      <c r="G2852" s="48" t="n"/>
      <c r="H2852" s="48" t="n"/>
      <c r="I2852" s="49" t="n"/>
      <c r="J2852" s="50" t="n"/>
      <c r="K2852" s="48" t="n"/>
      <c r="L2852" s="51">
        <f>IF(A2852="","",DATE(YEAR(A2852),MONTH(A2852),1))</f>
        <v/>
      </c>
      <c r="M2852" s="52">
        <f>IF(OR(A2852="",NOT(ISNUMBER(I2852))),"",IF(G2852=Lists!$B$5,I2852/2,IF(G2852=Lists!$B$6,I2852,0)))</f>
        <v/>
      </c>
      <c r="N2852" s="52">
        <f>IF(OR(A2852="",NOT(ISNUMBER(I2852))),"",IF(G2852=Lists!$B$5,I2852/2,IF(G2852=Lists!$B$7,I2852,0)))</f>
        <v/>
      </c>
      <c r="O2852" s="53">
        <f>IF(COUNTA(A2852:K2852)=0,"",IF(OR(A2852="",B2852="",C2852="",D2852="",E2852="",F2852="",G2852="",NOT(ISNUMBER(I2852))),"Incomplete",IF(COUNTIF(Lists!$H$4:$AA$4,C2852)=0,"Check category",IF(COUNTIF(INDEX(Lists!$H$6:$AA$45,0,MATCH(C2852,Lists!$H$4:$AA$4,0)),D2852)=0,"Check sub-category","OK"))))</f>
        <v/>
      </c>
      <c r="P2852">
        <f>IF(ISNUMBER(I2852),I2852+ROW()/10000000,"")</f>
        <v/>
      </c>
      <c r="Q2852">
        <f>IF(AND(ISNUMBER(P2852),ISNUMBER(A2852)),IF(AND(A2852&gt;=Dashboard!$Q$3,A2852&lt;=Dashboard!$Q$4,OR(J2852&lt;&gt;"Yes",Dashboard!$Q$15="Yes")),P2852,""),"")</f>
        <v/>
      </c>
    </row>
    <row r="2853">
      <c r="A2853" s="47" t="n"/>
      <c r="B2853" s="48" t="n"/>
      <c r="C2853" s="48" t="n"/>
      <c r="D2853" s="48" t="n"/>
      <c r="E2853" s="48" t="n"/>
      <c r="F2853" s="48" t="n"/>
      <c r="G2853" s="48" t="n"/>
      <c r="H2853" s="48" t="n"/>
      <c r="I2853" s="49" t="n"/>
      <c r="J2853" s="50" t="n"/>
      <c r="K2853" s="48" t="n"/>
      <c r="L2853" s="51">
        <f>IF(A2853="","",DATE(YEAR(A2853),MONTH(A2853),1))</f>
        <v/>
      </c>
      <c r="M2853" s="52">
        <f>IF(OR(A2853="",NOT(ISNUMBER(I2853))),"",IF(G2853=Lists!$B$5,I2853/2,IF(G2853=Lists!$B$6,I2853,0)))</f>
        <v/>
      </c>
      <c r="N2853" s="52">
        <f>IF(OR(A2853="",NOT(ISNUMBER(I2853))),"",IF(G2853=Lists!$B$5,I2853/2,IF(G2853=Lists!$B$7,I2853,0)))</f>
        <v/>
      </c>
      <c r="O2853" s="53">
        <f>IF(COUNTA(A2853:K2853)=0,"",IF(OR(A2853="",B2853="",C2853="",D2853="",E2853="",F2853="",G2853="",NOT(ISNUMBER(I2853))),"Incomplete",IF(COUNTIF(Lists!$H$4:$AA$4,C2853)=0,"Check category",IF(COUNTIF(INDEX(Lists!$H$6:$AA$45,0,MATCH(C2853,Lists!$H$4:$AA$4,0)),D2853)=0,"Check sub-category","OK"))))</f>
        <v/>
      </c>
      <c r="P2853">
        <f>IF(ISNUMBER(I2853),I2853+ROW()/10000000,"")</f>
        <v/>
      </c>
      <c r="Q2853">
        <f>IF(AND(ISNUMBER(P2853),ISNUMBER(A2853)),IF(AND(A2853&gt;=Dashboard!$Q$3,A2853&lt;=Dashboard!$Q$4,OR(J2853&lt;&gt;"Yes",Dashboard!$Q$15="Yes")),P2853,""),"")</f>
        <v/>
      </c>
    </row>
    <row r="2854">
      <c r="A2854" s="47" t="n"/>
      <c r="B2854" s="48" t="n"/>
      <c r="C2854" s="48" t="n"/>
      <c r="D2854" s="48" t="n"/>
      <c r="E2854" s="48" t="n"/>
      <c r="F2854" s="48" t="n"/>
      <c r="G2854" s="48" t="n"/>
      <c r="H2854" s="48" t="n"/>
      <c r="I2854" s="49" t="n"/>
      <c r="J2854" s="50" t="n"/>
      <c r="K2854" s="48" t="n"/>
      <c r="L2854" s="51">
        <f>IF(A2854="","",DATE(YEAR(A2854),MONTH(A2854),1))</f>
        <v/>
      </c>
      <c r="M2854" s="52">
        <f>IF(OR(A2854="",NOT(ISNUMBER(I2854))),"",IF(G2854=Lists!$B$5,I2854/2,IF(G2854=Lists!$B$6,I2854,0)))</f>
        <v/>
      </c>
      <c r="N2854" s="52">
        <f>IF(OR(A2854="",NOT(ISNUMBER(I2854))),"",IF(G2854=Lists!$B$5,I2854/2,IF(G2854=Lists!$B$7,I2854,0)))</f>
        <v/>
      </c>
      <c r="O2854" s="53">
        <f>IF(COUNTA(A2854:K2854)=0,"",IF(OR(A2854="",B2854="",C2854="",D2854="",E2854="",F2854="",G2854="",NOT(ISNUMBER(I2854))),"Incomplete",IF(COUNTIF(Lists!$H$4:$AA$4,C2854)=0,"Check category",IF(COUNTIF(INDEX(Lists!$H$6:$AA$45,0,MATCH(C2854,Lists!$H$4:$AA$4,0)),D2854)=0,"Check sub-category","OK"))))</f>
        <v/>
      </c>
      <c r="P2854">
        <f>IF(ISNUMBER(I2854),I2854+ROW()/10000000,"")</f>
        <v/>
      </c>
      <c r="Q2854">
        <f>IF(AND(ISNUMBER(P2854),ISNUMBER(A2854)),IF(AND(A2854&gt;=Dashboard!$Q$3,A2854&lt;=Dashboard!$Q$4,OR(J2854&lt;&gt;"Yes",Dashboard!$Q$15="Yes")),P2854,""),"")</f>
        <v/>
      </c>
    </row>
    <row r="2855">
      <c r="A2855" s="47" t="n"/>
      <c r="B2855" s="48" t="n"/>
      <c r="C2855" s="48" t="n"/>
      <c r="D2855" s="48" t="n"/>
      <c r="E2855" s="48" t="n"/>
      <c r="F2855" s="48" t="n"/>
      <c r="G2855" s="48" t="n"/>
      <c r="H2855" s="48" t="n"/>
      <c r="I2855" s="49" t="n"/>
      <c r="J2855" s="50" t="n"/>
      <c r="K2855" s="48" t="n"/>
      <c r="L2855" s="51">
        <f>IF(A2855="","",DATE(YEAR(A2855),MONTH(A2855),1))</f>
        <v/>
      </c>
      <c r="M2855" s="52">
        <f>IF(OR(A2855="",NOT(ISNUMBER(I2855))),"",IF(G2855=Lists!$B$5,I2855/2,IF(G2855=Lists!$B$6,I2855,0)))</f>
        <v/>
      </c>
      <c r="N2855" s="52">
        <f>IF(OR(A2855="",NOT(ISNUMBER(I2855))),"",IF(G2855=Lists!$B$5,I2855/2,IF(G2855=Lists!$B$7,I2855,0)))</f>
        <v/>
      </c>
      <c r="O2855" s="53">
        <f>IF(COUNTA(A2855:K2855)=0,"",IF(OR(A2855="",B2855="",C2855="",D2855="",E2855="",F2855="",G2855="",NOT(ISNUMBER(I2855))),"Incomplete",IF(COUNTIF(Lists!$H$4:$AA$4,C2855)=0,"Check category",IF(COUNTIF(INDEX(Lists!$H$6:$AA$45,0,MATCH(C2855,Lists!$H$4:$AA$4,0)),D2855)=0,"Check sub-category","OK"))))</f>
        <v/>
      </c>
      <c r="P2855">
        <f>IF(ISNUMBER(I2855),I2855+ROW()/10000000,"")</f>
        <v/>
      </c>
      <c r="Q2855">
        <f>IF(AND(ISNUMBER(P2855),ISNUMBER(A2855)),IF(AND(A2855&gt;=Dashboard!$Q$3,A2855&lt;=Dashboard!$Q$4,OR(J2855&lt;&gt;"Yes",Dashboard!$Q$15="Yes")),P2855,""),"")</f>
        <v/>
      </c>
    </row>
    <row r="2856">
      <c r="A2856" s="47" t="n"/>
      <c r="B2856" s="48" t="n"/>
      <c r="C2856" s="48" t="n"/>
      <c r="D2856" s="48" t="n"/>
      <c r="E2856" s="48" t="n"/>
      <c r="F2856" s="48" t="n"/>
      <c r="G2856" s="48" t="n"/>
      <c r="H2856" s="48" t="n"/>
      <c r="I2856" s="49" t="n"/>
      <c r="J2856" s="50" t="n"/>
      <c r="K2856" s="48" t="n"/>
      <c r="L2856" s="51">
        <f>IF(A2856="","",DATE(YEAR(A2856),MONTH(A2856),1))</f>
        <v/>
      </c>
      <c r="M2856" s="52">
        <f>IF(OR(A2856="",NOT(ISNUMBER(I2856))),"",IF(G2856=Lists!$B$5,I2856/2,IF(G2856=Lists!$B$6,I2856,0)))</f>
        <v/>
      </c>
      <c r="N2856" s="52">
        <f>IF(OR(A2856="",NOT(ISNUMBER(I2856))),"",IF(G2856=Lists!$B$5,I2856/2,IF(G2856=Lists!$B$7,I2856,0)))</f>
        <v/>
      </c>
      <c r="O2856" s="53">
        <f>IF(COUNTA(A2856:K2856)=0,"",IF(OR(A2856="",B2856="",C2856="",D2856="",E2856="",F2856="",G2856="",NOT(ISNUMBER(I2856))),"Incomplete",IF(COUNTIF(Lists!$H$4:$AA$4,C2856)=0,"Check category",IF(COUNTIF(INDEX(Lists!$H$6:$AA$45,0,MATCH(C2856,Lists!$H$4:$AA$4,0)),D2856)=0,"Check sub-category","OK"))))</f>
        <v/>
      </c>
      <c r="P2856">
        <f>IF(ISNUMBER(I2856),I2856+ROW()/10000000,"")</f>
        <v/>
      </c>
      <c r="Q2856">
        <f>IF(AND(ISNUMBER(P2856),ISNUMBER(A2856)),IF(AND(A2856&gt;=Dashboard!$Q$3,A2856&lt;=Dashboard!$Q$4,OR(J2856&lt;&gt;"Yes",Dashboard!$Q$15="Yes")),P2856,""),"")</f>
        <v/>
      </c>
    </row>
    <row r="2857">
      <c r="A2857" s="47" t="n"/>
      <c r="B2857" s="48" t="n"/>
      <c r="C2857" s="48" t="n"/>
      <c r="D2857" s="48" t="n"/>
      <c r="E2857" s="48" t="n"/>
      <c r="F2857" s="48" t="n"/>
      <c r="G2857" s="48" t="n"/>
      <c r="H2857" s="48" t="n"/>
      <c r="I2857" s="49" t="n"/>
      <c r="J2857" s="50" t="n"/>
      <c r="K2857" s="48" t="n"/>
      <c r="L2857" s="51">
        <f>IF(A2857="","",DATE(YEAR(A2857),MONTH(A2857),1))</f>
        <v/>
      </c>
      <c r="M2857" s="52">
        <f>IF(OR(A2857="",NOT(ISNUMBER(I2857))),"",IF(G2857=Lists!$B$5,I2857/2,IF(G2857=Lists!$B$6,I2857,0)))</f>
        <v/>
      </c>
      <c r="N2857" s="52">
        <f>IF(OR(A2857="",NOT(ISNUMBER(I2857))),"",IF(G2857=Lists!$B$5,I2857/2,IF(G2857=Lists!$B$7,I2857,0)))</f>
        <v/>
      </c>
      <c r="O2857" s="53">
        <f>IF(COUNTA(A2857:K2857)=0,"",IF(OR(A2857="",B2857="",C2857="",D2857="",E2857="",F2857="",G2857="",NOT(ISNUMBER(I2857))),"Incomplete",IF(COUNTIF(Lists!$H$4:$AA$4,C2857)=0,"Check category",IF(COUNTIF(INDEX(Lists!$H$6:$AA$45,0,MATCH(C2857,Lists!$H$4:$AA$4,0)),D2857)=0,"Check sub-category","OK"))))</f>
        <v/>
      </c>
      <c r="P2857">
        <f>IF(ISNUMBER(I2857),I2857+ROW()/10000000,"")</f>
        <v/>
      </c>
      <c r="Q2857">
        <f>IF(AND(ISNUMBER(P2857),ISNUMBER(A2857)),IF(AND(A2857&gt;=Dashboard!$Q$3,A2857&lt;=Dashboard!$Q$4,OR(J2857&lt;&gt;"Yes",Dashboard!$Q$15="Yes")),P2857,""),"")</f>
        <v/>
      </c>
    </row>
    <row r="2858">
      <c r="A2858" s="47" t="n"/>
      <c r="B2858" s="48" t="n"/>
      <c r="C2858" s="48" t="n"/>
      <c r="D2858" s="48" t="n"/>
      <c r="E2858" s="48" t="n"/>
      <c r="F2858" s="48" t="n"/>
      <c r="G2858" s="48" t="n"/>
      <c r="H2858" s="48" t="n"/>
      <c r="I2858" s="49" t="n"/>
      <c r="J2858" s="50" t="n"/>
      <c r="K2858" s="48" t="n"/>
      <c r="L2858" s="51">
        <f>IF(A2858="","",DATE(YEAR(A2858),MONTH(A2858),1))</f>
        <v/>
      </c>
      <c r="M2858" s="52">
        <f>IF(OR(A2858="",NOT(ISNUMBER(I2858))),"",IF(G2858=Lists!$B$5,I2858/2,IF(G2858=Lists!$B$6,I2858,0)))</f>
        <v/>
      </c>
      <c r="N2858" s="52">
        <f>IF(OR(A2858="",NOT(ISNUMBER(I2858))),"",IF(G2858=Lists!$B$5,I2858/2,IF(G2858=Lists!$B$7,I2858,0)))</f>
        <v/>
      </c>
      <c r="O2858" s="53">
        <f>IF(COUNTA(A2858:K2858)=0,"",IF(OR(A2858="",B2858="",C2858="",D2858="",E2858="",F2858="",G2858="",NOT(ISNUMBER(I2858))),"Incomplete",IF(COUNTIF(Lists!$H$4:$AA$4,C2858)=0,"Check category",IF(COUNTIF(INDEX(Lists!$H$6:$AA$45,0,MATCH(C2858,Lists!$H$4:$AA$4,0)),D2858)=0,"Check sub-category","OK"))))</f>
        <v/>
      </c>
      <c r="P2858">
        <f>IF(ISNUMBER(I2858),I2858+ROW()/10000000,"")</f>
        <v/>
      </c>
      <c r="Q2858">
        <f>IF(AND(ISNUMBER(P2858),ISNUMBER(A2858)),IF(AND(A2858&gt;=Dashboard!$Q$3,A2858&lt;=Dashboard!$Q$4,OR(J2858&lt;&gt;"Yes",Dashboard!$Q$15="Yes")),P2858,""),"")</f>
        <v/>
      </c>
    </row>
    <row r="2859">
      <c r="A2859" s="47" t="n"/>
      <c r="B2859" s="48" t="n"/>
      <c r="C2859" s="48" t="n"/>
      <c r="D2859" s="48" t="n"/>
      <c r="E2859" s="48" t="n"/>
      <c r="F2859" s="48" t="n"/>
      <c r="G2859" s="48" t="n"/>
      <c r="H2859" s="48" t="n"/>
      <c r="I2859" s="49" t="n"/>
      <c r="J2859" s="50" t="n"/>
      <c r="K2859" s="48" t="n"/>
      <c r="L2859" s="51">
        <f>IF(A2859="","",DATE(YEAR(A2859),MONTH(A2859),1))</f>
        <v/>
      </c>
      <c r="M2859" s="52">
        <f>IF(OR(A2859="",NOT(ISNUMBER(I2859))),"",IF(G2859=Lists!$B$5,I2859/2,IF(G2859=Lists!$B$6,I2859,0)))</f>
        <v/>
      </c>
      <c r="N2859" s="52">
        <f>IF(OR(A2859="",NOT(ISNUMBER(I2859))),"",IF(G2859=Lists!$B$5,I2859/2,IF(G2859=Lists!$B$7,I2859,0)))</f>
        <v/>
      </c>
      <c r="O2859" s="53">
        <f>IF(COUNTA(A2859:K2859)=0,"",IF(OR(A2859="",B2859="",C2859="",D2859="",E2859="",F2859="",G2859="",NOT(ISNUMBER(I2859))),"Incomplete",IF(COUNTIF(Lists!$H$4:$AA$4,C2859)=0,"Check category",IF(COUNTIF(INDEX(Lists!$H$6:$AA$45,0,MATCH(C2859,Lists!$H$4:$AA$4,0)),D2859)=0,"Check sub-category","OK"))))</f>
        <v/>
      </c>
      <c r="P2859">
        <f>IF(ISNUMBER(I2859),I2859+ROW()/10000000,"")</f>
        <v/>
      </c>
      <c r="Q2859">
        <f>IF(AND(ISNUMBER(P2859),ISNUMBER(A2859)),IF(AND(A2859&gt;=Dashboard!$Q$3,A2859&lt;=Dashboard!$Q$4,OR(J2859&lt;&gt;"Yes",Dashboard!$Q$15="Yes")),P2859,""),"")</f>
        <v/>
      </c>
    </row>
    <row r="2860">
      <c r="A2860" s="47" t="n"/>
      <c r="B2860" s="48" t="n"/>
      <c r="C2860" s="48" t="n"/>
      <c r="D2860" s="48" t="n"/>
      <c r="E2860" s="48" t="n"/>
      <c r="F2860" s="48" t="n"/>
      <c r="G2860" s="48" t="n"/>
      <c r="H2860" s="48" t="n"/>
      <c r="I2860" s="49" t="n"/>
      <c r="J2860" s="50" t="n"/>
      <c r="K2860" s="48" t="n"/>
      <c r="L2860" s="51">
        <f>IF(A2860="","",DATE(YEAR(A2860),MONTH(A2860),1))</f>
        <v/>
      </c>
      <c r="M2860" s="52">
        <f>IF(OR(A2860="",NOT(ISNUMBER(I2860))),"",IF(G2860=Lists!$B$5,I2860/2,IF(G2860=Lists!$B$6,I2860,0)))</f>
        <v/>
      </c>
      <c r="N2860" s="52">
        <f>IF(OR(A2860="",NOT(ISNUMBER(I2860))),"",IF(G2860=Lists!$B$5,I2860/2,IF(G2860=Lists!$B$7,I2860,0)))</f>
        <v/>
      </c>
      <c r="O2860" s="53">
        <f>IF(COUNTA(A2860:K2860)=0,"",IF(OR(A2860="",B2860="",C2860="",D2860="",E2860="",F2860="",G2860="",NOT(ISNUMBER(I2860))),"Incomplete",IF(COUNTIF(Lists!$H$4:$AA$4,C2860)=0,"Check category",IF(COUNTIF(INDEX(Lists!$H$6:$AA$45,0,MATCH(C2860,Lists!$H$4:$AA$4,0)),D2860)=0,"Check sub-category","OK"))))</f>
        <v/>
      </c>
      <c r="P2860">
        <f>IF(ISNUMBER(I2860),I2860+ROW()/10000000,"")</f>
        <v/>
      </c>
      <c r="Q2860">
        <f>IF(AND(ISNUMBER(P2860),ISNUMBER(A2860)),IF(AND(A2860&gt;=Dashboard!$Q$3,A2860&lt;=Dashboard!$Q$4,OR(J2860&lt;&gt;"Yes",Dashboard!$Q$15="Yes")),P2860,""),"")</f>
        <v/>
      </c>
    </row>
    <row r="2861">
      <c r="A2861" s="47" t="n"/>
      <c r="B2861" s="48" t="n"/>
      <c r="C2861" s="48" t="n"/>
      <c r="D2861" s="48" t="n"/>
      <c r="E2861" s="48" t="n"/>
      <c r="F2861" s="48" t="n"/>
      <c r="G2861" s="48" t="n"/>
      <c r="H2861" s="48" t="n"/>
      <c r="I2861" s="49" t="n"/>
      <c r="J2861" s="50" t="n"/>
      <c r="K2861" s="48" t="n"/>
      <c r="L2861" s="51">
        <f>IF(A2861="","",DATE(YEAR(A2861),MONTH(A2861),1))</f>
        <v/>
      </c>
      <c r="M2861" s="52">
        <f>IF(OR(A2861="",NOT(ISNUMBER(I2861))),"",IF(G2861=Lists!$B$5,I2861/2,IF(G2861=Lists!$B$6,I2861,0)))</f>
        <v/>
      </c>
      <c r="N2861" s="52">
        <f>IF(OR(A2861="",NOT(ISNUMBER(I2861))),"",IF(G2861=Lists!$B$5,I2861/2,IF(G2861=Lists!$B$7,I2861,0)))</f>
        <v/>
      </c>
      <c r="O2861" s="53">
        <f>IF(COUNTA(A2861:K2861)=0,"",IF(OR(A2861="",B2861="",C2861="",D2861="",E2861="",F2861="",G2861="",NOT(ISNUMBER(I2861))),"Incomplete",IF(COUNTIF(Lists!$H$4:$AA$4,C2861)=0,"Check category",IF(COUNTIF(INDEX(Lists!$H$6:$AA$45,0,MATCH(C2861,Lists!$H$4:$AA$4,0)),D2861)=0,"Check sub-category","OK"))))</f>
        <v/>
      </c>
      <c r="P2861">
        <f>IF(ISNUMBER(I2861),I2861+ROW()/10000000,"")</f>
        <v/>
      </c>
      <c r="Q2861">
        <f>IF(AND(ISNUMBER(P2861),ISNUMBER(A2861)),IF(AND(A2861&gt;=Dashboard!$Q$3,A2861&lt;=Dashboard!$Q$4,OR(J2861&lt;&gt;"Yes",Dashboard!$Q$15="Yes")),P2861,""),"")</f>
        <v/>
      </c>
    </row>
    <row r="2862">
      <c r="A2862" s="47" t="n"/>
      <c r="B2862" s="48" t="n"/>
      <c r="C2862" s="48" t="n"/>
      <c r="D2862" s="48" t="n"/>
      <c r="E2862" s="48" t="n"/>
      <c r="F2862" s="48" t="n"/>
      <c r="G2862" s="48" t="n"/>
      <c r="H2862" s="48" t="n"/>
      <c r="I2862" s="49" t="n"/>
      <c r="J2862" s="50" t="n"/>
      <c r="K2862" s="48" t="n"/>
      <c r="L2862" s="51">
        <f>IF(A2862="","",DATE(YEAR(A2862),MONTH(A2862),1))</f>
        <v/>
      </c>
      <c r="M2862" s="52">
        <f>IF(OR(A2862="",NOT(ISNUMBER(I2862))),"",IF(G2862=Lists!$B$5,I2862/2,IF(G2862=Lists!$B$6,I2862,0)))</f>
        <v/>
      </c>
      <c r="N2862" s="52">
        <f>IF(OR(A2862="",NOT(ISNUMBER(I2862))),"",IF(G2862=Lists!$B$5,I2862/2,IF(G2862=Lists!$B$7,I2862,0)))</f>
        <v/>
      </c>
      <c r="O2862" s="53">
        <f>IF(COUNTA(A2862:K2862)=0,"",IF(OR(A2862="",B2862="",C2862="",D2862="",E2862="",F2862="",G2862="",NOT(ISNUMBER(I2862))),"Incomplete",IF(COUNTIF(Lists!$H$4:$AA$4,C2862)=0,"Check category",IF(COUNTIF(INDEX(Lists!$H$6:$AA$45,0,MATCH(C2862,Lists!$H$4:$AA$4,0)),D2862)=0,"Check sub-category","OK"))))</f>
        <v/>
      </c>
      <c r="P2862">
        <f>IF(ISNUMBER(I2862),I2862+ROW()/10000000,"")</f>
        <v/>
      </c>
      <c r="Q2862">
        <f>IF(AND(ISNUMBER(P2862),ISNUMBER(A2862)),IF(AND(A2862&gt;=Dashboard!$Q$3,A2862&lt;=Dashboard!$Q$4,OR(J2862&lt;&gt;"Yes",Dashboard!$Q$15="Yes")),P2862,""),"")</f>
        <v/>
      </c>
    </row>
    <row r="2863">
      <c r="A2863" s="47" t="n"/>
      <c r="B2863" s="48" t="n"/>
      <c r="C2863" s="48" t="n"/>
      <c r="D2863" s="48" t="n"/>
      <c r="E2863" s="48" t="n"/>
      <c r="F2863" s="48" t="n"/>
      <c r="G2863" s="48" t="n"/>
      <c r="H2863" s="48" t="n"/>
      <c r="I2863" s="49" t="n"/>
      <c r="J2863" s="50" t="n"/>
      <c r="K2863" s="48" t="n"/>
      <c r="L2863" s="51">
        <f>IF(A2863="","",DATE(YEAR(A2863),MONTH(A2863),1))</f>
        <v/>
      </c>
      <c r="M2863" s="52">
        <f>IF(OR(A2863="",NOT(ISNUMBER(I2863))),"",IF(G2863=Lists!$B$5,I2863/2,IF(G2863=Lists!$B$6,I2863,0)))</f>
        <v/>
      </c>
      <c r="N2863" s="52">
        <f>IF(OR(A2863="",NOT(ISNUMBER(I2863))),"",IF(G2863=Lists!$B$5,I2863/2,IF(G2863=Lists!$B$7,I2863,0)))</f>
        <v/>
      </c>
      <c r="O2863" s="53">
        <f>IF(COUNTA(A2863:K2863)=0,"",IF(OR(A2863="",B2863="",C2863="",D2863="",E2863="",F2863="",G2863="",NOT(ISNUMBER(I2863))),"Incomplete",IF(COUNTIF(Lists!$H$4:$AA$4,C2863)=0,"Check category",IF(COUNTIF(INDEX(Lists!$H$6:$AA$45,0,MATCH(C2863,Lists!$H$4:$AA$4,0)),D2863)=0,"Check sub-category","OK"))))</f>
        <v/>
      </c>
      <c r="P2863">
        <f>IF(ISNUMBER(I2863),I2863+ROW()/10000000,"")</f>
        <v/>
      </c>
      <c r="Q2863">
        <f>IF(AND(ISNUMBER(P2863),ISNUMBER(A2863)),IF(AND(A2863&gt;=Dashboard!$Q$3,A2863&lt;=Dashboard!$Q$4,OR(J2863&lt;&gt;"Yes",Dashboard!$Q$15="Yes")),P2863,""),"")</f>
        <v/>
      </c>
    </row>
    <row r="2864">
      <c r="A2864" s="47" t="n"/>
      <c r="B2864" s="48" t="n"/>
      <c r="C2864" s="48" t="n"/>
      <c r="D2864" s="48" t="n"/>
      <c r="E2864" s="48" t="n"/>
      <c r="F2864" s="48" t="n"/>
      <c r="G2864" s="48" t="n"/>
      <c r="H2864" s="48" t="n"/>
      <c r="I2864" s="49" t="n"/>
      <c r="J2864" s="50" t="n"/>
      <c r="K2864" s="48" t="n"/>
      <c r="L2864" s="51">
        <f>IF(A2864="","",DATE(YEAR(A2864),MONTH(A2864),1))</f>
        <v/>
      </c>
      <c r="M2864" s="52">
        <f>IF(OR(A2864="",NOT(ISNUMBER(I2864))),"",IF(G2864=Lists!$B$5,I2864/2,IF(G2864=Lists!$B$6,I2864,0)))</f>
        <v/>
      </c>
      <c r="N2864" s="52">
        <f>IF(OR(A2864="",NOT(ISNUMBER(I2864))),"",IF(G2864=Lists!$B$5,I2864/2,IF(G2864=Lists!$B$7,I2864,0)))</f>
        <v/>
      </c>
      <c r="O2864" s="53">
        <f>IF(COUNTA(A2864:K2864)=0,"",IF(OR(A2864="",B2864="",C2864="",D2864="",E2864="",F2864="",G2864="",NOT(ISNUMBER(I2864))),"Incomplete",IF(COUNTIF(Lists!$H$4:$AA$4,C2864)=0,"Check category",IF(COUNTIF(INDEX(Lists!$H$6:$AA$45,0,MATCH(C2864,Lists!$H$4:$AA$4,0)),D2864)=0,"Check sub-category","OK"))))</f>
        <v/>
      </c>
      <c r="P2864">
        <f>IF(ISNUMBER(I2864),I2864+ROW()/10000000,"")</f>
        <v/>
      </c>
      <c r="Q2864">
        <f>IF(AND(ISNUMBER(P2864),ISNUMBER(A2864)),IF(AND(A2864&gt;=Dashboard!$Q$3,A2864&lt;=Dashboard!$Q$4,OR(J2864&lt;&gt;"Yes",Dashboard!$Q$15="Yes")),P2864,""),"")</f>
        <v/>
      </c>
    </row>
    <row r="2865">
      <c r="A2865" s="47" t="n"/>
      <c r="B2865" s="48" t="n"/>
      <c r="C2865" s="48" t="n"/>
      <c r="D2865" s="48" t="n"/>
      <c r="E2865" s="48" t="n"/>
      <c r="F2865" s="48" t="n"/>
      <c r="G2865" s="48" t="n"/>
      <c r="H2865" s="48" t="n"/>
      <c r="I2865" s="49" t="n"/>
      <c r="J2865" s="50" t="n"/>
      <c r="K2865" s="48" t="n"/>
      <c r="L2865" s="51">
        <f>IF(A2865="","",DATE(YEAR(A2865),MONTH(A2865),1))</f>
        <v/>
      </c>
      <c r="M2865" s="52">
        <f>IF(OR(A2865="",NOT(ISNUMBER(I2865))),"",IF(G2865=Lists!$B$5,I2865/2,IF(G2865=Lists!$B$6,I2865,0)))</f>
        <v/>
      </c>
      <c r="N2865" s="52">
        <f>IF(OR(A2865="",NOT(ISNUMBER(I2865))),"",IF(G2865=Lists!$B$5,I2865/2,IF(G2865=Lists!$B$7,I2865,0)))</f>
        <v/>
      </c>
      <c r="O2865" s="53">
        <f>IF(COUNTA(A2865:K2865)=0,"",IF(OR(A2865="",B2865="",C2865="",D2865="",E2865="",F2865="",G2865="",NOT(ISNUMBER(I2865))),"Incomplete",IF(COUNTIF(Lists!$H$4:$AA$4,C2865)=0,"Check category",IF(COUNTIF(INDEX(Lists!$H$6:$AA$45,0,MATCH(C2865,Lists!$H$4:$AA$4,0)),D2865)=0,"Check sub-category","OK"))))</f>
        <v/>
      </c>
      <c r="P2865">
        <f>IF(ISNUMBER(I2865),I2865+ROW()/10000000,"")</f>
        <v/>
      </c>
      <c r="Q2865">
        <f>IF(AND(ISNUMBER(P2865),ISNUMBER(A2865)),IF(AND(A2865&gt;=Dashboard!$Q$3,A2865&lt;=Dashboard!$Q$4,OR(J2865&lt;&gt;"Yes",Dashboard!$Q$15="Yes")),P2865,""),"")</f>
        <v/>
      </c>
    </row>
    <row r="2866">
      <c r="A2866" s="47" t="n"/>
      <c r="B2866" s="48" t="n"/>
      <c r="C2866" s="48" t="n"/>
      <c r="D2866" s="48" t="n"/>
      <c r="E2866" s="48" t="n"/>
      <c r="F2866" s="48" t="n"/>
      <c r="G2866" s="48" t="n"/>
      <c r="H2866" s="48" t="n"/>
      <c r="I2866" s="49" t="n"/>
      <c r="J2866" s="50" t="n"/>
      <c r="K2866" s="48" t="n"/>
      <c r="L2866" s="51">
        <f>IF(A2866="","",DATE(YEAR(A2866),MONTH(A2866),1))</f>
        <v/>
      </c>
      <c r="M2866" s="52">
        <f>IF(OR(A2866="",NOT(ISNUMBER(I2866))),"",IF(G2866=Lists!$B$5,I2866/2,IF(G2866=Lists!$B$6,I2866,0)))</f>
        <v/>
      </c>
      <c r="N2866" s="52">
        <f>IF(OR(A2866="",NOT(ISNUMBER(I2866))),"",IF(G2866=Lists!$B$5,I2866/2,IF(G2866=Lists!$B$7,I2866,0)))</f>
        <v/>
      </c>
      <c r="O2866" s="53">
        <f>IF(COUNTA(A2866:K2866)=0,"",IF(OR(A2866="",B2866="",C2866="",D2866="",E2866="",F2866="",G2866="",NOT(ISNUMBER(I2866))),"Incomplete",IF(COUNTIF(Lists!$H$4:$AA$4,C2866)=0,"Check category",IF(COUNTIF(INDEX(Lists!$H$6:$AA$45,0,MATCH(C2866,Lists!$H$4:$AA$4,0)),D2866)=0,"Check sub-category","OK"))))</f>
        <v/>
      </c>
      <c r="P2866">
        <f>IF(ISNUMBER(I2866),I2866+ROW()/10000000,"")</f>
        <v/>
      </c>
      <c r="Q2866">
        <f>IF(AND(ISNUMBER(P2866),ISNUMBER(A2866)),IF(AND(A2866&gt;=Dashboard!$Q$3,A2866&lt;=Dashboard!$Q$4,OR(J2866&lt;&gt;"Yes",Dashboard!$Q$15="Yes")),P2866,""),"")</f>
        <v/>
      </c>
    </row>
    <row r="2867">
      <c r="A2867" s="47" t="n"/>
      <c r="B2867" s="48" t="n"/>
      <c r="C2867" s="48" t="n"/>
      <c r="D2867" s="48" t="n"/>
      <c r="E2867" s="48" t="n"/>
      <c r="F2867" s="48" t="n"/>
      <c r="G2867" s="48" t="n"/>
      <c r="H2867" s="48" t="n"/>
      <c r="I2867" s="49" t="n"/>
      <c r="J2867" s="50" t="n"/>
      <c r="K2867" s="48" t="n"/>
      <c r="L2867" s="51">
        <f>IF(A2867="","",DATE(YEAR(A2867),MONTH(A2867),1))</f>
        <v/>
      </c>
      <c r="M2867" s="52">
        <f>IF(OR(A2867="",NOT(ISNUMBER(I2867))),"",IF(G2867=Lists!$B$5,I2867/2,IF(G2867=Lists!$B$6,I2867,0)))</f>
        <v/>
      </c>
      <c r="N2867" s="52">
        <f>IF(OR(A2867="",NOT(ISNUMBER(I2867))),"",IF(G2867=Lists!$B$5,I2867/2,IF(G2867=Lists!$B$7,I2867,0)))</f>
        <v/>
      </c>
      <c r="O2867" s="53">
        <f>IF(COUNTA(A2867:K2867)=0,"",IF(OR(A2867="",B2867="",C2867="",D2867="",E2867="",F2867="",G2867="",NOT(ISNUMBER(I2867))),"Incomplete",IF(COUNTIF(Lists!$H$4:$AA$4,C2867)=0,"Check category",IF(COUNTIF(INDEX(Lists!$H$6:$AA$45,0,MATCH(C2867,Lists!$H$4:$AA$4,0)),D2867)=0,"Check sub-category","OK"))))</f>
        <v/>
      </c>
      <c r="P2867">
        <f>IF(ISNUMBER(I2867),I2867+ROW()/10000000,"")</f>
        <v/>
      </c>
      <c r="Q2867">
        <f>IF(AND(ISNUMBER(P2867),ISNUMBER(A2867)),IF(AND(A2867&gt;=Dashboard!$Q$3,A2867&lt;=Dashboard!$Q$4,OR(J2867&lt;&gt;"Yes",Dashboard!$Q$15="Yes")),P2867,""),"")</f>
        <v/>
      </c>
    </row>
    <row r="2868">
      <c r="A2868" s="47" t="n"/>
      <c r="B2868" s="48" t="n"/>
      <c r="C2868" s="48" t="n"/>
      <c r="D2868" s="48" t="n"/>
      <c r="E2868" s="48" t="n"/>
      <c r="F2868" s="48" t="n"/>
      <c r="G2868" s="48" t="n"/>
      <c r="H2868" s="48" t="n"/>
      <c r="I2868" s="49" t="n"/>
      <c r="J2868" s="50" t="n"/>
      <c r="K2868" s="48" t="n"/>
      <c r="L2868" s="51">
        <f>IF(A2868="","",DATE(YEAR(A2868),MONTH(A2868),1))</f>
        <v/>
      </c>
      <c r="M2868" s="52">
        <f>IF(OR(A2868="",NOT(ISNUMBER(I2868))),"",IF(G2868=Lists!$B$5,I2868/2,IF(G2868=Lists!$B$6,I2868,0)))</f>
        <v/>
      </c>
      <c r="N2868" s="52">
        <f>IF(OR(A2868="",NOT(ISNUMBER(I2868))),"",IF(G2868=Lists!$B$5,I2868/2,IF(G2868=Lists!$B$7,I2868,0)))</f>
        <v/>
      </c>
      <c r="O2868" s="53">
        <f>IF(COUNTA(A2868:K2868)=0,"",IF(OR(A2868="",B2868="",C2868="",D2868="",E2868="",F2868="",G2868="",NOT(ISNUMBER(I2868))),"Incomplete",IF(COUNTIF(Lists!$H$4:$AA$4,C2868)=0,"Check category",IF(COUNTIF(INDEX(Lists!$H$6:$AA$45,0,MATCH(C2868,Lists!$H$4:$AA$4,0)),D2868)=0,"Check sub-category","OK"))))</f>
        <v/>
      </c>
      <c r="P2868">
        <f>IF(ISNUMBER(I2868),I2868+ROW()/10000000,"")</f>
        <v/>
      </c>
      <c r="Q2868">
        <f>IF(AND(ISNUMBER(P2868),ISNUMBER(A2868)),IF(AND(A2868&gt;=Dashboard!$Q$3,A2868&lt;=Dashboard!$Q$4,OR(J2868&lt;&gt;"Yes",Dashboard!$Q$15="Yes")),P2868,""),"")</f>
        <v/>
      </c>
    </row>
    <row r="2869">
      <c r="A2869" s="47" t="n"/>
      <c r="B2869" s="48" t="n"/>
      <c r="C2869" s="48" t="n"/>
      <c r="D2869" s="48" t="n"/>
      <c r="E2869" s="48" t="n"/>
      <c r="F2869" s="48" t="n"/>
      <c r="G2869" s="48" t="n"/>
      <c r="H2869" s="48" t="n"/>
      <c r="I2869" s="49" t="n"/>
      <c r="J2869" s="50" t="n"/>
      <c r="K2869" s="48" t="n"/>
      <c r="L2869" s="51">
        <f>IF(A2869="","",DATE(YEAR(A2869),MONTH(A2869),1))</f>
        <v/>
      </c>
      <c r="M2869" s="52">
        <f>IF(OR(A2869="",NOT(ISNUMBER(I2869))),"",IF(G2869=Lists!$B$5,I2869/2,IF(G2869=Lists!$B$6,I2869,0)))</f>
        <v/>
      </c>
      <c r="N2869" s="52">
        <f>IF(OR(A2869="",NOT(ISNUMBER(I2869))),"",IF(G2869=Lists!$B$5,I2869/2,IF(G2869=Lists!$B$7,I2869,0)))</f>
        <v/>
      </c>
      <c r="O2869" s="53">
        <f>IF(COUNTA(A2869:K2869)=0,"",IF(OR(A2869="",B2869="",C2869="",D2869="",E2869="",F2869="",G2869="",NOT(ISNUMBER(I2869))),"Incomplete",IF(COUNTIF(Lists!$H$4:$AA$4,C2869)=0,"Check category",IF(COUNTIF(INDEX(Lists!$H$6:$AA$45,0,MATCH(C2869,Lists!$H$4:$AA$4,0)),D2869)=0,"Check sub-category","OK"))))</f>
        <v/>
      </c>
      <c r="P2869">
        <f>IF(ISNUMBER(I2869),I2869+ROW()/10000000,"")</f>
        <v/>
      </c>
      <c r="Q2869">
        <f>IF(AND(ISNUMBER(P2869),ISNUMBER(A2869)),IF(AND(A2869&gt;=Dashboard!$Q$3,A2869&lt;=Dashboard!$Q$4,OR(J2869&lt;&gt;"Yes",Dashboard!$Q$15="Yes")),P2869,""),"")</f>
        <v/>
      </c>
    </row>
    <row r="2870">
      <c r="A2870" s="47" t="n"/>
      <c r="B2870" s="48" t="n"/>
      <c r="C2870" s="48" t="n"/>
      <c r="D2870" s="48" t="n"/>
      <c r="E2870" s="48" t="n"/>
      <c r="F2870" s="48" t="n"/>
      <c r="G2870" s="48" t="n"/>
      <c r="H2870" s="48" t="n"/>
      <c r="I2870" s="49" t="n"/>
      <c r="J2870" s="50" t="n"/>
      <c r="K2870" s="48" t="n"/>
      <c r="L2870" s="51">
        <f>IF(A2870="","",DATE(YEAR(A2870),MONTH(A2870),1))</f>
        <v/>
      </c>
      <c r="M2870" s="52">
        <f>IF(OR(A2870="",NOT(ISNUMBER(I2870))),"",IF(G2870=Lists!$B$5,I2870/2,IF(G2870=Lists!$B$6,I2870,0)))</f>
        <v/>
      </c>
      <c r="N2870" s="52">
        <f>IF(OR(A2870="",NOT(ISNUMBER(I2870))),"",IF(G2870=Lists!$B$5,I2870/2,IF(G2870=Lists!$B$7,I2870,0)))</f>
        <v/>
      </c>
      <c r="O2870" s="53">
        <f>IF(COUNTA(A2870:K2870)=0,"",IF(OR(A2870="",B2870="",C2870="",D2870="",E2870="",F2870="",G2870="",NOT(ISNUMBER(I2870))),"Incomplete",IF(COUNTIF(Lists!$H$4:$AA$4,C2870)=0,"Check category",IF(COUNTIF(INDEX(Lists!$H$6:$AA$45,0,MATCH(C2870,Lists!$H$4:$AA$4,0)),D2870)=0,"Check sub-category","OK"))))</f>
        <v/>
      </c>
      <c r="P2870">
        <f>IF(ISNUMBER(I2870),I2870+ROW()/10000000,"")</f>
        <v/>
      </c>
      <c r="Q2870">
        <f>IF(AND(ISNUMBER(P2870),ISNUMBER(A2870)),IF(AND(A2870&gt;=Dashboard!$Q$3,A2870&lt;=Dashboard!$Q$4,OR(J2870&lt;&gt;"Yes",Dashboard!$Q$15="Yes")),P2870,""),"")</f>
        <v/>
      </c>
    </row>
    <row r="2871">
      <c r="A2871" s="47" t="n"/>
      <c r="B2871" s="48" t="n"/>
      <c r="C2871" s="48" t="n"/>
      <c r="D2871" s="48" t="n"/>
      <c r="E2871" s="48" t="n"/>
      <c r="F2871" s="48" t="n"/>
      <c r="G2871" s="48" t="n"/>
      <c r="H2871" s="48" t="n"/>
      <c r="I2871" s="49" t="n"/>
      <c r="J2871" s="50" t="n"/>
      <c r="K2871" s="48" t="n"/>
      <c r="L2871" s="51">
        <f>IF(A2871="","",DATE(YEAR(A2871),MONTH(A2871),1))</f>
        <v/>
      </c>
      <c r="M2871" s="52">
        <f>IF(OR(A2871="",NOT(ISNUMBER(I2871))),"",IF(G2871=Lists!$B$5,I2871/2,IF(G2871=Lists!$B$6,I2871,0)))</f>
        <v/>
      </c>
      <c r="N2871" s="52">
        <f>IF(OR(A2871="",NOT(ISNUMBER(I2871))),"",IF(G2871=Lists!$B$5,I2871/2,IF(G2871=Lists!$B$7,I2871,0)))</f>
        <v/>
      </c>
      <c r="O2871" s="53">
        <f>IF(COUNTA(A2871:K2871)=0,"",IF(OR(A2871="",B2871="",C2871="",D2871="",E2871="",F2871="",G2871="",NOT(ISNUMBER(I2871))),"Incomplete",IF(COUNTIF(Lists!$H$4:$AA$4,C2871)=0,"Check category",IF(COUNTIF(INDEX(Lists!$H$6:$AA$45,0,MATCH(C2871,Lists!$H$4:$AA$4,0)),D2871)=0,"Check sub-category","OK"))))</f>
        <v/>
      </c>
      <c r="P2871">
        <f>IF(ISNUMBER(I2871),I2871+ROW()/10000000,"")</f>
        <v/>
      </c>
      <c r="Q2871">
        <f>IF(AND(ISNUMBER(P2871),ISNUMBER(A2871)),IF(AND(A2871&gt;=Dashboard!$Q$3,A2871&lt;=Dashboard!$Q$4,OR(J2871&lt;&gt;"Yes",Dashboard!$Q$15="Yes")),P2871,""),"")</f>
        <v/>
      </c>
    </row>
    <row r="2872">
      <c r="A2872" s="47" t="n"/>
      <c r="B2872" s="48" t="n"/>
      <c r="C2872" s="48" t="n"/>
      <c r="D2872" s="48" t="n"/>
      <c r="E2872" s="48" t="n"/>
      <c r="F2872" s="48" t="n"/>
      <c r="G2872" s="48" t="n"/>
      <c r="H2872" s="48" t="n"/>
      <c r="I2872" s="49" t="n"/>
      <c r="J2872" s="50" t="n"/>
      <c r="K2872" s="48" t="n"/>
      <c r="L2872" s="51">
        <f>IF(A2872="","",DATE(YEAR(A2872),MONTH(A2872),1))</f>
        <v/>
      </c>
      <c r="M2872" s="52">
        <f>IF(OR(A2872="",NOT(ISNUMBER(I2872))),"",IF(G2872=Lists!$B$5,I2872/2,IF(G2872=Lists!$B$6,I2872,0)))</f>
        <v/>
      </c>
      <c r="N2872" s="52">
        <f>IF(OR(A2872="",NOT(ISNUMBER(I2872))),"",IF(G2872=Lists!$B$5,I2872/2,IF(G2872=Lists!$B$7,I2872,0)))</f>
        <v/>
      </c>
      <c r="O2872" s="53">
        <f>IF(COUNTA(A2872:K2872)=0,"",IF(OR(A2872="",B2872="",C2872="",D2872="",E2872="",F2872="",G2872="",NOT(ISNUMBER(I2872))),"Incomplete",IF(COUNTIF(Lists!$H$4:$AA$4,C2872)=0,"Check category",IF(COUNTIF(INDEX(Lists!$H$6:$AA$45,0,MATCH(C2872,Lists!$H$4:$AA$4,0)),D2872)=0,"Check sub-category","OK"))))</f>
        <v/>
      </c>
      <c r="P2872">
        <f>IF(ISNUMBER(I2872),I2872+ROW()/10000000,"")</f>
        <v/>
      </c>
      <c r="Q2872">
        <f>IF(AND(ISNUMBER(P2872),ISNUMBER(A2872)),IF(AND(A2872&gt;=Dashboard!$Q$3,A2872&lt;=Dashboard!$Q$4,OR(J2872&lt;&gt;"Yes",Dashboard!$Q$15="Yes")),P2872,""),"")</f>
        <v/>
      </c>
    </row>
    <row r="2873">
      <c r="A2873" s="47" t="n"/>
      <c r="B2873" s="48" t="n"/>
      <c r="C2873" s="48" t="n"/>
      <c r="D2873" s="48" t="n"/>
      <c r="E2873" s="48" t="n"/>
      <c r="F2873" s="48" t="n"/>
      <c r="G2873" s="48" t="n"/>
      <c r="H2873" s="48" t="n"/>
      <c r="I2873" s="49" t="n"/>
      <c r="J2873" s="50" t="n"/>
      <c r="K2873" s="48" t="n"/>
      <c r="L2873" s="51">
        <f>IF(A2873="","",DATE(YEAR(A2873),MONTH(A2873),1))</f>
        <v/>
      </c>
      <c r="M2873" s="52">
        <f>IF(OR(A2873="",NOT(ISNUMBER(I2873))),"",IF(G2873=Lists!$B$5,I2873/2,IF(G2873=Lists!$B$6,I2873,0)))</f>
        <v/>
      </c>
      <c r="N2873" s="52">
        <f>IF(OR(A2873="",NOT(ISNUMBER(I2873))),"",IF(G2873=Lists!$B$5,I2873/2,IF(G2873=Lists!$B$7,I2873,0)))</f>
        <v/>
      </c>
      <c r="O2873" s="53">
        <f>IF(COUNTA(A2873:K2873)=0,"",IF(OR(A2873="",B2873="",C2873="",D2873="",E2873="",F2873="",G2873="",NOT(ISNUMBER(I2873))),"Incomplete",IF(COUNTIF(Lists!$H$4:$AA$4,C2873)=0,"Check category",IF(COUNTIF(INDEX(Lists!$H$6:$AA$45,0,MATCH(C2873,Lists!$H$4:$AA$4,0)),D2873)=0,"Check sub-category","OK"))))</f>
        <v/>
      </c>
      <c r="P2873">
        <f>IF(ISNUMBER(I2873),I2873+ROW()/10000000,"")</f>
        <v/>
      </c>
      <c r="Q2873">
        <f>IF(AND(ISNUMBER(P2873),ISNUMBER(A2873)),IF(AND(A2873&gt;=Dashboard!$Q$3,A2873&lt;=Dashboard!$Q$4,OR(J2873&lt;&gt;"Yes",Dashboard!$Q$15="Yes")),P2873,""),"")</f>
        <v/>
      </c>
    </row>
    <row r="2874">
      <c r="A2874" s="47" t="n"/>
      <c r="B2874" s="48" t="n"/>
      <c r="C2874" s="48" t="n"/>
      <c r="D2874" s="48" t="n"/>
      <c r="E2874" s="48" t="n"/>
      <c r="F2874" s="48" t="n"/>
      <c r="G2874" s="48" t="n"/>
      <c r="H2874" s="48" t="n"/>
      <c r="I2874" s="49" t="n"/>
      <c r="J2874" s="50" t="n"/>
      <c r="K2874" s="48" t="n"/>
      <c r="L2874" s="51">
        <f>IF(A2874="","",DATE(YEAR(A2874),MONTH(A2874),1))</f>
        <v/>
      </c>
      <c r="M2874" s="52">
        <f>IF(OR(A2874="",NOT(ISNUMBER(I2874))),"",IF(G2874=Lists!$B$5,I2874/2,IF(G2874=Lists!$B$6,I2874,0)))</f>
        <v/>
      </c>
      <c r="N2874" s="52">
        <f>IF(OR(A2874="",NOT(ISNUMBER(I2874))),"",IF(G2874=Lists!$B$5,I2874/2,IF(G2874=Lists!$B$7,I2874,0)))</f>
        <v/>
      </c>
      <c r="O2874" s="53">
        <f>IF(COUNTA(A2874:K2874)=0,"",IF(OR(A2874="",B2874="",C2874="",D2874="",E2874="",F2874="",G2874="",NOT(ISNUMBER(I2874))),"Incomplete",IF(COUNTIF(Lists!$H$4:$AA$4,C2874)=0,"Check category",IF(COUNTIF(INDEX(Lists!$H$6:$AA$45,0,MATCH(C2874,Lists!$H$4:$AA$4,0)),D2874)=0,"Check sub-category","OK"))))</f>
        <v/>
      </c>
      <c r="P2874">
        <f>IF(ISNUMBER(I2874),I2874+ROW()/10000000,"")</f>
        <v/>
      </c>
      <c r="Q2874">
        <f>IF(AND(ISNUMBER(P2874),ISNUMBER(A2874)),IF(AND(A2874&gt;=Dashboard!$Q$3,A2874&lt;=Dashboard!$Q$4,OR(J2874&lt;&gt;"Yes",Dashboard!$Q$15="Yes")),P2874,""),"")</f>
        <v/>
      </c>
    </row>
    <row r="2875">
      <c r="A2875" s="47" t="n"/>
      <c r="B2875" s="48" t="n"/>
      <c r="C2875" s="48" t="n"/>
      <c r="D2875" s="48" t="n"/>
      <c r="E2875" s="48" t="n"/>
      <c r="F2875" s="48" t="n"/>
      <c r="G2875" s="48" t="n"/>
      <c r="H2875" s="48" t="n"/>
      <c r="I2875" s="49" t="n"/>
      <c r="J2875" s="50" t="n"/>
      <c r="K2875" s="48" t="n"/>
      <c r="L2875" s="51">
        <f>IF(A2875="","",DATE(YEAR(A2875),MONTH(A2875),1))</f>
        <v/>
      </c>
      <c r="M2875" s="52">
        <f>IF(OR(A2875="",NOT(ISNUMBER(I2875))),"",IF(G2875=Lists!$B$5,I2875/2,IF(G2875=Lists!$B$6,I2875,0)))</f>
        <v/>
      </c>
      <c r="N2875" s="52">
        <f>IF(OR(A2875="",NOT(ISNUMBER(I2875))),"",IF(G2875=Lists!$B$5,I2875/2,IF(G2875=Lists!$B$7,I2875,0)))</f>
        <v/>
      </c>
      <c r="O2875" s="53">
        <f>IF(COUNTA(A2875:K2875)=0,"",IF(OR(A2875="",B2875="",C2875="",D2875="",E2875="",F2875="",G2875="",NOT(ISNUMBER(I2875))),"Incomplete",IF(COUNTIF(Lists!$H$4:$AA$4,C2875)=0,"Check category",IF(COUNTIF(INDEX(Lists!$H$6:$AA$45,0,MATCH(C2875,Lists!$H$4:$AA$4,0)),D2875)=0,"Check sub-category","OK"))))</f>
        <v/>
      </c>
      <c r="P2875">
        <f>IF(ISNUMBER(I2875),I2875+ROW()/10000000,"")</f>
        <v/>
      </c>
      <c r="Q2875">
        <f>IF(AND(ISNUMBER(P2875),ISNUMBER(A2875)),IF(AND(A2875&gt;=Dashboard!$Q$3,A2875&lt;=Dashboard!$Q$4,OR(J2875&lt;&gt;"Yes",Dashboard!$Q$15="Yes")),P2875,""),"")</f>
        <v/>
      </c>
    </row>
    <row r="2876">
      <c r="A2876" s="47" t="n"/>
      <c r="B2876" s="48" t="n"/>
      <c r="C2876" s="48" t="n"/>
      <c r="D2876" s="48" t="n"/>
      <c r="E2876" s="48" t="n"/>
      <c r="F2876" s="48" t="n"/>
      <c r="G2876" s="48" t="n"/>
      <c r="H2876" s="48" t="n"/>
      <c r="I2876" s="49" t="n"/>
      <c r="J2876" s="50" t="n"/>
      <c r="K2876" s="48" t="n"/>
      <c r="L2876" s="51">
        <f>IF(A2876="","",DATE(YEAR(A2876),MONTH(A2876),1))</f>
        <v/>
      </c>
      <c r="M2876" s="52">
        <f>IF(OR(A2876="",NOT(ISNUMBER(I2876))),"",IF(G2876=Lists!$B$5,I2876/2,IF(G2876=Lists!$B$6,I2876,0)))</f>
        <v/>
      </c>
      <c r="N2876" s="52">
        <f>IF(OR(A2876="",NOT(ISNUMBER(I2876))),"",IF(G2876=Lists!$B$5,I2876/2,IF(G2876=Lists!$B$7,I2876,0)))</f>
        <v/>
      </c>
      <c r="O2876" s="53">
        <f>IF(COUNTA(A2876:K2876)=0,"",IF(OR(A2876="",B2876="",C2876="",D2876="",E2876="",F2876="",G2876="",NOT(ISNUMBER(I2876))),"Incomplete",IF(COUNTIF(Lists!$H$4:$AA$4,C2876)=0,"Check category",IF(COUNTIF(INDEX(Lists!$H$6:$AA$45,0,MATCH(C2876,Lists!$H$4:$AA$4,0)),D2876)=0,"Check sub-category","OK"))))</f>
        <v/>
      </c>
      <c r="P2876">
        <f>IF(ISNUMBER(I2876),I2876+ROW()/10000000,"")</f>
        <v/>
      </c>
      <c r="Q2876">
        <f>IF(AND(ISNUMBER(P2876),ISNUMBER(A2876)),IF(AND(A2876&gt;=Dashboard!$Q$3,A2876&lt;=Dashboard!$Q$4,OR(J2876&lt;&gt;"Yes",Dashboard!$Q$15="Yes")),P2876,""),"")</f>
        <v/>
      </c>
    </row>
    <row r="2877">
      <c r="A2877" s="47" t="n"/>
      <c r="B2877" s="48" t="n"/>
      <c r="C2877" s="48" t="n"/>
      <c r="D2877" s="48" t="n"/>
      <c r="E2877" s="48" t="n"/>
      <c r="F2877" s="48" t="n"/>
      <c r="G2877" s="48" t="n"/>
      <c r="H2877" s="48" t="n"/>
      <c r="I2877" s="49" t="n"/>
      <c r="J2877" s="50" t="n"/>
      <c r="K2877" s="48" t="n"/>
      <c r="L2877" s="51">
        <f>IF(A2877="","",DATE(YEAR(A2877),MONTH(A2877),1))</f>
        <v/>
      </c>
      <c r="M2877" s="52">
        <f>IF(OR(A2877="",NOT(ISNUMBER(I2877))),"",IF(G2877=Lists!$B$5,I2877/2,IF(G2877=Lists!$B$6,I2877,0)))</f>
        <v/>
      </c>
      <c r="N2877" s="52">
        <f>IF(OR(A2877="",NOT(ISNUMBER(I2877))),"",IF(G2877=Lists!$B$5,I2877/2,IF(G2877=Lists!$B$7,I2877,0)))</f>
        <v/>
      </c>
      <c r="O2877" s="53">
        <f>IF(COUNTA(A2877:K2877)=0,"",IF(OR(A2877="",B2877="",C2877="",D2877="",E2877="",F2877="",G2877="",NOT(ISNUMBER(I2877))),"Incomplete",IF(COUNTIF(Lists!$H$4:$AA$4,C2877)=0,"Check category",IF(COUNTIF(INDEX(Lists!$H$6:$AA$45,0,MATCH(C2877,Lists!$H$4:$AA$4,0)),D2877)=0,"Check sub-category","OK"))))</f>
        <v/>
      </c>
      <c r="P2877">
        <f>IF(ISNUMBER(I2877),I2877+ROW()/10000000,"")</f>
        <v/>
      </c>
      <c r="Q2877">
        <f>IF(AND(ISNUMBER(P2877),ISNUMBER(A2877)),IF(AND(A2877&gt;=Dashboard!$Q$3,A2877&lt;=Dashboard!$Q$4,OR(J2877&lt;&gt;"Yes",Dashboard!$Q$15="Yes")),P2877,""),"")</f>
        <v/>
      </c>
    </row>
    <row r="2878">
      <c r="A2878" s="47" t="n"/>
      <c r="B2878" s="48" t="n"/>
      <c r="C2878" s="48" t="n"/>
      <c r="D2878" s="48" t="n"/>
      <c r="E2878" s="48" t="n"/>
      <c r="F2878" s="48" t="n"/>
      <c r="G2878" s="48" t="n"/>
      <c r="H2878" s="48" t="n"/>
      <c r="I2878" s="49" t="n"/>
      <c r="J2878" s="50" t="n"/>
      <c r="K2878" s="48" t="n"/>
      <c r="L2878" s="51">
        <f>IF(A2878="","",DATE(YEAR(A2878),MONTH(A2878),1))</f>
        <v/>
      </c>
      <c r="M2878" s="52">
        <f>IF(OR(A2878="",NOT(ISNUMBER(I2878))),"",IF(G2878=Lists!$B$5,I2878/2,IF(G2878=Lists!$B$6,I2878,0)))</f>
        <v/>
      </c>
      <c r="N2878" s="52">
        <f>IF(OR(A2878="",NOT(ISNUMBER(I2878))),"",IF(G2878=Lists!$B$5,I2878/2,IF(G2878=Lists!$B$7,I2878,0)))</f>
        <v/>
      </c>
      <c r="O2878" s="53">
        <f>IF(COUNTA(A2878:K2878)=0,"",IF(OR(A2878="",B2878="",C2878="",D2878="",E2878="",F2878="",G2878="",NOT(ISNUMBER(I2878))),"Incomplete",IF(COUNTIF(Lists!$H$4:$AA$4,C2878)=0,"Check category",IF(COUNTIF(INDEX(Lists!$H$6:$AA$45,0,MATCH(C2878,Lists!$H$4:$AA$4,0)),D2878)=0,"Check sub-category","OK"))))</f>
        <v/>
      </c>
      <c r="P2878">
        <f>IF(ISNUMBER(I2878),I2878+ROW()/10000000,"")</f>
        <v/>
      </c>
      <c r="Q2878">
        <f>IF(AND(ISNUMBER(P2878),ISNUMBER(A2878)),IF(AND(A2878&gt;=Dashboard!$Q$3,A2878&lt;=Dashboard!$Q$4,OR(J2878&lt;&gt;"Yes",Dashboard!$Q$15="Yes")),P2878,""),"")</f>
        <v/>
      </c>
    </row>
    <row r="2879">
      <c r="A2879" s="47" t="n"/>
      <c r="B2879" s="48" t="n"/>
      <c r="C2879" s="48" t="n"/>
      <c r="D2879" s="48" t="n"/>
      <c r="E2879" s="48" t="n"/>
      <c r="F2879" s="48" t="n"/>
      <c r="G2879" s="48" t="n"/>
      <c r="H2879" s="48" t="n"/>
      <c r="I2879" s="49" t="n"/>
      <c r="J2879" s="50" t="n"/>
      <c r="K2879" s="48" t="n"/>
      <c r="L2879" s="51">
        <f>IF(A2879="","",DATE(YEAR(A2879),MONTH(A2879),1))</f>
        <v/>
      </c>
      <c r="M2879" s="52">
        <f>IF(OR(A2879="",NOT(ISNUMBER(I2879))),"",IF(G2879=Lists!$B$5,I2879/2,IF(G2879=Lists!$B$6,I2879,0)))</f>
        <v/>
      </c>
      <c r="N2879" s="52">
        <f>IF(OR(A2879="",NOT(ISNUMBER(I2879))),"",IF(G2879=Lists!$B$5,I2879/2,IF(G2879=Lists!$B$7,I2879,0)))</f>
        <v/>
      </c>
      <c r="O2879" s="53">
        <f>IF(COUNTA(A2879:K2879)=0,"",IF(OR(A2879="",B2879="",C2879="",D2879="",E2879="",F2879="",G2879="",NOT(ISNUMBER(I2879))),"Incomplete",IF(COUNTIF(Lists!$H$4:$AA$4,C2879)=0,"Check category",IF(COUNTIF(INDEX(Lists!$H$6:$AA$45,0,MATCH(C2879,Lists!$H$4:$AA$4,0)),D2879)=0,"Check sub-category","OK"))))</f>
        <v/>
      </c>
      <c r="P2879">
        <f>IF(ISNUMBER(I2879),I2879+ROW()/10000000,"")</f>
        <v/>
      </c>
      <c r="Q2879">
        <f>IF(AND(ISNUMBER(P2879),ISNUMBER(A2879)),IF(AND(A2879&gt;=Dashboard!$Q$3,A2879&lt;=Dashboard!$Q$4,OR(J2879&lt;&gt;"Yes",Dashboard!$Q$15="Yes")),P2879,""),"")</f>
        <v/>
      </c>
    </row>
    <row r="2880">
      <c r="A2880" s="47" t="n"/>
      <c r="B2880" s="48" t="n"/>
      <c r="C2880" s="48" t="n"/>
      <c r="D2880" s="48" t="n"/>
      <c r="E2880" s="48" t="n"/>
      <c r="F2880" s="48" t="n"/>
      <c r="G2880" s="48" t="n"/>
      <c r="H2880" s="48" t="n"/>
      <c r="I2880" s="49" t="n"/>
      <c r="J2880" s="50" t="n"/>
      <c r="K2880" s="48" t="n"/>
      <c r="L2880" s="51">
        <f>IF(A2880="","",DATE(YEAR(A2880),MONTH(A2880),1))</f>
        <v/>
      </c>
      <c r="M2880" s="52">
        <f>IF(OR(A2880="",NOT(ISNUMBER(I2880))),"",IF(G2880=Lists!$B$5,I2880/2,IF(G2880=Lists!$B$6,I2880,0)))</f>
        <v/>
      </c>
      <c r="N2880" s="52">
        <f>IF(OR(A2880="",NOT(ISNUMBER(I2880))),"",IF(G2880=Lists!$B$5,I2880/2,IF(G2880=Lists!$B$7,I2880,0)))</f>
        <v/>
      </c>
      <c r="O2880" s="53">
        <f>IF(COUNTA(A2880:K2880)=0,"",IF(OR(A2880="",B2880="",C2880="",D2880="",E2880="",F2880="",G2880="",NOT(ISNUMBER(I2880))),"Incomplete",IF(COUNTIF(Lists!$H$4:$AA$4,C2880)=0,"Check category",IF(COUNTIF(INDEX(Lists!$H$6:$AA$45,0,MATCH(C2880,Lists!$H$4:$AA$4,0)),D2880)=0,"Check sub-category","OK"))))</f>
        <v/>
      </c>
      <c r="P2880">
        <f>IF(ISNUMBER(I2880),I2880+ROW()/10000000,"")</f>
        <v/>
      </c>
      <c r="Q2880">
        <f>IF(AND(ISNUMBER(P2880),ISNUMBER(A2880)),IF(AND(A2880&gt;=Dashboard!$Q$3,A2880&lt;=Dashboard!$Q$4,OR(J2880&lt;&gt;"Yes",Dashboard!$Q$15="Yes")),P2880,""),"")</f>
        <v/>
      </c>
    </row>
    <row r="2881">
      <c r="A2881" s="47" t="n"/>
      <c r="B2881" s="48" t="n"/>
      <c r="C2881" s="48" t="n"/>
      <c r="D2881" s="48" t="n"/>
      <c r="E2881" s="48" t="n"/>
      <c r="F2881" s="48" t="n"/>
      <c r="G2881" s="48" t="n"/>
      <c r="H2881" s="48" t="n"/>
      <c r="I2881" s="49" t="n"/>
      <c r="J2881" s="50" t="n"/>
      <c r="K2881" s="48" t="n"/>
      <c r="L2881" s="51">
        <f>IF(A2881="","",DATE(YEAR(A2881),MONTH(A2881),1))</f>
        <v/>
      </c>
      <c r="M2881" s="52">
        <f>IF(OR(A2881="",NOT(ISNUMBER(I2881))),"",IF(G2881=Lists!$B$5,I2881/2,IF(G2881=Lists!$B$6,I2881,0)))</f>
        <v/>
      </c>
      <c r="N2881" s="52">
        <f>IF(OR(A2881="",NOT(ISNUMBER(I2881))),"",IF(G2881=Lists!$B$5,I2881/2,IF(G2881=Lists!$B$7,I2881,0)))</f>
        <v/>
      </c>
      <c r="O2881" s="53">
        <f>IF(COUNTA(A2881:K2881)=0,"",IF(OR(A2881="",B2881="",C2881="",D2881="",E2881="",F2881="",G2881="",NOT(ISNUMBER(I2881))),"Incomplete",IF(COUNTIF(Lists!$H$4:$AA$4,C2881)=0,"Check category",IF(COUNTIF(INDEX(Lists!$H$6:$AA$45,0,MATCH(C2881,Lists!$H$4:$AA$4,0)),D2881)=0,"Check sub-category","OK"))))</f>
        <v/>
      </c>
      <c r="P2881">
        <f>IF(ISNUMBER(I2881),I2881+ROW()/10000000,"")</f>
        <v/>
      </c>
      <c r="Q2881">
        <f>IF(AND(ISNUMBER(P2881),ISNUMBER(A2881)),IF(AND(A2881&gt;=Dashboard!$Q$3,A2881&lt;=Dashboard!$Q$4,OR(J2881&lt;&gt;"Yes",Dashboard!$Q$15="Yes")),P2881,""),"")</f>
        <v/>
      </c>
    </row>
    <row r="2882">
      <c r="A2882" s="47" t="n"/>
      <c r="B2882" s="48" t="n"/>
      <c r="C2882" s="48" t="n"/>
      <c r="D2882" s="48" t="n"/>
      <c r="E2882" s="48" t="n"/>
      <c r="F2882" s="48" t="n"/>
      <c r="G2882" s="48" t="n"/>
      <c r="H2882" s="48" t="n"/>
      <c r="I2882" s="49" t="n"/>
      <c r="J2882" s="50" t="n"/>
      <c r="K2882" s="48" t="n"/>
      <c r="L2882" s="51">
        <f>IF(A2882="","",DATE(YEAR(A2882),MONTH(A2882),1))</f>
        <v/>
      </c>
      <c r="M2882" s="52">
        <f>IF(OR(A2882="",NOT(ISNUMBER(I2882))),"",IF(G2882=Lists!$B$5,I2882/2,IF(G2882=Lists!$B$6,I2882,0)))</f>
        <v/>
      </c>
      <c r="N2882" s="52">
        <f>IF(OR(A2882="",NOT(ISNUMBER(I2882))),"",IF(G2882=Lists!$B$5,I2882/2,IF(G2882=Lists!$B$7,I2882,0)))</f>
        <v/>
      </c>
      <c r="O2882" s="53">
        <f>IF(COUNTA(A2882:K2882)=0,"",IF(OR(A2882="",B2882="",C2882="",D2882="",E2882="",F2882="",G2882="",NOT(ISNUMBER(I2882))),"Incomplete",IF(COUNTIF(Lists!$H$4:$AA$4,C2882)=0,"Check category",IF(COUNTIF(INDEX(Lists!$H$6:$AA$45,0,MATCH(C2882,Lists!$H$4:$AA$4,0)),D2882)=0,"Check sub-category","OK"))))</f>
        <v/>
      </c>
      <c r="P2882">
        <f>IF(ISNUMBER(I2882),I2882+ROW()/10000000,"")</f>
        <v/>
      </c>
      <c r="Q2882">
        <f>IF(AND(ISNUMBER(P2882),ISNUMBER(A2882)),IF(AND(A2882&gt;=Dashboard!$Q$3,A2882&lt;=Dashboard!$Q$4,OR(J2882&lt;&gt;"Yes",Dashboard!$Q$15="Yes")),P2882,""),"")</f>
        <v/>
      </c>
    </row>
    <row r="2883">
      <c r="A2883" s="47" t="n"/>
      <c r="B2883" s="48" t="n"/>
      <c r="C2883" s="48" t="n"/>
      <c r="D2883" s="48" t="n"/>
      <c r="E2883" s="48" t="n"/>
      <c r="F2883" s="48" t="n"/>
      <c r="G2883" s="48" t="n"/>
      <c r="H2883" s="48" t="n"/>
      <c r="I2883" s="49" t="n"/>
      <c r="J2883" s="50" t="n"/>
      <c r="K2883" s="48" t="n"/>
      <c r="L2883" s="51">
        <f>IF(A2883="","",DATE(YEAR(A2883),MONTH(A2883),1))</f>
        <v/>
      </c>
      <c r="M2883" s="52">
        <f>IF(OR(A2883="",NOT(ISNUMBER(I2883))),"",IF(G2883=Lists!$B$5,I2883/2,IF(G2883=Lists!$B$6,I2883,0)))</f>
        <v/>
      </c>
      <c r="N2883" s="52">
        <f>IF(OR(A2883="",NOT(ISNUMBER(I2883))),"",IF(G2883=Lists!$B$5,I2883/2,IF(G2883=Lists!$B$7,I2883,0)))</f>
        <v/>
      </c>
      <c r="O2883" s="53">
        <f>IF(COUNTA(A2883:K2883)=0,"",IF(OR(A2883="",B2883="",C2883="",D2883="",E2883="",F2883="",G2883="",NOT(ISNUMBER(I2883))),"Incomplete",IF(COUNTIF(Lists!$H$4:$AA$4,C2883)=0,"Check category",IF(COUNTIF(INDEX(Lists!$H$6:$AA$45,0,MATCH(C2883,Lists!$H$4:$AA$4,0)),D2883)=0,"Check sub-category","OK"))))</f>
        <v/>
      </c>
      <c r="P2883">
        <f>IF(ISNUMBER(I2883),I2883+ROW()/10000000,"")</f>
        <v/>
      </c>
      <c r="Q2883">
        <f>IF(AND(ISNUMBER(P2883),ISNUMBER(A2883)),IF(AND(A2883&gt;=Dashboard!$Q$3,A2883&lt;=Dashboard!$Q$4,OR(J2883&lt;&gt;"Yes",Dashboard!$Q$15="Yes")),P2883,""),"")</f>
        <v/>
      </c>
    </row>
    <row r="2884">
      <c r="A2884" s="47" t="n"/>
      <c r="B2884" s="48" t="n"/>
      <c r="C2884" s="48" t="n"/>
      <c r="D2884" s="48" t="n"/>
      <c r="E2884" s="48" t="n"/>
      <c r="F2884" s="48" t="n"/>
      <c r="G2884" s="48" t="n"/>
      <c r="H2884" s="48" t="n"/>
      <c r="I2884" s="49" t="n"/>
      <c r="J2884" s="50" t="n"/>
      <c r="K2884" s="48" t="n"/>
      <c r="L2884" s="51">
        <f>IF(A2884="","",DATE(YEAR(A2884),MONTH(A2884),1))</f>
        <v/>
      </c>
      <c r="M2884" s="52">
        <f>IF(OR(A2884="",NOT(ISNUMBER(I2884))),"",IF(G2884=Lists!$B$5,I2884/2,IF(G2884=Lists!$B$6,I2884,0)))</f>
        <v/>
      </c>
      <c r="N2884" s="52">
        <f>IF(OR(A2884="",NOT(ISNUMBER(I2884))),"",IF(G2884=Lists!$B$5,I2884/2,IF(G2884=Lists!$B$7,I2884,0)))</f>
        <v/>
      </c>
      <c r="O2884" s="53">
        <f>IF(COUNTA(A2884:K2884)=0,"",IF(OR(A2884="",B2884="",C2884="",D2884="",E2884="",F2884="",G2884="",NOT(ISNUMBER(I2884))),"Incomplete",IF(COUNTIF(Lists!$H$4:$AA$4,C2884)=0,"Check category",IF(COUNTIF(INDEX(Lists!$H$6:$AA$45,0,MATCH(C2884,Lists!$H$4:$AA$4,0)),D2884)=0,"Check sub-category","OK"))))</f>
        <v/>
      </c>
      <c r="P2884">
        <f>IF(ISNUMBER(I2884),I2884+ROW()/10000000,"")</f>
        <v/>
      </c>
      <c r="Q2884">
        <f>IF(AND(ISNUMBER(P2884),ISNUMBER(A2884)),IF(AND(A2884&gt;=Dashboard!$Q$3,A2884&lt;=Dashboard!$Q$4,OR(J2884&lt;&gt;"Yes",Dashboard!$Q$15="Yes")),P2884,""),"")</f>
        <v/>
      </c>
    </row>
    <row r="2885">
      <c r="A2885" s="47" t="n"/>
      <c r="B2885" s="48" t="n"/>
      <c r="C2885" s="48" t="n"/>
      <c r="D2885" s="48" t="n"/>
      <c r="E2885" s="48" t="n"/>
      <c r="F2885" s="48" t="n"/>
      <c r="G2885" s="48" t="n"/>
      <c r="H2885" s="48" t="n"/>
      <c r="I2885" s="49" t="n"/>
      <c r="J2885" s="50" t="n"/>
      <c r="K2885" s="48" t="n"/>
      <c r="L2885" s="51">
        <f>IF(A2885="","",DATE(YEAR(A2885),MONTH(A2885),1))</f>
        <v/>
      </c>
      <c r="M2885" s="52">
        <f>IF(OR(A2885="",NOT(ISNUMBER(I2885))),"",IF(G2885=Lists!$B$5,I2885/2,IF(G2885=Lists!$B$6,I2885,0)))</f>
        <v/>
      </c>
      <c r="N2885" s="52">
        <f>IF(OR(A2885="",NOT(ISNUMBER(I2885))),"",IF(G2885=Lists!$B$5,I2885/2,IF(G2885=Lists!$B$7,I2885,0)))</f>
        <v/>
      </c>
      <c r="O2885" s="53">
        <f>IF(COUNTA(A2885:K2885)=0,"",IF(OR(A2885="",B2885="",C2885="",D2885="",E2885="",F2885="",G2885="",NOT(ISNUMBER(I2885))),"Incomplete",IF(COUNTIF(Lists!$H$4:$AA$4,C2885)=0,"Check category",IF(COUNTIF(INDEX(Lists!$H$6:$AA$45,0,MATCH(C2885,Lists!$H$4:$AA$4,0)),D2885)=0,"Check sub-category","OK"))))</f>
        <v/>
      </c>
      <c r="P2885">
        <f>IF(ISNUMBER(I2885),I2885+ROW()/10000000,"")</f>
        <v/>
      </c>
      <c r="Q2885">
        <f>IF(AND(ISNUMBER(P2885),ISNUMBER(A2885)),IF(AND(A2885&gt;=Dashboard!$Q$3,A2885&lt;=Dashboard!$Q$4,OR(J2885&lt;&gt;"Yes",Dashboard!$Q$15="Yes")),P2885,""),"")</f>
        <v/>
      </c>
    </row>
    <row r="2886">
      <c r="A2886" s="47" t="n"/>
      <c r="B2886" s="48" t="n"/>
      <c r="C2886" s="48" t="n"/>
      <c r="D2886" s="48" t="n"/>
      <c r="E2886" s="48" t="n"/>
      <c r="F2886" s="48" t="n"/>
      <c r="G2886" s="48" t="n"/>
      <c r="H2886" s="48" t="n"/>
      <c r="I2886" s="49" t="n"/>
      <c r="J2886" s="50" t="n"/>
      <c r="K2886" s="48" t="n"/>
      <c r="L2886" s="51">
        <f>IF(A2886="","",DATE(YEAR(A2886),MONTH(A2886),1))</f>
        <v/>
      </c>
      <c r="M2886" s="52">
        <f>IF(OR(A2886="",NOT(ISNUMBER(I2886))),"",IF(G2886=Lists!$B$5,I2886/2,IF(G2886=Lists!$B$6,I2886,0)))</f>
        <v/>
      </c>
      <c r="N2886" s="52">
        <f>IF(OR(A2886="",NOT(ISNUMBER(I2886))),"",IF(G2886=Lists!$B$5,I2886/2,IF(G2886=Lists!$B$7,I2886,0)))</f>
        <v/>
      </c>
      <c r="O2886" s="53">
        <f>IF(COUNTA(A2886:K2886)=0,"",IF(OR(A2886="",B2886="",C2886="",D2886="",E2886="",F2886="",G2886="",NOT(ISNUMBER(I2886))),"Incomplete",IF(COUNTIF(Lists!$H$4:$AA$4,C2886)=0,"Check category",IF(COUNTIF(INDEX(Lists!$H$6:$AA$45,0,MATCH(C2886,Lists!$H$4:$AA$4,0)),D2886)=0,"Check sub-category","OK"))))</f>
        <v/>
      </c>
      <c r="P2886">
        <f>IF(ISNUMBER(I2886),I2886+ROW()/10000000,"")</f>
        <v/>
      </c>
      <c r="Q2886">
        <f>IF(AND(ISNUMBER(P2886),ISNUMBER(A2886)),IF(AND(A2886&gt;=Dashboard!$Q$3,A2886&lt;=Dashboard!$Q$4,OR(J2886&lt;&gt;"Yes",Dashboard!$Q$15="Yes")),P2886,""),"")</f>
        <v/>
      </c>
    </row>
    <row r="2887">
      <c r="A2887" s="47" t="n"/>
      <c r="B2887" s="48" t="n"/>
      <c r="C2887" s="48" t="n"/>
      <c r="D2887" s="48" t="n"/>
      <c r="E2887" s="48" t="n"/>
      <c r="F2887" s="48" t="n"/>
      <c r="G2887" s="48" t="n"/>
      <c r="H2887" s="48" t="n"/>
      <c r="I2887" s="49" t="n"/>
      <c r="J2887" s="50" t="n"/>
      <c r="K2887" s="48" t="n"/>
      <c r="L2887" s="51">
        <f>IF(A2887="","",DATE(YEAR(A2887),MONTH(A2887),1))</f>
        <v/>
      </c>
      <c r="M2887" s="52">
        <f>IF(OR(A2887="",NOT(ISNUMBER(I2887))),"",IF(G2887=Lists!$B$5,I2887/2,IF(G2887=Lists!$B$6,I2887,0)))</f>
        <v/>
      </c>
      <c r="N2887" s="52">
        <f>IF(OR(A2887="",NOT(ISNUMBER(I2887))),"",IF(G2887=Lists!$B$5,I2887/2,IF(G2887=Lists!$B$7,I2887,0)))</f>
        <v/>
      </c>
      <c r="O2887" s="53">
        <f>IF(COUNTA(A2887:K2887)=0,"",IF(OR(A2887="",B2887="",C2887="",D2887="",E2887="",F2887="",G2887="",NOT(ISNUMBER(I2887))),"Incomplete",IF(COUNTIF(Lists!$H$4:$AA$4,C2887)=0,"Check category",IF(COUNTIF(INDEX(Lists!$H$6:$AA$45,0,MATCH(C2887,Lists!$H$4:$AA$4,0)),D2887)=0,"Check sub-category","OK"))))</f>
        <v/>
      </c>
      <c r="P2887">
        <f>IF(ISNUMBER(I2887),I2887+ROW()/10000000,"")</f>
        <v/>
      </c>
      <c r="Q2887">
        <f>IF(AND(ISNUMBER(P2887),ISNUMBER(A2887)),IF(AND(A2887&gt;=Dashboard!$Q$3,A2887&lt;=Dashboard!$Q$4,OR(J2887&lt;&gt;"Yes",Dashboard!$Q$15="Yes")),P2887,""),"")</f>
        <v/>
      </c>
    </row>
    <row r="2888">
      <c r="A2888" s="47" t="n"/>
      <c r="B2888" s="48" t="n"/>
      <c r="C2888" s="48" t="n"/>
      <c r="D2888" s="48" t="n"/>
      <c r="E2888" s="48" t="n"/>
      <c r="F2888" s="48" t="n"/>
      <c r="G2888" s="48" t="n"/>
      <c r="H2888" s="48" t="n"/>
      <c r="I2888" s="49" t="n"/>
      <c r="J2888" s="50" t="n"/>
      <c r="K2888" s="48" t="n"/>
      <c r="L2888" s="51">
        <f>IF(A2888="","",DATE(YEAR(A2888),MONTH(A2888),1))</f>
        <v/>
      </c>
      <c r="M2888" s="52">
        <f>IF(OR(A2888="",NOT(ISNUMBER(I2888))),"",IF(G2888=Lists!$B$5,I2888/2,IF(G2888=Lists!$B$6,I2888,0)))</f>
        <v/>
      </c>
      <c r="N2888" s="52">
        <f>IF(OR(A2888="",NOT(ISNUMBER(I2888))),"",IF(G2888=Lists!$B$5,I2888/2,IF(G2888=Lists!$B$7,I2888,0)))</f>
        <v/>
      </c>
      <c r="O2888" s="53">
        <f>IF(COUNTA(A2888:K2888)=0,"",IF(OR(A2888="",B2888="",C2888="",D2888="",E2888="",F2888="",G2888="",NOT(ISNUMBER(I2888))),"Incomplete",IF(COUNTIF(Lists!$H$4:$AA$4,C2888)=0,"Check category",IF(COUNTIF(INDEX(Lists!$H$6:$AA$45,0,MATCH(C2888,Lists!$H$4:$AA$4,0)),D2888)=0,"Check sub-category","OK"))))</f>
        <v/>
      </c>
      <c r="P2888">
        <f>IF(ISNUMBER(I2888),I2888+ROW()/10000000,"")</f>
        <v/>
      </c>
      <c r="Q2888">
        <f>IF(AND(ISNUMBER(P2888),ISNUMBER(A2888)),IF(AND(A2888&gt;=Dashboard!$Q$3,A2888&lt;=Dashboard!$Q$4,OR(J2888&lt;&gt;"Yes",Dashboard!$Q$15="Yes")),P2888,""),"")</f>
        <v/>
      </c>
    </row>
    <row r="2889">
      <c r="A2889" s="47" t="n"/>
      <c r="B2889" s="48" t="n"/>
      <c r="C2889" s="48" t="n"/>
      <c r="D2889" s="48" t="n"/>
      <c r="E2889" s="48" t="n"/>
      <c r="F2889" s="48" t="n"/>
      <c r="G2889" s="48" t="n"/>
      <c r="H2889" s="48" t="n"/>
      <c r="I2889" s="49" t="n"/>
      <c r="J2889" s="50" t="n"/>
      <c r="K2889" s="48" t="n"/>
      <c r="L2889" s="51">
        <f>IF(A2889="","",DATE(YEAR(A2889),MONTH(A2889),1))</f>
        <v/>
      </c>
      <c r="M2889" s="52">
        <f>IF(OR(A2889="",NOT(ISNUMBER(I2889))),"",IF(G2889=Lists!$B$5,I2889/2,IF(G2889=Lists!$B$6,I2889,0)))</f>
        <v/>
      </c>
      <c r="N2889" s="52">
        <f>IF(OR(A2889="",NOT(ISNUMBER(I2889))),"",IF(G2889=Lists!$B$5,I2889/2,IF(G2889=Lists!$B$7,I2889,0)))</f>
        <v/>
      </c>
      <c r="O2889" s="53">
        <f>IF(COUNTA(A2889:K2889)=0,"",IF(OR(A2889="",B2889="",C2889="",D2889="",E2889="",F2889="",G2889="",NOT(ISNUMBER(I2889))),"Incomplete",IF(COUNTIF(Lists!$H$4:$AA$4,C2889)=0,"Check category",IF(COUNTIF(INDEX(Lists!$H$6:$AA$45,0,MATCH(C2889,Lists!$H$4:$AA$4,0)),D2889)=0,"Check sub-category","OK"))))</f>
        <v/>
      </c>
      <c r="P2889">
        <f>IF(ISNUMBER(I2889),I2889+ROW()/10000000,"")</f>
        <v/>
      </c>
      <c r="Q2889">
        <f>IF(AND(ISNUMBER(P2889),ISNUMBER(A2889)),IF(AND(A2889&gt;=Dashboard!$Q$3,A2889&lt;=Dashboard!$Q$4,OR(J2889&lt;&gt;"Yes",Dashboard!$Q$15="Yes")),P2889,""),"")</f>
        <v/>
      </c>
    </row>
    <row r="2890">
      <c r="A2890" s="47" t="n"/>
      <c r="B2890" s="48" t="n"/>
      <c r="C2890" s="48" t="n"/>
      <c r="D2890" s="48" t="n"/>
      <c r="E2890" s="48" t="n"/>
      <c r="F2890" s="48" t="n"/>
      <c r="G2890" s="48" t="n"/>
      <c r="H2890" s="48" t="n"/>
      <c r="I2890" s="49" t="n"/>
      <c r="J2890" s="50" t="n"/>
      <c r="K2890" s="48" t="n"/>
      <c r="L2890" s="51">
        <f>IF(A2890="","",DATE(YEAR(A2890),MONTH(A2890),1))</f>
        <v/>
      </c>
      <c r="M2890" s="52">
        <f>IF(OR(A2890="",NOT(ISNUMBER(I2890))),"",IF(G2890=Lists!$B$5,I2890/2,IF(G2890=Lists!$B$6,I2890,0)))</f>
        <v/>
      </c>
      <c r="N2890" s="52">
        <f>IF(OR(A2890="",NOT(ISNUMBER(I2890))),"",IF(G2890=Lists!$B$5,I2890/2,IF(G2890=Lists!$B$7,I2890,0)))</f>
        <v/>
      </c>
      <c r="O2890" s="53">
        <f>IF(COUNTA(A2890:K2890)=0,"",IF(OR(A2890="",B2890="",C2890="",D2890="",E2890="",F2890="",G2890="",NOT(ISNUMBER(I2890))),"Incomplete",IF(COUNTIF(Lists!$H$4:$AA$4,C2890)=0,"Check category",IF(COUNTIF(INDEX(Lists!$H$6:$AA$45,0,MATCH(C2890,Lists!$H$4:$AA$4,0)),D2890)=0,"Check sub-category","OK"))))</f>
        <v/>
      </c>
      <c r="P2890">
        <f>IF(ISNUMBER(I2890),I2890+ROW()/10000000,"")</f>
        <v/>
      </c>
      <c r="Q2890">
        <f>IF(AND(ISNUMBER(P2890),ISNUMBER(A2890)),IF(AND(A2890&gt;=Dashboard!$Q$3,A2890&lt;=Dashboard!$Q$4,OR(J2890&lt;&gt;"Yes",Dashboard!$Q$15="Yes")),P2890,""),"")</f>
        <v/>
      </c>
    </row>
    <row r="2891">
      <c r="A2891" s="47" t="n"/>
      <c r="B2891" s="48" t="n"/>
      <c r="C2891" s="48" t="n"/>
      <c r="D2891" s="48" t="n"/>
      <c r="E2891" s="48" t="n"/>
      <c r="F2891" s="48" t="n"/>
      <c r="G2891" s="48" t="n"/>
      <c r="H2891" s="48" t="n"/>
      <c r="I2891" s="49" t="n"/>
      <c r="J2891" s="50" t="n"/>
      <c r="K2891" s="48" t="n"/>
      <c r="L2891" s="51">
        <f>IF(A2891="","",DATE(YEAR(A2891),MONTH(A2891),1))</f>
        <v/>
      </c>
      <c r="M2891" s="52">
        <f>IF(OR(A2891="",NOT(ISNUMBER(I2891))),"",IF(G2891=Lists!$B$5,I2891/2,IF(G2891=Lists!$B$6,I2891,0)))</f>
        <v/>
      </c>
      <c r="N2891" s="52">
        <f>IF(OR(A2891="",NOT(ISNUMBER(I2891))),"",IF(G2891=Lists!$B$5,I2891/2,IF(G2891=Lists!$B$7,I2891,0)))</f>
        <v/>
      </c>
      <c r="O2891" s="53">
        <f>IF(COUNTA(A2891:K2891)=0,"",IF(OR(A2891="",B2891="",C2891="",D2891="",E2891="",F2891="",G2891="",NOT(ISNUMBER(I2891))),"Incomplete",IF(COUNTIF(Lists!$H$4:$AA$4,C2891)=0,"Check category",IF(COUNTIF(INDEX(Lists!$H$6:$AA$45,0,MATCH(C2891,Lists!$H$4:$AA$4,0)),D2891)=0,"Check sub-category","OK"))))</f>
        <v/>
      </c>
      <c r="P2891">
        <f>IF(ISNUMBER(I2891),I2891+ROW()/10000000,"")</f>
        <v/>
      </c>
      <c r="Q2891">
        <f>IF(AND(ISNUMBER(P2891),ISNUMBER(A2891)),IF(AND(A2891&gt;=Dashboard!$Q$3,A2891&lt;=Dashboard!$Q$4,OR(J2891&lt;&gt;"Yes",Dashboard!$Q$15="Yes")),P2891,""),"")</f>
        <v/>
      </c>
    </row>
    <row r="2892">
      <c r="A2892" s="47" t="n"/>
      <c r="B2892" s="48" t="n"/>
      <c r="C2892" s="48" t="n"/>
      <c r="D2892" s="48" t="n"/>
      <c r="E2892" s="48" t="n"/>
      <c r="F2892" s="48" t="n"/>
      <c r="G2892" s="48" t="n"/>
      <c r="H2892" s="48" t="n"/>
      <c r="I2892" s="49" t="n"/>
      <c r="J2892" s="50" t="n"/>
      <c r="K2892" s="48" t="n"/>
      <c r="L2892" s="51">
        <f>IF(A2892="","",DATE(YEAR(A2892),MONTH(A2892),1))</f>
        <v/>
      </c>
      <c r="M2892" s="52">
        <f>IF(OR(A2892="",NOT(ISNUMBER(I2892))),"",IF(G2892=Lists!$B$5,I2892/2,IF(G2892=Lists!$B$6,I2892,0)))</f>
        <v/>
      </c>
      <c r="N2892" s="52">
        <f>IF(OR(A2892="",NOT(ISNUMBER(I2892))),"",IF(G2892=Lists!$B$5,I2892/2,IF(G2892=Lists!$B$7,I2892,0)))</f>
        <v/>
      </c>
      <c r="O2892" s="53">
        <f>IF(COUNTA(A2892:K2892)=0,"",IF(OR(A2892="",B2892="",C2892="",D2892="",E2892="",F2892="",G2892="",NOT(ISNUMBER(I2892))),"Incomplete",IF(COUNTIF(Lists!$H$4:$AA$4,C2892)=0,"Check category",IF(COUNTIF(INDEX(Lists!$H$6:$AA$45,0,MATCH(C2892,Lists!$H$4:$AA$4,0)),D2892)=0,"Check sub-category","OK"))))</f>
        <v/>
      </c>
      <c r="P2892">
        <f>IF(ISNUMBER(I2892),I2892+ROW()/10000000,"")</f>
        <v/>
      </c>
      <c r="Q2892">
        <f>IF(AND(ISNUMBER(P2892),ISNUMBER(A2892)),IF(AND(A2892&gt;=Dashboard!$Q$3,A2892&lt;=Dashboard!$Q$4,OR(J2892&lt;&gt;"Yes",Dashboard!$Q$15="Yes")),P2892,""),"")</f>
        <v/>
      </c>
    </row>
    <row r="2893">
      <c r="A2893" s="47" t="n"/>
      <c r="B2893" s="48" t="n"/>
      <c r="C2893" s="48" t="n"/>
      <c r="D2893" s="48" t="n"/>
      <c r="E2893" s="48" t="n"/>
      <c r="F2893" s="48" t="n"/>
      <c r="G2893" s="48" t="n"/>
      <c r="H2893" s="48" t="n"/>
      <c r="I2893" s="49" t="n"/>
      <c r="J2893" s="50" t="n"/>
      <c r="K2893" s="48" t="n"/>
      <c r="L2893" s="51">
        <f>IF(A2893="","",DATE(YEAR(A2893),MONTH(A2893),1))</f>
        <v/>
      </c>
      <c r="M2893" s="52">
        <f>IF(OR(A2893="",NOT(ISNUMBER(I2893))),"",IF(G2893=Lists!$B$5,I2893/2,IF(G2893=Lists!$B$6,I2893,0)))</f>
        <v/>
      </c>
      <c r="N2893" s="52">
        <f>IF(OR(A2893="",NOT(ISNUMBER(I2893))),"",IF(G2893=Lists!$B$5,I2893/2,IF(G2893=Lists!$B$7,I2893,0)))</f>
        <v/>
      </c>
      <c r="O2893" s="53">
        <f>IF(COUNTA(A2893:K2893)=0,"",IF(OR(A2893="",B2893="",C2893="",D2893="",E2893="",F2893="",G2893="",NOT(ISNUMBER(I2893))),"Incomplete",IF(COUNTIF(Lists!$H$4:$AA$4,C2893)=0,"Check category",IF(COUNTIF(INDEX(Lists!$H$6:$AA$45,0,MATCH(C2893,Lists!$H$4:$AA$4,0)),D2893)=0,"Check sub-category","OK"))))</f>
        <v/>
      </c>
      <c r="P2893">
        <f>IF(ISNUMBER(I2893),I2893+ROW()/10000000,"")</f>
        <v/>
      </c>
      <c r="Q2893">
        <f>IF(AND(ISNUMBER(P2893),ISNUMBER(A2893)),IF(AND(A2893&gt;=Dashboard!$Q$3,A2893&lt;=Dashboard!$Q$4,OR(J2893&lt;&gt;"Yes",Dashboard!$Q$15="Yes")),P2893,""),"")</f>
        <v/>
      </c>
    </row>
    <row r="2894">
      <c r="A2894" s="47" t="n"/>
      <c r="B2894" s="48" t="n"/>
      <c r="C2894" s="48" t="n"/>
      <c r="D2894" s="48" t="n"/>
      <c r="E2894" s="48" t="n"/>
      <c r="F2894" s="48" t="n"/>
      <c r="G2894" s="48" t="n"/>
      <c r="H2894" s="48" t="n"/>
      <c r="I2894" s="49" t="n"/>
      <c r="J2894" s="50" t="n"/>
      <c r="K2894" s="48" t="n"/>
      <c r="L2894" s="51">
        <f>IF(A2894="","",DATE(YEAR(A2894),MONTH(A2894),1))</f>
        <v/>
      </c>
      <c r="M2894" s="52">
        <f>IF(OR(A2894="",NOT(ISNUMBER(I2894))),"",IF(G2894=Lists!$B$5,I2894/2,IF(G2894=Lists!$B$6,I2894,0)))</f>
        <v/>
      </c>
      <c r="N2894" s="52">
        <f>IF(OR(A2894="",NOT(ISNUMBER(I2894))),"",IF(G2894=Lists!$B$5,I2894/2,IF(G2894=Lists!$B$7,I2894,0)))</f>
        <v/>
      </c>
      <c r="O2894" s="53">
        <f>IF(COUNTA(A2894:K2894)=0,"",IF(OR(A2894="",B2894="",C2894="",D2894="",E2894="",F2894="",G2894="",NOT(ISNUMBER(I2894))),"Incomplete",IF(COUNTIF(Lists!$H$4:$AA$4,C2894)=0,"Check category",IF(COUNTIF(INDEX(Lists!$H$6:$AA$45,0,MATCH(C2894,Lists!$H$4:$AA$4,0)),D2894)=0,"Check sub-category","OK"))))</f>
        <v/>
      </c>
      <c r="P2894">
        <f>IF(ISNUMBER(I2894),I2894+ROW()/10000000,"")</f>
        <v/>
      </c>
      <c r="Q2894">
        <f>IF(AND(ISNUMBER(P2894),ISNUMBER(A2894)),IF(AND(A2894&gt;=Dashboard!$Q$3,A2894&lt;=Dashboard!$Q$4,OR(J2894&lt;&gt;"Yes",Dashboard!$Q$15="Yes")),P2894,""),"")</f>
        <v/>
      </c>
    </row>
    <row r="2895">
      <c r="A2895" s="47" t="n"/>
      <c r="B2895" s="48" t="n"/>
      <c r="C2895" s="48" t="n"/>
      <c r="D2895" s="48" t="n"/>
      <c r="E2895" s="48" t="n"/>
      <c r="F2895" s="48" t="n"/>
      <c r="G2895" s="48" t="n"/>
      <c r="H2895" s="48" t="n"/>
      <c r="I2895" s="49" t="n"/>
      <c r="J2895" s="50" t="n"/>
      <c r="K2895" s="48" t="n"/>
      <c r="L2895" s="51">
        <f>IF(A2895="","",DATE(YEAR(A2895),MONTH(A2895),1))</f>
        <v/>
      </c>
      <c r="M2895" s="52">
        <f>IF(OR(A2895="",NOT(ISNUMBER(I2895))),"",IF(G2895=Lists!$B$5,I2895/2,IF(G2895=Lists!$B$6,I2895,0)))</f>
        <v/>
      </c>
      <c r="N2895" s="52">
        <f>IF(OR(A2895="",NOT(ISNUMBER(I2895))),"",IF(G2895=Lists!$B$5,I2895/2,IF(G2895=Lists!$B$7,I2895,0)))</f>
        <v/>
      </c>
      <c r="O2895" s="53">
        <f>IF(COUNTA(A2895:K2895)=0,"",IF(OR(A2895="",B2895="",C2895="",D2895="",E2895="",F2895="",G2895="",NOT(ISNUMBER(I2895))),"Incomplete",IF(COUNTIF(Lists!$H$4:$AA$4,C2895)=0,"Check category",IF(COUNTIF(INDEX(Lists!$H$6:$AA$45,0,MATCH(C2895,Lists!$H$4:$AA$4,0)),D2895)=0,"Check sub-category","OK"))))</f>
        <v/>
      </c>
      <c r="P2895">
        <f>IF(ISNUMBER(I2895),I2895+ROW()/10000000,"")</f>
        <v/>
      </c>
      <c r="Q2895">
        <f>IF(AND(ISNUMBER(P2895),ISNUMBER(A2895)),IF(AND(A2895&gt;=Dashboard!$Q$3,A2895&lt;=Dashboard!$Q$4,OR(J2895&lt;&gt;"Yes",Dashboard!$Q$15="Yes")),P2895,""),"")</f>
        <v/>
      </c>
    </row>
    <row r="2896">
      <c r="A2896" s="47" t="n"/>
      <c r="B2896" s="48" t="n"/>
      <c r="C2896" s="48" t="n"/>
      <c r="D2896" s="48" t="n"/>
      <c r="E2896" s="48" t="n"/>
      <c r="F2896" s="48" t="n"/>
      <c r="G2896" s="48" t="n"/>
      <c r="H2896" s="48" t="n"/>
      <c r="I2896" s="49" t="n"/>
      <c r="J2896" s="50" t="n"/>
      <c r="K2896" s="48" t="n"/>
      <c r="L2896" s="51">
        <f>IF(A2896="","",DATE(YEAR(A2896),MONTH(A2896),1))</f>
        <v/>
      </c>
      <c r="M2896" s="52">
        <f>IF(OR(A2896="",NOT(ISNUMBER(I2896))),"",IF(G2896=Lists!$B$5,I2896/2,IF(G2896=Lists!$B$6,I2896,0)))</f>
        <v/>
      </c>
      <c r="N2896" s="52">
        <f>IF(OR(A2896="",NOT(ISNUMBER(I2896))),"",IF(G2896=Lists!$B$5,I2896/2,IF(G2896=Lists!$B$7,I2896,0)))</f>
        <v/>
      </c>
      <c r="O2896" s="53">
        <f>IF(COUNTA(A2896:K2896)=0,"",IF(OR(A2896="",B2896="",C2896="",D2896="",E2896="",F2896="",G2896="",NOT(ISNUMBER(I2896))),"Incomplete",IF(COUNTIF(Lists!$H$4:$AA$4,C2896)=0,"Check category",IF(COUNTIF(INDEX(Lists!$H$6:$AA$45,0,MATCH(C2896,Lists!$H$4:$AA$4,0)),D2896)=0,"Check sub-category","OK"))))</f>
        <v/>
      </c>
      <c r="P2896">
        <f>IF(ISNUMBER(I2896),I2896+ROW()/10000000,"")</f>
        <v/>
      </c>
      <c r="Q2896">
        <f>IF(AND(ISNUMBER(P2896),ISNUMBER(A2896)),IF(AND(A2896&gt;=Dashboard!$Q$3,A2896&lt;=Dashboard!$Q$4,OR(J2896&lt;&gt;"Yes",Dashboard!$Q$15="Yes")),P2896,""),"")</f>
        <v/>
      </c>
    </row>
    <row r="2897">
      <c r="A2897" s="47" t="n"/>
      <c r="B2897" s="48" t="n"/>
      <c r="C2897" s="48" t="n"/>
      <c r="D2897" s="48" t="n"/>
      <c r="E2897" s="48" t="n"/>
      <c r="F2897" s="48" t="n"/>
      <c r="G2897" s="48" t="n"/>
      <c r="H2897" s="48" t="n"/>
      <c r="I2897" s="49" t="n"/>
      <c r="J2897" s="50" t="n"/>
      <c r="K2897" s="48" t="n"/>
      <c r="L2897" s="51">
        <f>IF(A2897="","",DATE(YEAR(A2897),MONTH(A2897),1))</f>
        <v/>
      </c>
      <c r="M2897" s="52">
        <f>IF(OR(A2897="",NOT(ISNUMBER(I2897))),"",IF(G2897=Lists!$B$5,I2897/2,IF(G2897=Lists!$B$6,I2897,0)))</f>
        <v/>
      </c>
      <c r="N2897" s="52">
        <f>IF(OR(A2897="",NOT(ISNUMBER(I2897))),"",IF(G2897=Lists!$B$5,I2897/2,IF(G2897=Lists!$B$7,I2897,0)))</f>
        <v/>
      </c>
      <c r="O2897" s="53">
        <f>IF(COUNTA(A2897:K2897)=0,"",IF(OR(A2897="",B2897="",C2897="",D2897="",E2897="",F2897="",G2897="",NOT(ISNUMBER(I2897))),"Incomplete",IF(COUNTIF(Lists!$H$4:$AA$4,C2897)=0,"Check category",IF(COUNTIF(INDEX(Lists!$H$6:$AA$45,0,MATCH(C2897,Lists!$H$4:$AA$4,0)),D2897)=0,"Check sub-category","OK"))))</f>
        <v/>
      </c>
      <c r="P2897">
        <f>IF(ISNUMBER(I2897),I2897+ROW()/10000000,"")</f>
        <v/>
      </c>
      <c r="Q2897">
        <f>IF(AND(ISNUMBER(P2897),ISNUMBER(A2897)),IF(AND(A2897&gt;=Dashboard!$Q$3,A2897&lt;=Dashboard!$Q$4,OR(J2897&lt;&gt;"Yes",Dashboard!$Q$15="Yes")),P2897,""),"")</f>
        <v/>
      </c>
    </row>
    <row r="2898">
      <c r="A2898" s="47" t="n"/>
      <c r="B2898" s="48" t="n"/>
      <c r="C2898" s="48" t="n"/>
      <c r="D2898" s="48" t="n"/>
      <c r="E2898" s="48" t="n"/>
      <c r="F2898" s="48" t="n"/>
      <c r="G2898" s="48" t="n"/>
      <c r="H2898" s="48" t="n"/>
      <c r="I2898" s="49" t="n"/>
      <c r="J2898" s="50" t="n"/>
      <c r="K2898" s="48" t="n"/>
      <c r="L2898" s="51">
        <f>IF(A2898="","",DATE(YEAR(A2898),MONTH(A2898),1))</f>
        <v/>
      </c>
      <c r="M2898" s="52">
        <f>IF(OR(A2898="",NOT(ISNUMBER(I2898))),"",IF(G2898=Lists!$B$5,I2898/2,IF(G2898=Lists!$B$6,I2898,0)))</f>
        <v/>
      </c>
      <c r="N2898" s="52">
        <f>IF(OR(A2898="",NOT(ISNUMBER(I2898))),"",IF(G2898=Lists!$B$5,I2898/2,IF(G2898=Lists!$B$7,I2898,0)))</f>
        <v/>
      </c>
      <c r="O2898" s="53">
        <f>IF(COUNTA(A2898:K2898)=0,"",IF(OR(A2898="",B2898="",C2898="",D2898="",E2898="",F2898="",G2898="",NOT(ISNUMBER(I2898))),"Incomplete",IF(COUNTIF(Lists!$H$4:$AA$4,C2898)=0,"Check category",IF(COUNTIF(INDEX(Lists!$H$6:$AA$45,0,MATCH(C2898,Lists!$H$4:$AA$4,0)),D2898)=0,"Check sub-category","OK"))))</f>
        <v/>
      </c>
      <c r="P2898">
        <f>IF(ISNUMBER(I2898),I2898+ROW()/10000000,"")</f>
        <v/>
      </c>
      <c r="Q2898">
        <f>IF(AND(ISNUMBER(P2898),ISNUMBER(A2898)),IF(AND(A2898&gt;=Dashboard!$Q$3,A2898&lt;=Dashboard!$Q$4,OR(J2898&lt;&gt;"Yes",Dashboard!$Q$15="Yes")),P2898,""),"")</f>
        <v/>
      </c>
    </row>
    <row r="2899">
      <c r="A2899" s="47" t="n"/>
      <c r="B2899" s="48" t="n"/>
      <c r="C2899" s="48" t="n"/>
      <c r="D2899" s="48" t="n"/>
      <c r="E2899" s="48" t="n"/>
      <c r="F2899" s="48" t="n"/>
      <c r="G2899" s="48" t="n"/>
      <c r="H2899" s="48" t="n"/>
      <c r="I2899" s="49" t="n"/>
      <c r="J2899" s="50" t="n"/>
      <c r="K2899" s="48" t="n"/>
      <c r="L2899" s="51">
        <f>IF(A2899="","",DATE(YEAR(A2899),MONTH(A2899),1))</f>
        <v/>
      </c>
      <c r="M2899" s="52">
        <f>IF(OR(A2899="",NOT(ISNUMBER(I2899))),"",IF(G2899=Lists!$B$5,I2899/2,IF(G2899=Lists!$B$6,I2899,0)))</f>
        <v/>
      </c>
      <c r="N2899" s="52">
        <f>IF(OR(A2899="",NOT(ISNUMBER(I2899))),"",IF(G2899=Lists!$B$5,I2899/2,IF(G2899=Lists!$B$7,I2899,0)))</f>
        <v/>
      </c>
      <c r="O2899" s="53">
        <f>IF(COUNTA(A2899:K2899)=0,"",IF(OR(A2899="",B2899="",C2899="",D2899="",E2899="",F2899="",G2899="",NOT(ISNUMBER(I2899))),"Incomplete",IF(COUNTIF(Lists!$H$4:$AA$4,C2899)=0,"Check category",IF(COUNTIF(INDEX(Lists!$H$6:$AA$45,0,MATCH(C2899,Lists!$H$4:$AA$4,0)),D2899)=0,"Check sub-category","OK"))))</f>
        <v/>
      </c>
      <c r="P2899">
        <f>IF(ISNUMBER(I2899),I2899+ROW()/10000000,"")</f>
        <v/>
      </c>
      <c r="Q2899">
        <f>IF(AND(ISNUMBER(P2899),ISNUMBER(A2899)),IF(AND(A2899&gt;=Dashboard!$Q$3,A2899&lt;=Dashboard!$Q$4,OR(J2899&lt;&gt;"Yes",Dashboard!$Q$15="Yes")),P2899,""),"")</f>
        <v/>
      </c>
    </row>
    <row r="2900">
      <c r="A2900" s="47" t="n"/>
      <c r="B2900" s="48" t="n"/>
      <c r="C2900" s="48" t="n"/>
      <c r="D2900" s="48" t="n"/>
      <c r="E2900" s="48" t="n"/>
      <c r="F2900" s="48" t="n"/>
      <c r="G2900" s="48" t="n"/>
      <c r="H2900" s="48" t="n"/>
      <c r="I2900" s="49" t="n"/>
      <c r="J2900" s="50" t="n"/>
      <c r="K2900" s="48" t="n"/>
      <c r="L2900" s="51">
        <f>IF(A2900="","",DATE(YEAR(A2900),MONTH(A2900),1))</f>
        <v/>
      </c>
      <c r="M2900" s="52">
        <f>IF(OR(A2900="",NOT(ISNUMBER(I2900))),"",IF(G2900=Lists!$B$5,I2900/2,IF(G2900=Lists!$B$6,I2900,0)))</f>
        <v/>
      </c>
      <c r="N2900" s="52">
        <f>IF(OR(A2900="",NOT(ISNUMBER(I2900))),"",IF(G2900=Lists!$B$5,I2900/2,IF(G2900=Lists!$B$7,I2900,0)))</f>
        <v/>
      </c>
      <c r="O2900" s="53">
        <f>IF(COUNTA(A2900:K2900)=0,"",IF(OR(A2900="",B2900="",C2900="",D2900="",E2900="",F2900="",G2900="",NOT(ISNUMBER(I2900))),"Incomplete",IF(COUNTIF(Lists!$H$4:$AA$4,C2900)=0,"Check category",IF(COUNTIF(INDEX(Lists!$H$6:$AA$45,0,MATCH(C2900,Lists!$H$4:$AA$4,0)),D2900)=0,"Check sub-category","OK"))))</f>
        <v/>
      </c>
      <c r="P2900">
        <f>IF(ISNUMBER(I2900),I2900+ROW()/10000000,"")</f>
        <v/>
      </c>
      <c r="Q2900">
        <f>IF(AND(ISNUMBER(P2900),ISNUMBER(A2900)),IF(AND(A2900&gt;=Dashboard!$Q$3,A2900&lt;=Dashboard!$Q$4,OR(J2900&lt;&gt;"Yes",Dashboard!$Q$15="Yes")),P2900,""),"")</f>
        <v/>
      </c>
    </row>
    <row r="2901">
      <c r="A2901" s="47" t="n"/>
      <c r="B2901" s="48" t="n"/>
      <c r="C2901" s="48" t="n"/>
      <c r="D2901" s="48" t="n"/>
      <c r="E2901" s="48" t="n"/>
      <c r="F2901" s="48" t="n"/>
      <c r="G2901" s="48" t="n"/>
      <c r="H2901" s="48" t="n"/>
      <c r="I2901" s="49" t="n"/>
      <c r="J2901" s="50" t="n"/>
      <c r="K2901" s="48" t="n"/>
      <c r="L2901" s="51">
        <f>IF(A2901="","",DATE(YEAR(A2901),MONTH(A2901),1))</f>
        <v/>
      </c>
      <c r="M2901" s="52">
        <f>IF(OR(A2901="",NOT(ISNUMBER(I2901))),"",IF(G2901=Lists!$B$5,I2901/2,IF(G2901=Lists!$B$6,I2901,0)))</f>
        <v/>
      </c>
      <c r="N2901" s="52">
        <f>IF(OR(A2901="",NOT(ISNUMBER(I2901))),"",IF(G2901=Lists!$B$5,I2901/2,IF(G2901=Lists!$B$7,I2901,0)))</f>
        <v/>
      </c>
      <c r="O2901" s="53">
        <f>IF(COUNTA(A2901:K2901)=0,"",IF(OR(A2901="",B2901="",C2901="",D2901="",E2901="",F2901="",G2901="",NOT(ISNUMBER(I2901))),"Incomplete",IF(COUNTIF(Lists!$H$4:$AA$4,C2901)=0,"Check category",IF(COUNTIF(INDEX(Lists!$H$6:$AA$45,0,MATCH(C2901,Lists!$H$4:$AA$4,0)),D2901)=0,"Check sub-category","OK"))))</f>
        <v/>
      </c>
      <c r="P2901">
        <f>IF(ISNUMBER(I2901),I2901+ROW()/10000000,"")</f>
        <v/>
      </c>
      <c r="Q2901">
        <f>IF(AND(ISNUMBER(P2901),ISNUMBER(A2901)),IF(AND(A2901&gt;=Dashboard!$Q$3,A2901&lt;=Dashboard!$Q$4,OR(J2901&lt;&gt;"Yes",Dashboard!$Q$15="Yes")),P2901,""),"")</f>
        <v/>
      </c>
    </row>
    <row r="2902">
      <c r="A2902" s="47" t="n"/>
      <c r="B2902" s="48" t="n"/>
      <c r="C2902" s="48" t="n"/>
      <c r="D2902" s="48" t="n"/>
      <c r="E2902" s="48" t="n"/>
      <c r="F2902" s="48" t="n"/>
      <c r="G2902" s="48" t="n"/>
      <c r="H2902" s="48" t="n"/>
      <c r="I2902" s="49" t="n"/>
      <c r="J2902" s="50" t="n"/>
      <c r="K2902" s="48" t="n"/>
      <c r="L2902" s="51">
        <f>IF(A2902="","",DATE(YEAR(A2902),MONTH(A2902),1))</f>
        <v/>
      </c>
      <c r="M2902" s="52">
        <f>IF(OR(A2902="",NOT(ISNUMBER(I2902))),"",IF(G2902=Lists!$B$5,I2902/2,IF(G2902=Lists!$B$6,I2902,0)))</f>
        <v/>
      </c>
      <c r="N2902" s="52">
        <f>IF(OR(A2902="",NOT(ISNUMBER(I2902))),"",IF(G2902=Lists!$B$5,I2902/2,IF(G2902=Lists!$B$7,I2902,0)))</f>
        <v/>
      </c>
      <c r="O2902" s="53">
        <f>IF(COUNTA(A2902:K2902)=0,"",IF(OR(A2902="",B2902="",C2902="",D2902="",E2902="",F2902="",G2902="",NOT(ISNUMBER(I2902))),"Incomplete",IF(COUNTIF(Lists!$H$4:$AA$4,C2902)=0,"Check category",IF(COUNTIF(INDEX(Lists!$H$6:$AA$45,0,MATCH(C2902,Lists!$H$4:$AA$4,0)),D2902)=0,"Check sub-category","OK"))))</f>
        <v/>
      </c>
      <c r="P2902">
        <f>IF(ISNUMBER(I2902),I2902+ROW()/10000000,"")</f>
        <v/>
      </c>
      <c r="Q2902">
        <f>IF(AND(ISNUMBER(P2902),ISNUMBER(A2902)),IF(AND(A2902&gt;=Dashboard!$Q$3,A2902&lt;=Dashboard!$Q$4,OR(J2902&lt;&gt;"Yes",Dashboard!$Q$15="Yes")),P2902,""),"")</f>
        <v/>
      </c>
    </row>
    <row r="2903">
      <c r="A2903" s="47" t="n"/>
      <c r="B2903" s="48" t="n"/>
      <c r="C2903" s="48" t="n"/>
      <c r="D2903" s="48" t="n"/>
      <c r="E2903" s="48" t="n"/>
      <c r="F2903" s="48" t="n"/>
      <c r="G2903" s="48" t="n"/>
      <c r="H2903" s="48" t="n"/>
      <c r="I2903" s="49" t="n"/>
      <c r="J2903" s="50" t="n"/>
      <c r="K2903" s="48" t="n"/>
      <c r="L2903" s="51">
        <f>IF(A2903="","",DATE(YEAR(A2903),MONTH(A2903),1))</f>
        <v/>
      </c>
      <c r="M2903" s="52">
        <f>IF(OR(A2903="",NOT(ISNUMBER(I2903))),"",IF(G2903=Lists!$B$5,I2903/2,IF(G2903=Lists!$B$6,I2903,0)))</f>
        <v/>
      </c>
      <c r="N2903" s="52">
        <f>IF(OR(A2903="",NOT(ISNUMBER(I2903))),"",IF(G2903=Lists!$B$5,I2903/2,IF(G2903=Lists!$B$7,I2903,0)))</f>
        <v/>
      </c>
      <c r="O2903" s="53">
        <f>IF(COUNTA(A2903:K2903)=0,"",IF(OR(A2903="",B2903="",C2903="",D2903="",E2903="",F2903="",G2903="",NOT(ISNUMBER(I2903))),"Incomplete",IF(COUNTIF(Lists!$H$4:$AA$4,C2903)=0,"Check category",IF(COUNTIF(INDEX(Lists!$H$6:$AA$45,0,MATCH(C2903,Lists!$H$4:$AA$4,0)),D2903)=0,"Check sub-category","OK"))))</f>
        <v/>
      </c>
      <c r="P2903">
        <f>IF(ISNUMBER(I2903),I2903+ROW()/10000000,"")</f>
        <v/>
      </c>
      <c r="Q2903">
        <f>IF(AND(ISNUMBER(P2903),ISNUMBER(A2903)),IF(AND(A2903&gt;=Dashboard!$Q$3,A2903&lt;=Dashboard!$Q$4,OR(J2903&lt;&gt;"Yes",Dashboard!$Q$15="Yes")),P2903,""),"")</f>
        <v/>
      </c>
    </row>
    <row r="2904">
      <c r="A2904" s="47" t="n"/>
      <c r="B2904" s="48" t="n"/>
      <c r="C2904" s="48" t="n"/>
      <c r="D2904" s="48" t="n"/>
      <c r="E2904" s="48" t="n"/>
      <c r="F2904" s="48" t="n"/>
      <c r="G2904" s="48" t="n"/>
      <c r="H2904" s="48" t="n"/>
      <c r="I2904" s="49" t="n"/>
      <c r="J2904" s="50" t="n"/>
      <c r="K2904" s="48" t="n"/>
      <c r="L2904" s="51">
        <f>IF(A2904="","",DATE(YEAR(A2904),MONTH(A2904),1))</f>
        <v/>
      </c>
      <c r="M2904" s="52">
        <f>IF(OR(A2904="",NOT(ISNUMBER(I2904))),"",IF(G2904=Lists!$B$5,I2904/2,IF(G2904=Lists!$B$6,I2904,0)))</f>
        <v/>
      </c>
      <c r="N2904" s="52">
        <f>IF(OR(A2904="",NOT(ISNUMBER(I2904))),"",IF(G2904=Lists!$B$5,I2904/2,IF(G2904=Lists!$B$7,I2904,0)))</f>
        <v/>
      </c>
      <c r="O2904" s="53">
        <f>IF(COUNTA(A2904:K2904)=0,"",IF(OR(A2904="",B2904="",C2904="",D2904="",E2904="",F2904="",G2904="",NOT(ISNUMBER(I2904))),"Incomplete",IF(COUNTIF(Lists!$H$4:$AA$4,C2904)=0,"Check category",IF(COUNTIF(INDEX(Lists!$H$6:$AA$45,0,MATCH(C2904,Lists!$H$4:$AA$4,0)),D2904)=0,"Check sub-category","OK"))))</f>
        <v/>
      </c>
      <c r="P2904">
        <f>IF(ISNUMBER(I2904),I2904+ROW()/10000000,"")</f>
        <v/>
      </c>
      <c r="Q2904">
        <f>IF(AND(ISNUMBER(P2904),ISNUMBER(A2904)),IF(AND(A2904&gt;=Dashboard!$Q$3,A2904&lt;=Dashboard!$Q$4,OR(J2904&lt;&gt;"Yes",Dashboard!$Q$15="Yes")),P2904,""),"")</f>
        <v/>
      </c>
    </row>
    <row r="2905">
      <c r="A2905" s="47" t="n"/>
      <c r="B2905" s="48" t="n"/>
      <c r="C2905" s="48" t="n"/>
      <c r="D2905" s="48" t="n"/>
      <c r="E2905" s="48" t="n"/>
      <c r="F2905" s="48" t="n"/>
      <c r="G2905" s="48" t="n"/>
      <c r="H2905" s="48" t="n"/>
      <c r="I2905" s="49" t="n"/>
      <c r="J2905" s="50" t="n"/>
      <c r="K2905" s="48" t="n"/>
      <c r="L2905" s="51">
        <f>IF(A2905="","",DATE(YEAR(A2905),MONTH(A2905),1))</f>
        <v/>
      </c>
      <c r="M2905" s="52">
        <f>IF(OR(A2905="",NOT(ISNUMBER(I2905))),"",IF(G2905=Lists!$B$5,I2905/2,IF(G2905=Lists!$B$6,I2905,0)))</f>
        <v/>
      </c>
      <c r="N2905" s="52">
        <f>IF(OR(A2905="",NOT(ISNUMBER(I2905))),"",IF(G2905=Lists!$B$5,I2905/2,IF(G2905=Lists!$B$7,I2905,0)))</f>
        <v/>
      </c>
      <c r="O2905" s="53">
        <f>IF(COUNTA(A2905:K2905)=0,"",IF(OR(A2905="",B2905="",C2905="",D2905="",E2905="",F2905="",G2905="",NOT(ISNUMBER(I2905))),"Incomplete",IF(COUNTIF(Lists!$H$4:$AA$4,C2905)=0,"Check category",IF(COUNTIF(INDEX(Lists!$H$6:$AA$45,0,MATCH(C2905,Lists!$H$4:$AA$4,0)),D2905)=0,"Check sub-category","OK"))))</f>
        <v/>
      </c>
      <c r="P2905">
        <f>IF(ISNUMBER(I2905),I2905+ROW()/10000000,"")</f>
        <v/>
      </c>
      <c r="Q2905">
        <f>IF(AND(ISNUMBER(P2905),ISNUMBER(A2905)),IF(AND(A2905&gt;=Dashboard!$Q$3,A2905&lt;=Dashboard!$Q$4,OR(J2905&lt;&gt;"Yes",Dashboard!$Q$15="Yes")),P2905,""),"")</f>
        <v/>
      </c>
    </row>
    <row r="2906">
      <c r="A2906" s="47" t="n"/>
      <c r="B2906" s="48" t="n"/>
      <c r="C2906" s="48" t="n"/>
      <c r="D2906" s="48" t="n"/>
      <c r="E2906" s="48" t="n"/>
      <c r="F2906" s="48" t="n"/>
      <c r="G2906" s="48" t="n"/>
      <c r="H2906" s="48" t="n"/>
      <c r="I2906" s="49" t="n"/>
      <c r="J2906" s="50" t="n"/>
      <c r="K2906" s="48" t="n"/>
      <c r="L2906" s="51">
        <f>IF(A2906="","",DATE(YEAR(A2906),MONTH(A2906),1))</f>
        <v/>
      </c>
      <c r="M2906" s="52">
        <f>IF(OR(A2906="",NOT(ISNUMBER(I2906))),"",IF(G2906=Lists!$B$5,I2906/2,IF(G2906=Lists!$B$6,I2906,0)))</f>
        <v/>
      </c>
      <c r="N2906" s="52">
        <f>IF(OR(A2906="",NOT(ISNUMBER(I2906))),"",IF(G2906=Lists!$B$5,I2906/2,IF(G2906=Lists!$B$7,I2906,0)))</f>
        <v/>
      </c>
      <c r="O2906" s="53">
        <f>IF(COUNTA(A2906:K2906)=0,"",IF(OR(A2906="",B2906="",C2906="",D2906="",E2906="",F2906="",G2906="",NOT(ISNUMBER(I2906))),"Incomplete",IF(COUNTIF(Lists!$H$4:$AA$4,C2906)=0,"Check category",IF(COUNTIF(INDEX(Lists!$H$6:$AA$45,0,MATCH(C2906,Lists!$H$4:$AA$4,0)),D2906)=0,"Check sub-category","OK"))))</f>
        <v/>
      </c>
      <c r="P2906">
        <f>IF(ISNUMBER(I2906),I2906+ROW()/10000000,"")</f>
        <v/>
      </c>
      <c r="Q2906">
        <f>IF(AND(ISNUMBER(P2906),ISNUMBER(A2906)),IF(AND(A2906&gt;=Dashboard!$Q$3,A2906&lt;=Dashboard!$Q$4,OR(J2906&lt;&gt;"Yes",Dashboard!$Q$15="Yes")),P2906,""),"")</f>
        <v/>
      </c>
    </row>
    <row r="2907">
      <c r="A2907" s="47" t="n"/>
      <c r="B2907" s="48" t="n"/>
      <c r="C2907" s="48" t="n"/>
      <c r="D2907" s="48" t="n"/>
      <c r="E2907" s="48" t="n"/>
      <c r="F2907" s="48" t="n"/>
      <c r="G2907" s="48" t="n"/>
      <c r="H2907" s="48" t="n"/>
      <c r="I2907" s="49" t="n"/>
      <c r="J2907" s="50" t="n"/>
      <c r="K2907" s="48" t="n"/>
      <c r="L2907" s="51">
        <f>IF(A2907="","",DATE(YEAR(A2907),MONTH(A2907),1))</f>
        <v/>
      </c>
      <c r="M2907" s="52">
        <f>IF(OR(A2907="",NOT(ISNUMBER(I2907))),"",IF(G2907=Lists!$B$5,I2907/2,IF(G2907=Lists!$B$6,I2907,0)))</f>
        <v/>
      </c>
      <c r="N2907" s="52">
        <f>IF(OR(A2907="",NOT(ISNUMBER(I2907))),"",IF(G2907=Lists!$B$5,I2907/2,IF(G2907=Lists!$B$7,I2907,0)))</f>
        <v/>
      </c>
      <c r="O2907" s="53">
        <f>IF(COUNTA(A2907:K2907)=0,"",IF(OR(A2907="",B2907="",C2907="",D2907="",E2907="",F2907="",G2907="",NOT(ISNUMBER(I2907))),"Incomplete",IF(COUNTIF(Lists!$H$4:$AA$4,C2907)=0,"Check category",IF(COUNTIF(INDEX(Lists!$H$6:$AA$45,0,MATCH(C2907,Lists!$H$4:$AA$4,0)),D2907)=0,"Check sub-category","OK"))))</f>
        <v/>
      </c>
      <c r="P2907">
        <f>IF(ISNUMBER(I2907),I2907+ROW()/10000000,"")</f>
        <v/>
      </c>
      <c r="Q2907">
        <f>IF(AND(ISNUMBER(P2907),ISNUMBER(A2907)),IF(AND(A2907&gt;=Dashboard!$Q$3,A2907&lt;=Dashboard!$Q$4,OR(J2907&lt;&gt;"Yes",Dashboard!$Q$15="Yes")),P2907,""),"")</f>
        <v/>
      </c>
    </row>
    <row r="2908">
      <c r="A2908" s="47" t="n"/>
      <c r="B2908" s="48" t="n"/>
      <c r="C2908" s="48" t="n"/>
      <c r="D2908" s="48" t="n"/>
      <c r="E2908" s="48" t="n"/>
      <c r="F2908" s="48" t="n"/>
      <c r="G2908" s="48" t="n"/>
      <c r="H2908" s="48" t="n"/>
      <c r="I2908" s="49" t="n"/>
      <c r="J2908" s="50" t="n"/>
      <c r="K2908" s="48" t="n"/>
      <c r="L2908" s="51">
        <f>IF(A2908="","",DATE(YEAR(A2908),MONTH(A2908),1))</f>
        <v/>
      </c>
      <c r="M2908" s="52">
        <f>IF(OR(A2908="",NOT(ISNUMBER(I2908))),"",IF(G2908=Lists!$B$5,I2908/2,IF(G2908=Lists!$B$6,I2908,0)))</f>
        <v/>
      </c>
      <c r="N2908" s="52">
        <f>IF(OR(A2908="",NOT(ISNUMBER(I2908))),"",IF(G2908=Lists!$B$5,I2908/2,IF(G2908=Lists!$B$7,I2908,0)))</f>
        <v/>
      </c>
      <c r="O2908" s="53">
        <f>IF(COUNTA(A2908:K2908)=0,"",IF(OR(A2908="",B2908="",C2908="",D2908="",E2908="",F2908="",G2908="",NOT(ISNUMBER(I2908))),"Incomplete",IF(COUNTIF(Lists!$H$4:$AA$4,C2908)=0,"Check category",IF(COUNTIF(INDEX(Lists!$H$6:$AA$45,0,MATCH(C2908,Lists!$H$4:$AA$4,0)),D2908)=0,"Check sub-category","OK"))))</f>
        <v/>
      </c>
      <c r="P2908">
        <f>IF(ISNUMBER(I2908),I2908+ROW()/10000000,"")</f>
        <v/>
      </c>
      <c r="Q2908">
        <f>IF(AND(ISNUMBER(P2908),ISNUMBER(A2908)),IF(AND(A2908&gt;=Dashboard!$Q$3,A2908&lt;=Dashboard!$Q$4,OR(J2908&lt;&gt;"Yes",Dashboard!$Q$15="Yes")),P2908,""),"")</f>
        <v/>
      </c>
    </row>
    <row r="2909">
      <c r="A2909" s="47" t="n"/>
      <c r="B2909" s="48" t="n"/>
      <c r="C2909" s="48" t="n"/>
      <c r="D2909" s="48" t="n"/>
      <c r="E2909" s="48" t="n"/>
      <c r="F2909" s="48" t="n"/>
      <c r="G2909" s="48" t="n"/>
      <c r="H2909" s="48" t="n"/>
      <c r="I2909" s="49" t="n"/>
      <c r="J2909" s="50" t="n"/>
      <c r="K2909" s="48" t="n"/>
      <c r="L2909" s="51">
        <f>IF(A2909="","",DATE(YEAR(A2909),MONTH(A2909),1))</f>
        <v/>
      </c>
      <c r="M2909" s="52">
        <f>IF(OR(A2909="",NOT(ISNUMBER(I2909))),"",IF(G2909=Lists!$B$5,I2909/2,IF(G2909=Lists!$B$6,I2909,0)))</f>
        <v/>
      </c>
      <c r="N2909" s="52">
        <f>IF(OR(A2909="",NOT(ISNUMBER(I2909))),"",IF(G2909=Lists!$B$5,I2909/2,IF(G2909=Lists!$B$7,I2909,0)))</f>
        <v/>
      </c>
      <c r="O2909" s="53">
        <f>IF(COUNTA(A2909:K2909)=0,"",IF(OR(A2909="",B2909="",C2909="",D2909="",E2909="",F2909="",G2909="",NOT(ISNUMBER(I2909))),"Incomplete",IF(COUNTIF(Lists!$H$4:$AA$4,C2909)=0,"Check category",IF(COUNTIF(INDEX(Lists!$H$6:$AA$45,0,MATCH(C2909,Lists!$H$4:$AA$4,0)),D2909)=0,"Check sub-category","OK"))))</f>
        <v/>
      </c>
      <c r="P2909">
        <f>IF(ISNUMBER(I2909),I2909+ROW()/10000000,"")</f>
        <v/>
      </c>
      <c r="Q2909">
        <f>IF(AND(ISNUMBER(P2909),ISNUMBER(A2909)),IF(AND(A2909&gt;=Dashboard!$Q$3,A2909&lt;=Dashboard!$Q$4,OR(J2909&lt;&gt;"Yes",Dashboard!$Q$15="Yes")),P2909,""),"")</f>
        <v/>
      </c>
    </row>
    <row r="2910">
      <c r="A2910" s="47" t="n"/>
      <c r="B2910" s="48" t="n"/>
      <c r="C2910" s="48" t="n"/>
      <c r="D2910" s="48" t="n"/>
      <c r="E2910" s="48" t="n"/>
      <c r="F2910" s="48" t="n"/>
      <c r="G2910" s="48" t="n"/>
      <c r="H2910" s="48" t="n"/>
      <c r="I2910" s="49" t="n"/>
      <c r="J2910" s="50" t="n"/>
      <c r="K2910" s="48" t="n"/>
      <c r="L2910" s="51">
        <f>IF(A2910="","",DATE(YEAR(A2910),MONTH(A2910),1))</f>
        <v/>
      </c>
      <c r="M2910" s="52">
        <f>IF(OR(A2910="",NOT(ISNUMBER(I2910))),"",IF(G2910=Lists!$B$5,I2910/2,IF(G2910=Lists!$B$6,I2910,0)))</f>
        <v/>
      </c>
      <c r="N2910" s="52">
        <f>IF(OR(A2910="",NOT(ISNUMBER(I2910))),"",IF(G2910=Lists!$B$5,I2910/2,IF(G2910=Lists!$B$7,I2910,0)))</f>
        <v/>
      </c>
      <c r="O2910" s="53">
        <f>IF(COUNTA(A2910:K2910)=0,"",IF(OR(A2910="",B2910="",C2910="",D2910="",E2910="",F2910="",G2910="",NOT(ISNUMBER(I2910))),"Incomplete",IF(COUNTIF(Lists!$H$4:$AA$4,C2910)=0,"Check category",IF(COUNTIF(INDEX(Lists!$H$6:$AA$45,0,MATCH(C2910,Lists!$H$4:$AA$4,0)),D2910)=0,"Check sub-category","OK"))))</f>
        <v/>
      </c>
      <c r="P2910">
        <f>IF(ISNUMBER(I2910),I2910+ROW()/10000000,"")</f>
        <v/>
      </c>
      <c r="Q2910">
        <f>IF(AND(ISNUMBER(P2910),ISNUMBER(A2910)),IF(AND(A2910&gt;=Dashboard!$Q$3,A2910&lt;=Dashboard!$Q$4,OR(J2910&lt;&gt;"Yes",Dashboard!$Q$15="Yes")),P2910,""),"")</f>
        <v/>
      </c>
    </row>
    <row r="2911">
      <c r="A2911" s="47" t="n"/>
      <c r="B2911" s="48" t="n"/>
      <c r="C2911" s="48" t="n"/>
      <c r="D2911" s="48" t="n"/>
      <c r="E2911" s="48" t="n"/>
      <c r="F2911" s="48" t="n"/>
      <c r="G2911" s="48" t="n"/>
      <c r="H2911" s="48" t="n"/>
      <c r="I2911" s="49" t="n"/>
      <c r="J2911" s="50" t="n"/>
      <c r="K2911" s="48" t="n"/>
      <c r="L2911" s="51">
        <f>IF(A2911="","",DATE(YEAR(A2911),MONTH(A2911),1))</f>
        <v/>
      </c>
      <c r="M2911" s="52">
        <f>IF(OR(A2911="",NOT(ISNUMBER(I2911))),"",IF(G2911=Lists!$B$5,I2911/2,IF(G2911=Lists!$B$6,I2911,0)))</f>
        <v/>
      </c>
      <c r="N2911" s="52">
        <f>IF(OR(A2911="",NOT(ISNUMBER(I2911))),"",IF(G2911=Lists!$B$5,I2911/2,IF(G2911=Lists!$B$7,I2911,0)))</f>
        <v/>
      </c>
      <c r="O2911" s="53">
        <f>IF(COUNTA(A2911:K2911)=0,"",IF(OR(A2911="",B2911="",C2911="",D2911="",E2911="",F2911="",G2911="",NOT(ISNUMBER(I2911))),"Incomplete",IF(COUNTIF(Lists!$H$4:$AA$4,C2911)=0,"Check category",IF(COUNTIF(INDEX(Lists!$H$6:$AA$45,0,MATCH(C2911,Lists!$H$4:$AA$4,0)),D2911)=0,"Check sub-category","OK"))))</f>
        <v/>
      </c>
      <c r="P2911">
        <f>IF(ISNUMBER(I2911),I2911+ROW()/10000000,"")</f>
        <v/>
      </c>
      <c r="Q2911">
        <f>IF(AND(ISNUMBER(P2911),ISNUMBER(A2911)),IF(AND(A2911&gt;=Dashboard!$Q$3,A2911&lt;=Dashboard!$Q$4,OR(J2911&lt;&gt;"Yes",Dashboard!$Q$15="Yes")),P2911,""),"")</f>
        <v/>
      </c>
    </row>
    <row r="2912">
      <c r="A2912" s="47" t="n"/>
      <c r="B2912" s="48" t="n"/>
      <c r="C2912" s="48" t="n"/>
      <c r="D2912" s="48" t="n"/>
      <c r="E2912" s="48" t="n"/>
      <c r="F2912" s="48" t="n"/>
      <c r="G2912" s="48" t="n"/>
      <c r="H2912" s="48" t="n"/>
      <c r="I2912" s="49" t="n"/>
      <c r="J2912" s="50" t="n"/>
      <c r="K2912" s="48" t="n"/>
      <c r="L2912" s="51">
        <f>IF(A2912="","",DATE(YEAR(A2912),MONTH(A2912),1))</f>
        <v/>
      </c>
      <c r="M2912" s="52">
        <f>IF(OR(A2912="",NOT(ISNUMBER(I2912))),"",IF(G2912=Lists!$B$5,I2912/2,IF(G2912=Lists!$B$6,I2912,0)))</f>
        <v/>
      </c>
      <c r="N2912" s="52">
        <f>IF(OR(A2912="",NOT(ISNUMBER(I2912))),"",IF(G2912=Lists!$B$5,I2912/2,IF(G2912=Lists!$B$7,I2912,0)))</f>
        <v/>
      </c>
      <c r="O2912" s="53">
        <f>IF(COUNTA(A2912:K2912)=0,"",IF(OR(A2912="",B2912="",C2912="",D2912="",E2912="",F2912="",G2912="",NOT(ISNUMBER(I2912))),"Incomplete",IF(COUNTIF(Lists!$H$4:$AA$4,C2912)=0,"Check category",IF(COUNTIF(INDEX(Lists!$H$6:$AA$45,0,MATCH(C2912,Lists!$H$4:$AA$4,0)),D2912)=0,"Check sub-category","OK"))))</f>
        <v/>
      </c>
      <c r="P2912">
        <f>IF(ISNUMBER(I2912),I2912+ROW()/10000000,"")</f>
        <v/>
      </c>
      <c r="Q2912">
        <f>IF(AND(ISNUMBER(P2912),ISNUMBER(A2912)),IF(AND(A2912&gt;=Dashboard!$Q$3,A2912&lt;=Dashboard!$Q$4,OR(J2912&lt;&gt;"Yes",Dashboard!$Q$15="Yes")),P2912,""),"")</f>
        <v/>
      </c>
    </row>
    <row r="2913">
      <c r="A2913" s="47" t="n"/>
      <c r="B2913" s="48" t="n"/>
      <c r="C2913" s="48" t="n"/>
      <c r="D2913" s="48" t="n"/>
      <c r="E2913" s="48" t="n"/>
      <c r="F2913" s="48" t="n"/>
      <c r="G2913" s="48" t="n"/>
      <c r="H2913" s="48" t="n"/>
      <c r="I2913" s="49" t="n"/>
      <c r="J2913" s="50" t="n"/>
      <c r="K2913" s="48" t="n"/>
      <c r="L2913" s="51">
        <f>IF(A2913="","",DATE(YEAR(A2913),MONTH(A2913),1))</f>
        <v/>
      </c>
      <c r="M2913" s="52">
        <f>IF(OR(A2913="",NOT(ISNUMBER(I2913))),"",IF(G2913=Lists!$B$5,I2913/2,IF(G2913=Lists!$B$6,I2913,0)))</f>
        <v/>
      </c>
      <c r="N2913" s="52">
        <f>IF(OR(A2913="",NOT(ISNUMBER(I2913))),"",IF(G2913=Lists!$B$5,I2913/2,IF(G2913=Lists!$B$7,I2913,0)))</f>
        <v/>
      </c>
      <c r="O2913" s="53">
        <f>IF(COUNTA(A2913:K2913)=0,"",IF(OR(A2913="",B2913="",C2913="",D2913="",E2913="",F2913="",G2913="",NOT(ISNUMBER(I2913))),"Incomplete",IF(COUNTIF(Lists!$H$4:$AA$4,C2913)=0,"Check category",IF(COUNTIF(INDEX(Lists!$H$6:$AA$45,0,MATCH(C2913,Lists!$H$4:$AA$4,0)),D2913)=0,"Check sub-category","OK"))))</f>
        <v/>
      </c>
      <c r="P2913">
        <f>IF(ISNUMBER(I2913),I2913+ROW()/10000000,"")</f>
        <v/>
      </c>
      <c r="Q2913">
        <f>IF(AND(ISNUMBER(P2913),ISNUMBER(A2913)),IF(AND(A2913&gt;=Dashboard!$Q$3,A2913&lt;=Dashboard!$Q$4,OR(J2913&lt;&gt;"Yes",Dashboard!$Q$15="Yes")),P2913,""),"")</f>
        <v/>
      </c>
    </row>
    <row r="2914">
      <c r="A2914" s="47" t="n"/>
      <c r="B2914" s="48" t="n"/>
      <c r="C2914" s="48" t="n"/>
      <c r="D2914" s="48" t="n"/>
      <c r="E2914" s="48" t="n"/>
      <c r="F2914" s="48" t="n"/>
      <c r="G2914" s="48" t="n"/>
      <c r="H2914" s="48" t="n"/>
      <c r="I2914" s="49" t="n"/>
      <c r="J2914" s="50" t="n"/>
      <c r="K2914" s="48" t="n"/>
      <c r="L2914" s="51">
        <f>IF(A2914="","",DATE(YEAR(A2914),MONTH(A2914),1))</f>
        <v/>
      </c>
      <c r="M2914" s="52">
        <f>IF(OR(A2914="",NOT(ISNUMBER(I2914))),"",IF(G2914=Lists!$B$5,I2914/2,IF(G2914=Lists!$B$6,I2914,0)))</f>
        <v/>
      </c>
      <c r="N2914" s="52">
        <f>IF(OR(A2914="",NOT(ISNUMBER(I2914))),"",IF(G2914=Lists!$B$5,I2914/2,IF(G2914=Lists!$B$7,I2914,0)))</f>
        <v/>
      </c>
      <c r="O2914" s="53">
        <f>IF(COUNTA(A2914:K2914)=0,"",IF(OR(A2914="",B2914="",C2914="",D2914="",E2914="",F2914="",G2914="",NOT(ISNUMBER(I2914))),"Incomplete",IF(COUNTIF(Lists!$H$4:$AA$4,C2914)=0,"Check category",IF(COUNTIF(INDEX(Lists!$H$6:$AA$45,0,MATCH(C2914,Lists!$H$4:$AA$4,0)),D2914)=0,"Check sub-category","OK"))))</f>
        <v/>
      </c>
      <c r="P2914">
        <f>IF(ISNUMBER(I2914),I2914+ROW()/10000000,"")</f>
        <v/>
      </c>
      <c r="Q2914">
        <f>IF(AND(ISNUMBER(P2914),ISNUMBER(A2914)),IF(AND(A2914&gt;=Dashboard!$Q$3,A2914&lt;=Dashboard!$Q$4,OR(J2914&lt;&gt;"Yes",Dashboard!$Q$15="Yes")),P2914,""),"")</f>
        <v/>
      </c>
    </row>
    <row r="2915">
      <c r="A2915" s="47" t="n"/>
      <c r="B2915" s="48" t="n"/>
      <c r="C2915" s="48" t="n"/>
      <c r="D2915" s="48" t="n"/>
      <c r="E2915" s="48" t="n"/>
      <c r="F2915" s="48" t="n"/>
      <c r="G2915" s="48" t="n"/>
      <c r="H2915" s="48" t="n"/>
      <c r="I2915" s="49" t="n"/>
      <c r="J2915" s="50" t="n"/>
      <c r="K2915" s="48" t="n"/>
      <c r="L2915" s="51">
        <f>IF(A2915="","",DATE(YEAR(A2915),MONTH(A2915),1))</f>
        <v/>
      </c>
      <c r="M2915" s="52">
        <f>IF(OR(A2915="",NOT(ISNUMBER(I2915))),"",IF(G2915=Lists!$B$5,I2915/2,IF(G2915=Lists!$B$6,I2915,0)))</f>
        <v/>
      </c>
      <c r="N2915" s="52">
        <f>IF(OR(A2915="",NOT(ISNUMBER(I2915))),"",IF(G2915=Lists!$B$5,I2915/2,IF(G2915=Lists!$B$7,I2915,0)))</f>
        <v/>
      </c>
      <c r="O2915" s="53">
        <f>IF(COUNTA(A2915:K2915)=0,"",IF(OR(A2915="",B2915="",C2915="",D2915="",E2915="",F2915="",G2915="",NOT(ISNUMBER(I2915))),"Incomplete",IF(COUNTIF(Lists!$H$4:$AA$4,C2915)=0,"Check category",IF(COUNTIF(INDEX(Lists!$H$6:$AA$45,0,MATCH(C2915,Lists!$H$4:$AA$4,0)),D2915)=0,"Check sub-category","OK"))))</f>
        <v/>
      </c>
      <c r="P2915">
        <f>IF(ISNUMBER(I2915),I2915+ROW()/10000000,"")</f>
        <v/>
      </c>
      <c r="Q2915">
        <f>IF(AND(ISNUMBER(P2915),ISNUMBER(A2915)),IF(AND(A2915&gt;=Dashboard!$Q$3,A2915&lt;=Dashboard!$Q$4,OR(J2915&lt;&gt;"Yes",Dashboard!$Q$15="Yes")),P2915,""),"")</f>
        <v/>
      </c>
    </row>
    <row r="2916">
      <c r="A2916" s="47" t="n"/>
      <c r="B2916" s="48" t="n"/>
      <c r="C2916" s="48" t="n"/>
      <c r="D2916" s="48" t="n"/>
      <c r="E2916" s="48" t="n"/>
      <c r="F2916" s="48" t="n"/>
      <c r="G2916" s="48" t="n"/>
      <c r="H2916" s="48" t="n"/>
      <c r="I2916" s="49" t="n"/>
      <c r="J2916" s="50" t="n"/>
      <c r="K2916" s="48" t="n"/>
      <c r="L2916" s="51">
        <f>IF(A2916="","",DATE(YEAR(A2916),MONTH(A2916),1))</f>
        <v/>
      </c>
      <c r="M2916" s="52">
        <f>IF(OR(A2916="",NOT(ISNUMBER(I2916))),"",IF(G2916=Lists!$B$5,I2916/2,IF(G2916=Lists!$B$6,I2916,0)))</f>
        <v/>
      </c>
      <c r="N2916" s="52">
        <f>IF(OR(A2916="",NOT(ISNUMBER(I2916))),"",IF(G2916=Lists!$B$5,I2916/2,IF(G2916=Lists!$B$7,I2916,0)))</f>
        <v/>
      </c>
      <c r="O2916" s="53">
        <f>IF(COUNTA(A2916:K2916)=0,"",IF(OR(A2916="",B2916="",C2916="",D2916="",E2916="",F2916="",G2916="",NOT(ISNUMBER(I2916))),"Incomplete",IF(COUNTIF(Lists!$H$4:$AA$4,C2916)=0,"Check category",IF(COUNTIF(INDEX(Lists!$H$6:$AA$45,0,MATCH(C2916,Lists!$H$4:$AA$4,0)),D2916)=0,"Check sub-category","OK"))))</f>
        <v/>
      </c>
      <c r="P2916">
        <f>IF(ISNUMBER(I2916),I2916+ROW()/10000000,"")</f>
        <v/>
      </c>
      <c r="Q2916">
        <f>IF(AND(ISNUMBER(P2916),ISNUMBER(A2916)),IF(AND(A2916&gt;=Dashboard!$Q$3,A2916&lt;=Dashboard!$Q$4,OR(J2916&lt;&gt;"Yes",Dashboard!$Q$15="Yes")),P2916,""),"")</f>
        <v/>
      </c>
    </row>
    <row r="2917">
      <c r="A2917" s="47" t="n"/>
      <c r="B2917" s="48" t="n"/>
      <c r="C2917" s="48" t="n"/>
      <c r="D2917" s="48" t="n"/>
      <c r="E2917" s="48" t="n"/>
      <c r="F2917" s="48" t="n"/>
      <c r="G2917" s="48" t="n"/>
      <c r="H2917" s="48" t="n"/>
      <c r="I2917" s="49" t="n"/>
      <c r="J2917" s="50" t="n"/>
      <c r="K2917" s="48" t="n"/>
      <c r="L2917" s="51">
        <f>IF(A2917="","",DATE(YEAR(A2917),MONTH(A2917),1))</f>
        <v/>
      </c>
      <c r="M2917" s="52">
        <f>IF(OR(A2917="",NOT(ISNUMBER(I2917))),"",IF(G2917=Lists!$B$5,I2917/2,IF(G2917=Lists!$B$6,I2917,0)))</f>
        <v/>
      </c>
      <c r="N2917" s="52">
        <f>IF(OR(A2917="",NOT(ISNUMBER(I2917))),"",IF(G2917=Lists!$B$5,I2917/2,IF(G2917=Lists!$B$7,I2917,0)))</f>
        <v/>
      </c>
      <c r="O2917" s="53">
        <f>IF(COUNTA(A2917:K2917)=0,"",IF(OR(A2917="",B2917="",C2917="",D2917="",E2917="",F2917="",G2917="",NOT(ISNUMBER(I2917))),"Incomplete",IF(COUNTIF(Lists!$H$4:$AA$4,C2917)=0,"Check category",IF(COUNTIF(INDEX(Lists!$H$6:$AA$45,0,MATCH(C2917,Lists!$H$4:$AA$4,0)),D2917)=0,"Check sub-category","OK"))))</f>
        <v/>
      </c>
      <c r="P2917">
        <f>IF(ISNUMBER(I2917),I2917+ROW()/10000000,"")</f>
        <v/>
      </c>
      <c r="Q2917">
        <f>IF(AND(ISNUMBER(P2917),ISNUMBER(A2917)),IF(AND(A2917&gt;=Dashboard!$Q$3,A2917&lt;=Dashboard!$Q$4,OR(J2917&lt;&gt;"Yes",Dashboard!$Q$15="Yes")),P2917,""),"")</f>
        <v/>
      </c>
    </row>
    <row r="2918">
      <c r="A2918" s="47" t="n"/>
      <c r="B2918" s="48" t="n"/>
      <c r="C2918" s="48" t="n"/>
      <c r="D2918" s="48" t="n"/>
      <c r="E2918" s="48" t="n"/>
      <c r="F2918" s="48" t="n"/>
      <c r="G2918" s="48" t="n"/>
      <c r="H2918" s="48" t="n"/>
      <c r="I2918" s="49" t="n"/>
      <c r="J2918" s="50" t="n"/>
      <c r="K2918" s="48" t="n"/>
      <c r="L2918" s="51">
        <f>IF(A2918="","",DATE(YEAR(A2918),MONTH(A2918),1))</f>
        <v/>
      </c>
      <c r="M2918" s="52">
        <f>IF(OR(A2918="",NOT(ISNUMBER(I2918))),"",IF(G2918=Lists!$B$5,I2918/2,IF(G2918=Lists!$B$6,I2918,0)))</f>
        <v/>
      </c>
      <c r="N2918" s="52">
        <f>IF(OR(A2918="",NOT(ISNUMBER(I2918))),"",IF(G2918=Lists!$B$5,I2918/2,IF(G2918=Lists!$B$7,I2918,0)))</f>
        <v/>
      </c>
      <c r="O2918" s="53">
        <f>IF(COUNTA(A2918:K2918)=0,"",IF(OR(A2918="",B2918="",C2918="",D2918="",E2918="",F2918="",G2918="",NOT(ISNUMBER(I2918))),"Incomplete",IF(COUNTIF(Lists!$H$4:$AA$4,C2918)=0,"Check category",IF(COUNTIF(INDEX(Lists!$H$6:$AA$45,0,MATCH(C2918,Lists!$H$4:$AA$4,0)),D2918)=0,"Check sub-category","OK"))))</f>
        <v/>
      </c>
      <c r="P2918">
        <f>IF(ISNUMBER(I2918),I2918+ROW()/10000000,"")</f>
        <v/>
      </c>
      <c r="Q2918">
        <f>IF(AND(ISNUMBER(P2918),ISNUMBER(A2918)),IF(AND(A2918&gt;=Dashboard!$Q$3,A2918&lt;=Dashboard!$Q$4,OR(J2918&lt;&gt;"Yes",Dashboard!$Q$15="Yes")),P2918,""),"")</f>
        <v/>
      </c>
    </row>
    <row r="2919">
      <c r="A2919" s="47" t="n"/>
      <c r="B2919" s="48" t="n"/>
      <c r="C2919" s="48" t="n"/>
      <c r="D2919" s="48" t="n"/>
      <c r="E2919" s="48" t="n"/>
      <c r="F2919" s="48" t="n"/>
      <c r="G2919" s="48" t="n"/>
      <c r="H2919" s="48" t="n"/>
      <c r="I2919" s="49" t="n"/>
      <c r="J2919" s="50" t="n"/>
      <c r="K2919" s="48" t="n"/>
      <c r="L2919" s="51">
        <f>IF(A2919="","",DATE(YEAR(A2919),MONTH(A2919),1))</f>
        <v/>
      </c>
      <c r="M2919" s="52">
        <f>IF(OR(A2919="",NOT(ISNUMBER(I2919))),"",IF(G2919=Lists!$B$5,I2919/2,IF(G2919=Lists!$B$6,I2919,0)))</f>
        <v/>
      </c>
      <c r="N2919" s="52">
        <f>IF(OR(A2919="",NOT(ISNUMBER(I2919))),"",IF(G2919=Lists!$B$5,I2919/2,IF(G2919=Lists!$B$7,I2919,0)))</f>
        <v/>
      </c>
      <c r="O2919" s="53">
        <f>IF(COUNTA(A2919:K2919)=0,"",IF(OR(A2919="",B2919="",C2919="",D2919="",E2919="",F2919="",G2919="",NOT(ISNUMBER(I2919))),"Incomplete",IF(COUNTIF(Lists!$H$4:$AA$4,C2919)=0,"Check category",IF(COUNTIF(INDEX(Lists!$H$6:$AA$45,0,MATCH(C2919,Lists!$H$4:$AA$4,0)),D2919)=0,"Check sub-category","OK"))))</f>
        <v/>
      </c>
      <c r="P2919">
        <f>IF(ISNUMBER(I2919),I2919+ROW()/10000000,"")</f>
        <v/>
      </c>
      <c r="Q2919">
        <f>IF(AND(ISNUMBER(P2919),ISNUMBER(A2919)),IF(AND(A2919&gt;=Dashboard!$Q$3,A2919&lt;=Dashboard!$Q$4,OR(J2919&lt;&gt;"Yes",Dashboard!$Q$15="Yes")),P2919,""),"")</f>
        <v/>
      </c>
    </row>
    <row r="2920">
      <c r="A2920" s="47" t="n"/>
      <c r="B2920" s="48" t="n"/>
      <c r="C2920" s="48" t="n"/>
      <c r="D2920" s="48" t="n"/>
      <c r="E2920" s="48" t="n"/>
      <c r="F2920" s="48" t="n"/>
      <c r="G2920" s="48" t="n"/>
      <c r="H2920" s="48" t="n"/>
      <c r="I2920" s="49" t="n"/>
      <c r="J2920" s="50" t="n"/>
      <c r="K2920" s="48" t="n"/>
      <c r="L2920" s="51">
        <f>IF(A2920="","",DATE(YEAR(A2920),MONTH(A2920),1))</f>
        <v/>
      </c>
      <c r="M2920" s="52">
        <f>IF(OR(A2920="",NOT(ISNUMBER(I2920))),"",IF(G2920=Lists!$B$5,I2920/2,IF(G2920=Lists!$B$6,I2920,0)))</f>
        <v/>
      </c>
      <c r="N2920" s="52">
        <f>IF(OR(A2920="",NOT(ISNUMBER(I2920))),"",IF(G2920=Lists!$B$5,I2920/2,IF(G2920=Lists!$B$7,I2920,0)))</f>
        <v/>
      </c>
      <c r="O2920" s="53">
        <f>IF(COUNTA(A2920:K2920)=0,"",IF(OR(A2920="",B2920="",C2920="",D2920="",E2920="",F2920="",G2920="",NOT(ISNUMBER(I2920))),"Incomplete",IF(COUNTIF(Lists!$H$4:$AA$4,C2920)=0,"Check category",IF(COUNTIF(INDEX(Lists!$H$6:$AA$45,0,MATCH(C2920,Lists!$H$4:$AA$4,0)),D2920)=0,"Check sub-category","OK"))))</f>
        <v/>
      </c>
      <c r="P2920">
        <f>IF(ISNUMBER(I2920),I2920+ROW()/10000000,"")</f>
        <v/>
      </c>
      <c r="Q2920">
        <f>IF(AND(ISNUMBER(P2920),ISNUMBER(A2920)),IF(AND(A2920&gt;=Dashboard!$Q$3,A2920&lt;=Dashboard!$Q$4,OR(J2920&lt;&gt;"Yes",Dashboard!$Q$15="Yes")),P2920,""),"")</f>
        <v/>
      </c>
    </row>
    <row r="2921">
      <c r="A2921" s="47" t="n"/>
      <c r="B2921" s="48" t="n"/>
      <c r="C2921" s="48" t="n"/>
      <c r="D2921" s="48" t="n"/>
      <c r="E2921" s="48" t="n"/>
      <c r="F2921" s="48" t="n"/>
      <c r="G2921" s="48" t="n"/>
      <c r="H2921" s="48" t="n"/>
      <c r="I2921" s="49" t="n"/>
      <c r="J2921" s="50" t="n"/>
      <c r="K2921" s="48" t="n"/>
      <c r="L2921" s="51">
        <f>IF(A2921="","",DATE(YEAR(A2921),MONTH(A2921),1))</f>
        <v/>
      </c>
      <c r="M2921" s="52">
        <f>IF(OR(A2921="",NOT(ISNUMBER(I2921))),"",IF(G2921=Lists!$B$5,I2921/2,IF(G2921=Lists!$B$6,I2921,0)))</f>
        <v/>
      </c>
      <c r="N2921" s="52">
        <f>IF(OR(A2921="",NOT(ISNUMBER(I2921))),"",IF(G2921=Lists!$B$5,I2921/2,IF(G2921=Lists!$B$7,I2921,0)))</f>
        <v/>
      </c>
      <c r="O2921" s="53">
        <f>IF(COUNTA(A2921:K2921)=0,"",IF(OR(A2921="",B2921="",C2921="",D2921="",E2921="",F2921="",G2921="",NOT(ISNUMBER(I2921))),"Incomplete",IF(COUNTIF(Lists!$H$4:$AA$4,C2921)=0,"Check category",IF(COUNTIF(INDEX(Lists!$H$6:$AA$45,0,MATCH(C2921,Lists!$H$4:$AA$4,0)),D2921)=0,"Check sub-category","OK"))))</f>
        <v/>
      </c>
      <c r="P2921">
        <f>IF(ISNUMBER(I2921),I2921+ROW()/10000000,"")</f>
        <v/>
      </c>
      <c r="Q2921">
        <f>IF(AND(ISNUMBER(P2921),ISNUMBER(A2921)),IF(AND(A2921&gt;=Dashboard!$Q$3,A2921&lt;=Dashboard!$Q$4,OR(J2921&lt;&gt;"Yes",Dashboard!$Q$15="Yes")),P2921,""),"")</f>
        <v/>
      </c>
    </row>
    <row r="2922">
      <c r="A2922" s="47" t="n"/>
      <c r="B2922" s="48" t="n"/>
      <c r="C2922" s="48" t="n"/>
      <c r="D2922" s="48" t="n"/>
      <c r="E2922" s="48" t="n"/>
      <c r="F2922" s="48" t="n"/>
      <c r="G2922" s="48" t="n"/>
      <c r="H2922" s="48" t="n"/>
      <c r="I2922" s="49" t="n"/>
      <c r="J2922" s="50" t="n"/>
      <c r="K2922" s="48" t="n"/>
      <c r="L2922" s="51">
        <f>IF(A2922="","",DATE(YEAR(A2922),MONTH(A2922),1))</f>
        <v/>
      </c>
      <c r="M2922" s="52">
        <f>IF(OR(A2922="",NOT(ISNUMBER(I2922))),"",IF(G2922=Lists!$B$5,I2922/2,IF(G2922=Lists!$B$6,I2922,0)))</f>
        <v/>
      </c>
      <c r="N2922" s="52">
        <f>IF(OR(A2922="",NOT(ISNUMBER(I2922))),"",IF(G2922=Lists!$B$5,I2922/2,IF(G2922=Lists!$B$7,I2922,0)))</f>
        <v/>
      </c>
      <c r="O2922" s="53">
        <f>IF(COUNTA(A2922:K2922)=0,"",IF(OR(A2922="",B2922="",C2922="",D2922="",E2922="",F2922="",G2922="",NOT(ISNUMBER(I2922))),"Incomplete",IF(COUNTIF(Lists!$H$4:$AA$4,C2922)=0,"Check category",IF(COUNTIF(INDEX(Lists!$H$6:$AA$45,0,MATCH(C2922,Lists!$H$4:$AA$4,0)),D2922)=0,"Check sub-category","OK"))))</f>
        <v/>
      </c>
      <c r="P2922">
        <f>IF(ISNUMBER(I2922),I2922+ROW()/10000000,"")</f>
        <v/>
      </c>
      <c r="Q2922">
        <f>IF(AND(ISNUMBER(P2922),ISNUMBER(A2922)),IF(AND(A2922&gt;=Dashboard!$Q$3,A2922&lt;=Dashboard!$Q$4,OR(J2922&lt;&gt;"Yes",Dashboard!$Q$15="Yes")),P2922,""),"")</f>
        <v/>
      </c>
    </row>
    <row r="2923">
      <c r="A2923" s="47" t="n"/>
      <c r="B2923" s="48" t="n"/>
      <c r="C2923" s="48" t="n"/>
      <c r="D2923" s="48" t="n"/>
      <c r="E2923" s="48" t="n"/>
      <c r="F2923" s="48" t="n"/>
      <c r="G2923" s="48" t="n"/>
      <c r="H2923" s="48" t="n"/>
      <c r="I2923" s="49" t="n"/>
      <c r="J2923" s="50" t="n"/>
      <c r="K2923" s="48" t="n"/>
      <c r="L2923" s="51">
        <f>IF(A2923="","",DATE(YEAR(A2923),MONTH(A2923),1))</f>
        <v/>
      </c>
      <c r="M2923" s="52">
        <f>IF(OR(A2923="",NOT(ISNUMBER(I2923))),"",IF(G2923=Lists!$B$5,I2923/2,IF(G2923=Lists!$B$6,I2923,0)))</f>
        <v/>
      </c>
      <c r="N2923" s="52">
        <f>IF(OR(A2923="",NOT(ISNUMBER(I2923))),"",IF(G2923=Lists!$B$5,I2923/2,IF(G2923=Lists!$B$7,I2923,0)))</f>
        <v/>
      </c>
      <c r="O2923" s="53">
        <f>IF(COUNTA(A2923:K2923)=0,"",IF(OR(A2923="",B2923="",C2923="",D2923="",E2923="",F2923="",G2923="",NOT(ISNUMBER(I2923))),"Incomplete",IF(COUNTIF(Lists!$H$4:$AA$4,C2923)=0,"Check category",IF(COUNTIF(INDEX(Lists!$H$6:$AA$45,0,MATCH(C2923,Lists!$H$4:$AA$4,0)),D2923)=0,"Check sub-category","OK"))))</f>
        <v/>
      </c>
      <c r="P2923">
        <f>IF(ISNUMBER(I2923),I2923+ROW()/10000000,"")</f>
        <v/>
      </c>
      <c r="Q2923">
        <f>IF(AND(ISNUMBER(P2923),ISNUMBER(A2923)),IF(AND(A2923&gt;=Dashboard!$Q$3,A2923&lt;=Dashboard!$Q$4,OR(J2923&lt;&gt;"Yes",Dashboard!$Q$15="Yes")),P2923,""),"")</f>
        <v/>
      </c>
    </row>
    <row r="2924">
      <c r="A2924" s="47" t="n"/>
      <c r="B2924" s="48" t="n"/>
      <c r="C2924" s="48" t="n"/>
      <c r="D2924" s="48" t="n"/>
      <c r="E2924" s="48" t="n"/>
      <c r="F2924" s="48" t="n"/>
      <c r="G2924" s="48" t="n"/>
      <c r="H2924" s="48" t="n"/>
      <c r="I2924" s="49" t="n"/>
      <c r="J2924" s="50" t="n"/>
      <c r="K2924" s="48" t="n"/>
      <c r="L2924" s="51">
        <f>IF(A2924="","",DATE(YEAR(A2924),MONTH(A2924),1))</f>
        <v/>
      </c>
      <c r="M2924" s="52">
        <f>IF(OR(A2924="",NOT(ISNUMBER(I2924))),"",IF(G2924=Lists!$B$5,I2924/2,IF(G2924=Lists!$B$6,I2924,0)))</f>
        <v/>
      </c>
      <c r="N2924" s="52">
        <f>IF(OR(A2924="",NOT(ISNUMBER(I2924))),"",IF(G2924=Lists!$B$5,I2924/2,IF(G2924=Lists!$B$7,I2924,0)))</f>
        <v/>
      </c>
      <c r="O2924" s="53">
        <f>IF(COUNTA(A2924:K2924)=0,"",IF(OR(A2924="",B2924="",C2924="",D2924="",E2924="",F2924="",G2924="",NOT(ISNUMBER(I2924))),"Incomplete",IF(COUNTIF(Lists!$H$4:$AA$4,C2924)=0,"Check category",IF(COUNTIF(INDEX(Lists!$H$6:$AA$45,0,MATCH(C2924,Lists!$H$4:$AA$4,0)),D2924)=0,"Check sub-category","OK"))))</f>
        <v/>
      </c>
      <c r="P2924">
        <f>IF(ISNUMBER(I2924),I2924+ROW()/10000000,"")</f>
        <v/>
      </c>
      <c r="Q2924">
        <f>IF(AND(ISNUMBER(P2924),ISNUMBER(A2924)),IF(AND(A2924&gt;=Dashboard!$Q$3,A2924&lt;=Dashboard!$Q$4,OR(J2924&lt;&gt;"Yes",Dashboard!$Q$15="Yes")),P2924,""),"")</f>
        <v/>
      </c>
    </row>
    <row r="2925">
      <c r="A2925" s="47" t="n"/>
      <c r="B2925" s="48" t="n"/>
      <c r="C2925" s="48" t="n"/>
      <c r="D2925" s="48" t="n"/>
      <c r="E2925" s="48" t="n"/>
      <c r="F2925" s="48" t="n"/>
      <c r="G2925" s="48" t="n"/>
      <c r="H2925" s="48" t="n"/>
      <c r="I2925" s="49" t="n"/>
      <c r="J2925" s="50" t="n"/>
      <c r="K2925" s="48" t="n"/>
      <c r="L2925" s="51">
        <f>IF(A2925="","",DATE(YEAR(A2925),MONTH(A2925),1))</f>
        <v/>
      </c>
      <c r="M2925" s="52">
        <f>IF(OR(A2925="",NOT(ISNUMBER(I2925))),"",IF(G2925=Lists!$B$5,I2925/2,IF(G2925=Lists!$B$6,I2925,0)))</f>
        <v/>
      </c>
      <c r="N2925" s="52">
        <f>IF(OR(A2925="",NOT(ISNUMBER(I2925))),"",IF(G2925=Lists!$B$5,I2925/2,IF(G2925=Lists!$B$7,I2925,0)))</f>
        <v/>
      </c>
      <c r="O2925" s="53">
        <f>IF(COUNTA(A2925:K2925)=0,"",IF(OR(A2925="",B2925="",C2925="",D2925="",E2925="",F2925="",G2925="",NOT(ISNUMBER(I2925))),"Incomplete",IF(COUNTIF(Lists!$H$4:$AA$4,C2925)=0,"Check category",IF(COUNTIF(INDEX(Lists!$H$6:$AA$45,0,MATCH(C2925,Lists!$H$4:$AA$4,0)),D2925)=0,"Check sub-category","OK"))))</f>
        <v/>
      </c>
      <c r="P2925">
        <f>IF(ISNUMBER(I2925),I2925+ROW()/10000000,"")</f>
        <v/>
      </c>
      <c r="Q2925">
        <f>IF(AND(ISNUMBER(P2925),ISNUMBER(A2925)),IF(AND(A2925&gt;=Dashboard!$Q$3,A2925&lt;=Dashboard!$Q$4,OR(J2925&lt;&gt;"Yes",Dashboard!$Q$15="Yes")),P2925,""),"")</f>
        <v/>
      </c>
    </row>
    <row r="2926">
      <c r="A2926" s="47" t="n"/>
      <c r="B2926" s="48" t="n"/>
      <c r="C2926" s="48" t="n"/>
      <c r="D2926" s="48" t="n"/>
      <c r="E2926" s="48" t="n"/>
      <c r="F2926" s="48" t="n"/>
      <c r="G2926" s="48" t="n"/>
      <c r="H2926" s="48" t="n"/>
      <c r="I2926" s="49" t="n"/>
      <c r="J2926" s="50" t="n"/>
      <c r="K2926" s="48" t="n"/>
      <c r="L2926" s="51">
        <f>IF(A2926="","",DATE(YEAR(A2926),MONTH(A2926),1))</f>
        <v/>
      </c>
      <c r="M2926" s="52">
        <f>IF(OR(A2926="",NOT(ISNUMBER(I2926))),"",IF(G2926=Lists!$B$5,I2926/2,IF(G2926=Lists!$B$6,I2926,0)))</f>
        <v/>
      </c>
      <c r="N2926" s="52">
        <f>IF(OR(A2926="",NOT(ISNUMBER(I2926))),"",IF(G2926=Lists!$B$5,I2926/2,IF(G2926=Lists!$B$7,I2926,0)))</f>
        <v/>
      </c>
      <c r="O2926" s="53">
        <f>IF(COUNTA(A2926:K2926)=0,"",IF(OR(A2926="",B2926="",C2926="",D2926="",E2926="",F2926="",G2926="",NOT(ISNUMBER(I2926))),"Incomplete",IF(COUNTIF(Lists!$H$4:$AA$4,C2926)=0,"Check category",IF(COUNTIF(INDEX(Lists!$H$6:$AA$45,0,MATCH(C2926,Lists!$H$4:$AA$4,0)),D2926)=0,"Check sub-category","OK"))))</f>
        <v/>
      </c>
      <c r="P2926">
        <f>IF(ISNUMBER(I2926),I2926+ROW()/10000000,"")</f>
        <v/>
      </c>
      <c r="Q2926">
        <f>IF(AND(ISNUMBER(P2926),ISNUMBER(A2926)),IF(AND(A2926&gt;=Dashboard!$Q$3,A2926&lt;=Dashboard!$Q$4,OR(J2926&lt;&gt;"Yes",Dashboard!$Q$15="Yes")),P2926,""),"")</f>
        <v/>
      </c>
    </row>
    <row r="2927">
      <c r="A2927" s="47" t="n"/>
      <c r="B2927" s="48" t="n"/>
      <c r="C2927" s="48" t="n"/>
      <c r="D2927" s="48" t="n"/>
      <c r="E2927" s="48" t="n"/>
      <c r="F2927" s="48" t="n"/>
      <c r="G2927" s="48" t="n"/>
      <c r="H2927" s="48" t="n"/>
      <c r="I2927" s="49" t="n"/>
      <c r="J2927" s="50" t="n"/>
      <c r="K2927" s="48" t="n"/>
      <c r="L2927" s="51">
        <f>IF(A2927="","",DATE(YEAR(A2927),MONTH(A2927),1))</f>
        <v/>
      </c>
      <c r="M2927" s="52">
        <f>IF(OR(A2927="",NOT(ISNUMBER(I2927))),"",IF(G2927=Lists!$B$5,I2927/2,IF(G2927=Lists!$B$6,I2927,0)))</f>
        <v/>
      </c>
      <c r="N2927" s="52">
        <f>IF(OR(A2927="",NOT(ISNUMBER(I2927))),"",IF(G2927=Lists!$B$5,I2927/2,IF(G2927=Lists!$B$7,I2927,0)))</f>
        <v/>
      </c>
      <c r="O2927" s="53">
        <f>IF(COUNTA(A2927:K2927)=0,"",IF(OR(A2927="",B2927="",C2927="",D2927="",E2927="",F2927="",G2927="",NOT(ISNUMBER(I2927))),"Incomplete",IF(COUNTIF(Lists!$H$4:$AA$4,C2927)=0,"Check category",IF(COUNTIF(INDEX(Lists!$H$6:$AA$45,0,MATCH(C2927,Lists!$H$4:$AA$4,0)),D2927)=0,"Check sub-category","OK"))))</f>
        <v/>
      </c>
      <c r="P2927">
        <f>IF(ISNUMBER(I2927),I2927+ROW()/10000000,"")</f>
        <v/>
      </c>
      <c r="Q2927">
        <f>IF(AND(ISNUMBER(P2927),ISNUMBER(A2927)),IF(AND(A2927&gt;=Dashboard!$Q$3,A2927&lt;=Dashboard!$Q$4,OR(J2927&lt;&gt;"Yes",Dashboard!$Q$15="Yes")),P2927,""),"")</f>
        <v/>
      </c>
    </row>
    <row r="2928">
      <c r="A2928" s="47" t="n"/>
      <c r="B2928" s="48" t="n"/>
      <c r="C2928" s="48" t="n"/>
      <c r="D2928" s="48" t="n"/>
      <c r="E2928" s="48" t="n"/>
      <c r="F2928" s="48" t="n"/>
      <c r="G2928" s="48" t="n"/>
      <c r="H2928" s="48" t="n"/>
      <c r="I2928" s="49" t="n"/>
      <c r="J2928" s="50" t="n"/>
      <c r="K2928" s="48" t="n"/>
      <c r="L2928" s="51">
        <f>IF(A2928="","",DATE(YEAR(A2928),MONTH(A2928),1))</f>
        <v/>
      </c>
      <c r="M2928" s="52">
        <f>IF(OR(A2928="",NOT(ISNUMBER(I2928))),"",IF(G2928=Lists!$B$5,I2928/2,IF(G2928=Lists!$B$6,I2928,0)))</f>
        <v/>
      </c>
      <c r="N2928" s="52">
        <f>IF(OR(A2928="",NOT(ISNUMBER(I2928))),"",IF(G2928=Lists!$B$5,I2928/2,IF(G2928=Lists!$B$7,I2928,0)))</f>
        <v/>
      </c>
      <c r="O2928" s="53">
        <f>IF(COUNTA(A2928:K2928)=0,"",IF(OR(A2928="",B2928="",C2928="",D2928="",E2928="",F2928="",G2928="",NOT(ISNUMBER(I2928))),"Incomplete",IF(COUNTIF(Lists!$H$4:$AA$4,C2928)=0,"Check category",IF(COUNTIF(INDEX(Lists!$H$6:$AA$45,0,MATCH(C2928,Lists!$H$4:$AA$4,0)),D2928)=0,"Check sub-category","OK"))))</f>
        <v/>
      </c>
      <c r="P2928">
        <f>IF(ISNUMBER(I2928),I2928+ROW()/10000000,"")</f>
        <v/>
      </c>
      <c r="Q2928">
        <f>IF(AND(ISNUMBER(P2928),ISNUMBER(A2928)),IF(AND(A2928&gt;=Dashboard!$Q$3,A2928&lt;=Dashboard!$Q$4,OR(J2928&lt;&gt;"Yes",Dashboard!$Q$15="Yes")),P2928,""),"")</f>
        <v/>
      </c>
    </row>
    <row r="2929">
      <c r="A2929" s="47" t="n"/>
      <c r="B2929" s="48" t="n"/>
      <c r="C2929" s="48" t="n"/>
      <c r="D2929" s="48" t="n"/>
      <c r="E2929" s="48" t="n"/>
      <c r="F2929" s="48" t="n"/>
      <c r="G2929" s="48" t="n"/>
      <c r="H2929" s="48" t="n"/>
      <c r="I2929" s="49" t="n"/>
      <c r="J2929" s="50" t="n"/>
      <c r="K2929" s="48" t="n"/>
      <c r="L2929" s="51">
        <f>IF(A2929="","",DATE(YEAR(A2929),MONTH(A2929),1))</f>
        <v/>
      </c>
      <c r="M2929" s="52">
        <f>IF(OR(A2929="",NOT(ISNUMBER(I2929))),"",IF(G2929=Lists!$B$5,I2929/2,IF(G2929=Lists!$B$6,I2929,0)))</f>
        <v/>
      </c>
      <c r="N2929" s="52">
        <f>IF(OR(A2929="",NOT(ISNUMBER(I2929))),"",IF(G2929=Lists!$B$5,I2929/2,IF(G2929=Lists!$B$7,I2929,0)))</f>
        <v/>
      </c>
      <c r="O2929" s="53">
        <f>IF(COUNTA(A2929:K2929)=0,"",IF(OR(A2929="",B2929="",C2929="",D2929="",E2929="",F2929="",G2929="",NOT(ISNUMBER(I2929))),"Incomplete",IF(COUNTIF(Lists!$H$4:$AA$4,C2929)=0,"Check category",IF(COUNTIF(INDEX(Lists!$H$6:$AA$45,0,MATCH(C2929,Lists!$H$4:$AA$4,0)),D2929)=0,"Check sub-category","OK"))))</f>
        <v/>
      </c>
      <c r="P2929">
        <f>IF(ISNUMBER(I2929),I2929+ROW()/10000000,"")</f>
        <v/>
      </c>
      <c r="Q2929">
        <f>IF(AND(ISNUMBER(P2929),ISNUMBER(A2929)),IF(AND(A2929&gt;=Dashboard!$Q$3,A2929&lt;=Dashboard!$Q$4,OR(J2929&lt;&gt;"Yes",Dashboard!$Q$15="Yes")),P2929,""),"")</f>
        <v/>
      </c>
    </row>
    <row r="2930">
      <c r="A2930" s="47" t="n"/>
      <c r="B2930" s="48" t="n"/>
      <c r="C2930" s="48" t="n"/>
      <c r="D2930" s="48" t="n"/>
      <c r="E2930" s="48" t="n"/>
      <c r="F2930" s="48" t="n"/>
      <c r="G2930" s="48" t="n"/>
      <c r="H2930" s="48" t="n"/>
      <c r="I2930" s="49" t="n"/>
      <c r="J2930" s="50" t="n"/>
      <c r="K2930" s="48" t="n"/>
      <c r="L2930" s="51">
        <f>IF(A2930="","",DATE(YEAR(A2930),MONTH(A2930),1))</f>
        <v/>
      </c>
      <c r="M2930" s="52">
        <f>IF(OR(A2930="",NOT(ISNUMBER(I2930))),"",IF(G2930=Lists!$B$5,I2930/2,IF(G2930=Lists!$B$6,I2930,0)))</f>
        <v/>
      </c>
      <c r="N2930" s="52">
        <f>IF(OR(A2930="",NOT(ISNUMBER(I2930))),"",IF(G2930=Lists!$B$5,I2930/2,IF(G2930=Lists!$B$7,I2930,0)))</f>
        <v/>
      </c>
      <c r="O2930" s="53">
        <f>IF(COUNTA(A2930:K2930)=0,"",IF(OR(A2930="",B2930="",C2930="",D2930="",E2930="",F2930="",G2930="",NOT(ISNUMBER(I2930))),"Incomplete",IF(COUNTIF(Lists!$H$4:$AA$4,C2930)=0,"Check category",IF(COUNTIF(INDEX(Lists!$H$6:$AA$45,0,MATCH(C2930,Lists!$H$4:$AA$4,0)),D2930)=0,"Check sub-category","OK"))))</f>
        <v/>
      </c>
      <c r="P2930">
        <f>IF(ISNUMBER(I2930),I2930+ROW()/10000000,"")</f>
        <v/>
      </c>
      <c r="Q2930">
        <f>IF(AND(ISNUMBER(P2930),ISNUMBER(A2930)),IF(AND(A2930&gt;=Dashboard!$Q$3,A2930&lt;=Dashboard!$Q$4,OR(J2930&lt;&gt;"Yes",Dashboard!$Q$15="Yes")),P2930,""),"")</f>
        <v/>
      </c>
    </row>
    <row r="2931">
      <c r="A2931" s="47" t="n"/>
      <c r="B2931" s="48" t="n"/>
      <c r="C2931" s="48" t="n"/>
      <c r="D2931" s="48" t="n"/>
      <c r="E2931" s="48" t="n"/>
      <c r="F2931" s="48" t="n"/>
      <c r="G2931" s="48" t="n"/>
      <c r="H2931" s="48" t="n"/>
      <c r="I2931" s="49" t="n"/>
      <c r="J2931" s="50" t="n"/>
      <c r="K2931" s="48" t="n"/>
      <c r="L2931" s="51">
        <f>IF(A2931="","",DATE(YEAR(A2931),MONTH(A2931),1))</f>
        <v/>
      </c>
      <c r="M2931" s="52">
        <f>IF(OR(A2931="",NOT(ISNUMBER(I2931))),"",IF(G2931=Lists!$B$5,I2931/2,IF(G2931=Lists!$B$6,I2931,0)))</f>
        <v/>
      </c>
      <c r="N2931" s="52">
        <f>IF(OR(A2931="",NOT(ISNUMBER(I2931))),"",IF(G2931=Lists!$B$5,I2931/2,IF(G2931=Lists!$B$7,I2931,0)))</f>
        <v/>
      </c>
      <c r="O2931" s="53">
        <f>IF(COUNTA(A2931:K2931)=0,"",IF(OR(A2931="",B2931="",C2931="",D2931="",E2931="",F2931="",G2931="",NOT(ISNUMBER(I2931))),"Incomplete",IF(COUNTIF(Lists!$H$4:$AA$4,C2931)=0,"Check category",IF(COUNTIF(INDEX(Lists!$H$6:$AA$45,0,MATCH(C2931,Lists!$H$4:$AA$4,0)),D2931)=0,"Check sub-category","OK"))))</f>
        <v/>
      </c>
      <c r="P2931">
        <f>IF(ISNUMBER(I2931),I2931+ROW()/10000000,"")</f>
        <v/>
      </c>
      <c r="Q2931">
        <f>IF(AND(ISNUMBER(P2931),ISNUMBER(A2931)),IF(AND(A2931&gt;=Dashboard!$Q$3,A2931&lt;=Dashboard!$Q$4,OR(J2931&lt;&gt;"Yes",Dashboard!$Q$15="Yes")),P2931,""),"")</f>
        <v/>
      </c>
    </row>
    <row r="2932">
      <c r="A2932" s="47" t="n"/>
      <c r="B2932" s="48" t="n"/>
      <c r="C2932" s="48" t="n"/>
      <c r="D2932" s="48" t="n"/>
      <c r="E2932" s="48" t="n"/>
      <c r="F2932" s="48" t="n"/>
      <c r="G2932" s="48" t="n"/>
      <c r="H2932" s="48" t="n"/>
      <c r="I2932" s="49" t="n"/>
      <c r="J2932" s="50" t="n"/>
      <c r="K2932" s="48" t="n"/>
      <c r="L2932" s="51">
        <f>IF(A2932="","",DATE(YEAR(A2932),MONTH(A2932),1))</f>
        <v/>
      </c>
      <c r="M2932" s="52">
        <f>IF(OR(A2932="",NOT(ISNUMBER(I2932))),"",IF(G2932=Lists!$B$5,I2932/2,IF(G2932=Lists!$B$6,I2932,0)))</f>
        <v/>
      </c>
      <c r="N2932" s="52">
        <f>IF(OR(A2932="",NOT(ISNUMBER(I2932))),"",IF(G2932=Lists!$B$5,I2932/2,IF(G2932=Lists!$B$7,I2932,0)))</f>
        <v/>
      </c>
      <c r="O2932" s="53">
        <f>IF(COUNTA(A2932:K2932)=0,"",IF(OR(A2932="",B2932="",C2932="",D2932="",E2932="",F2932="",G2932="",NOT(ISNUMBER(I2932))),"Incomplete",IF(COUNTIF(Lists!$H$4:$AA$4,C2932)=0,"Check category",IF(COUNTIF(INDEX(Lists!$H$6:$AA$45,0,MATCH(C2932,Lists!$H$4:$AA$4,0)),D2932)=0,"Check sub-category","OK"))))</f>
        <v/>
      </c>
      <c r="P2932">
        <f>IF(ISNUMBER(I2932),I2932+ROW()/10000000,"")</f>
        <v/>
      </c>
      <c r="Q2932">
        <f>IF(AND(ISNUMBER(P2932),ISNUMBER(A2932)),IF(AND(A2932&gt;=Dashboard!$Q$3,A2932&lt;=Dashboard!$Q$4,OR(J2932&lt;&gt;"Yes",Dashboard!$Q$15="Yes")),P2932,""),"")</f>
        <v/>
      </c>
    </row>
    <row r="2933">
      <c r="A2933" s="47" t="n"/>
      <c r="B2933" s="48" t="n"/>
      <c r="C2933" s="48" t="n"/>
      <c r="D2933" s="48" t="n"/>
      <c r="E2933" s="48" t="n"/>
      <c r="F2933" s="48" t="n"/>
      <c r="G2933" s="48" t="n"/>
      <c r="H2933" s="48" t="n"/>
      <c r="I2933" s="49" t="n"/>
      <c r="J2933" s="50" t="n"/>
      <c r="K2933" s="48" t="n"/>
      <c r="L2933" s="51">
        <f>IF(A2933="","",DATE(YEAR(A2933),MONTH(A2933),1))</f>
        <v/>
      </c>
      <c r="M2933" s="52">
        <f>IF(OR(A2933="",NOT(ISNUMBER(I2933))),"",IF(G2933=Lists!$B$5,I2933/2,IF(G2933=Lists!$B$6,I2933,0)))</f>
        <v/>
      </c>
      <c r="N2933" s="52">
        <f>IF(OR(A2933="",NOT(ISNUMBER(I2933))),"",IF(G2933=Lists!$B$5,I2933/2,IF(G2933=Lists!$B$7,I2933,0)))</f>
        <v/>
      </c>
      <c r="O2933" s="53">
        <f>IF(COUNTA(A2933:K2933)=0,"",IF(OR(A2933="",B2933="",C2933="",D2933="",E2933="",F2933="",G2933="",NOT(ISNUMBER(I2933))),"Incomplete",IF(COUNTIF(Lists!$H$4:$AA$4,C2933)=0,"Check category",IF(COUNTIF(INDEX(Lists!$H$6:$AA$45,0,MATCH(C2933,Lists!$H$4:$AA$4,0)),D2933)=0,"Check sub-category","OK"))))</f>
        <v/>
      </c>
      <c r="P2933">
        <f>IF(ISNUMBER(I2933),I2933+ROW()/10000000,"")</f>
        <v/>
      </c>
      <c r="Q2933">
        <f>IF(AND(ISNUMBER(P2933),ISNUMBER(A2933)),IF(AND(A2933&gt;=Dashboard!$Q$3,A2933&lt;=Dashboard!$Q$4,OR(J2933&lt;&gt;"Yes",Dashboard!$Q$15="Yes")),P2933,""),"")</f>
        <v/>
      </c>
    </row>
    <row r="2934">
      <c r="A2934" s="47" t="n"/>
      <c r="B2934" s="48" t="n"/>
      <c r="C2934" s="48" t="n"/>
      <c r="D2934" s="48" t="n"/>
      <c r="E2934" s="48" t="n"/>
      <c r="F2934" s="48" t="n"/>
      <c r="G2934" s="48" t="n"/>
      <c r="H2934" s="48" t="n"/>
      <c r="I2934" s="49" t="n"/>
      <c r="J2934" s="50" t="n"/>
      <c r="K2934" s="48" t="n"/>
      <c r="L2934" s="51">
        <f>IF(A2934="","",DATE(YEAR(A2934),MONTH(A2934),1))</f>
        <v/>
      </c>
      <c r="M2934" s="52">
        <f>IF(OR(A2934="",NOT(ISNUMBER(I2934))),"",IF(G2934=Lists!$B$5,I2934/2,IF(G2934=Lists!$B$6,I2934,0)))</f>
        <v/>
      </c>
      <c r="N2934" s="52">
        <f>IF(OR(A2934="",NOT(ISNUMBER(I2934))),"",IF(G2934=Lists!$B$5,I2934/2,IF(G2934=Lists!$B$7,I2934,0)))</f>
        <v/>
      </c>
      <c r="O2934" s="53">
        <f>IF(COUNTA(A2934:K2934)=0,"",IF(OR(A2934="",B2934="",C2934="",D2934="",E2934="",F2934="",G2934="",NOT(ISNUMBER(I2934))),"Incomplete",IF(COUNTIF(Lists!$H$4:$AA$4,C2934)=0,"Check category",IF(COUNTIF(INDEX(Lists!$H$6:$AA$45,0,MATCH(C2934,Lists!$H$4:$AA$4,0)),D2934)=0,"Check sub-category","OK"))))</f>
        <v/>
      </c>
      <c r="P2934">
        <f>IF(ISNUMBER(I2934),I2934+ROW()/10000000,"")</f>
        <v/>
      </c>
      <c r="Q2934">
        <f>IF(AND(ISNUMBER(P2934),ISNUMBER(A2934)),IF(AND(A2934&gt;=Dashboard!$Q$3,A2934&lt;=Dashboard!$Q$4,OR(J2934&lt;&gt;"Yes",Dashboard!$Q$15="Yes")),P2934,""),"")</f>
        <v/>
      </c>
    </row>
    <row r="2935">
      <c r="A2935" s="47" t="n"/>
      <c r="B2935" s="48" t="n"/>
      <c r="C2935" s="48" t="n"/>
      <c r="D2935" s="48" t="n"/>
      <c r="E2935" s="48" t="n"/>
      <c r="F2935" s="48" t="n"/>
      <c r="G2935" s="48" t="n"/>
      <c r="H2935" s="48" t="n"/>
      <c r="I2935" s="49" t="n"/>
      <c r="J2935" s="50" t="n"/>
      <c r="K2935" s="48" t="n"/>
      <c r="L2935" s="51">
        <f>IF(A2935="","",DATE(YEAR(A2935),MONTH(A2935),1))</f>
        <v/>
      </c>
      <c r="M2935" s="52">
        <f>IF(OR(A2935="",NOT(ISNUMBER(I2935))),"",IF(G2935=Lists!$B$5,I2935/2,IF(G2935=Lists!$B$6,I2935,0)))</f>
        <v/>
      </c>
      <c r="N2935" s="52">
        <f>IF(OR(A2935="",NOT(ISNUMBER(I2935))),"",IF(G2935=Lists!$B$5,I2935/2,IF(G2935=Lists!$B$7,I2935,0)))</f>
        <v/>
      </c>
      <c r="O2935" s="53">
        <f>IF(COUNTA(A2935:K2935)=0,"",IF(OR(A2935="",B2935="",C2935="",D2935="",E2935="",F2935="",G2935="",NOT(ISNUMBER(I2935))),"Incomplete",IF(COUNTIF(Lists!$H$4:$AA$4,C2935)=0,"Check category",IF(COUNTIF(INDEX(Lists!$H$6:$AA$45,0,MATCH(C2935,Lists!$H$4:$AA$4,0)),D2935)=0,"Check sub-category","OK"))))</f>
        <v/>
      </c>
      <c r="P2935">
        <f>IF(ISNUMBER(I2935),I2935+ROW()/10000000,"")</f>
        <v/>
      </c>
      <c r="Q2935">
        <f>IF(AND(ISNUMBER(P2935),ISNUMBER(A2935)),IF(AND(A2935&gt;=Dashboard!$Q$3,A2935&lt;=Dashboard!$Q$4,OR(J2935&lt;&gt;"Yes",Dashboard!$Q$15="Yes")),P2935,""),"")</f>
        <v/>
      </c>
    </row>
    <row r="2936">
      <c r="A2936" s="47" t="n"/>
      <c r="B2936" s="48" t="n"/>
      <c r="C2936" s="48" t="n"/>
      <c r="D2936" s="48" t="n"/>
      <c r="E2936" s="48" t="n"/>
      <c r="F2936" s="48" t="n"/>
      <c r="G2936" s="48" t="n"/>
      <c r="H2936" s="48" t="n"/>
      <c r="I2936" s="49" t="n"/>
      <c r="J2936" s="50" t="n"/>
      <c r="K2936" s="48" t="n"/>
      <c r="L2936" s="51">
        <f>IF(A2936="","",DATE(YEAR(A2936),MONTH(A2936),1))</f>
        <v/>
      </c>
      <c r="M2936" s="52">
        <f>IF(OR(A2936="",NOT(ISNUMBER(I2936))),"",IF(G2936=Lists!$B$5,I2936/2,IF(G2936=Lists!$B$6,I2936,0)))</f>
        <v/>
      </c>
      <c r="N2936" s="52">
        <f>IF(OR(A2936="",NOT(ISNUMBER(I2936))),"",IF(G2936=Lists!$B$5,I2936/2,IF(G2936=Lists!$B$7,I2936,0)))</f>
        <v/>
      </c>
      <c r="O2936" s="53">
        <f>IF(COUNTA(A2936:K2936)=0,"",IF(OR(A2936="",B2936="",C2936="",D2936="",E2936="",F2936="",G2936="",NOT(ISNUMBER(I2936))),"Incomplete",IF(COUNTIF(Lists!$H$4:$AA$4,C2936)=0,"Check category",IF(COUNTIF(INDEX(Lists!$H$6:$AA$45,0,MATCH(C2936,Lists!$H$4:$AA$4,0)),D2936)=0,"Check sub-category","OK"))))</f>
        <v/>
      </c>
      <c r="P2936">
        <f>IF(ISNUMBER(I2936),I2936+ROW()/10000000,"")</f>
        <v/>
      </c>
      <c r="Q2936">
        <f>IF(AND(ISNUMBER(P2936),ISNUMBER(A2936)),IF(AND(A2936&gt;=Dashboard!$Q$3,A2936&lt;=Dashboard!$Q$4,OR(J2936&lt;&gt;"Yes",Dashboard!$Q$15="Yes")),P2936,""),"")</f>
        <v/>
      </c>
    </row>
    <row r="2937">
      <c r="A2937" s="47" t="n"/>
      <c r="B2937" s="48" t="n"/>
      <c r="C2937" s="48" t="n"/>
      <c r="D2937" s="48" t="n"/>
      <c r="E2937" s="48" t="n"/>
      <c r="F2937" s="48" t="n"/>
      <c r="G2937" s="48" t="n"/>
      <c r="H2937" s="48" t="n"/>
      <c r="I2937" s="49" t="n"/>
      <c r="J2937" s="50" t="n"/>
      <c r="K2937" s="48" t="n"/>
      <c r="L2937" s="51">
        <f>IF(A2937="","",DATE(YEAR(A2937),MONTH(A2937),1))</f>
        <v/>
      </c>
      <c r="M2937" s="52">
        <f>IF(OR(A2937="",NOT(ISNUMBER(I2937))),"",IF(G2937=Lists!$B$5,I2937/2,IF(G2937=Lists!$B$6,I2937,0)))</f>
        <v/>
      </c>
      <c r="N2937" s="52">
        <f>IF(OR(A2937="",NOT(ISNUMBER(I2937))),"",IF(G2937=Lists!$B$5,I2937/2,IF(G2937=Lists!$B$7,I2937,0)))</f>
        <v/>
      </c>
      <c r="O2937" s="53">
        <f>IF(COUNTA(A2937:K2937)=0,"",IF(OR(A2937="",B2937="",C2937="",D2937="",E2937="",F2937="",G2937="",NOT(ISNUMBER(I2937))),"Incomplete",IF(COUNTIF(Lists!$H$4:$AA$4,C2937)=0,"Check category",IF(COUNTIF(INDEX(Lists!$H$6:$AA$45,0,MATCH(C2937,Lists!$H$4:$AA$4,0)),D2937)=0,"Check sub-category","OK"))))</f>
        <v/>
      </c>
      <c r="P2937">
        <f>IF(ISNUMBER(I2937),I2937+ROW()/10000000,"")</f>
        <v/>
      </c>
      <c r="Q2937">
        <f>IF(AND(ISNUMBER(P2937),ISNUMBER(A2937)),IF(AND(A2937&gt;=Dashboard!$Q$3,A2937&lt;=Dashboard!$Q$4,OR(J2937&lt;&gt;"Yes",Dashboard!$Q$15="Yes")),P2937,""),"")</f>
        <v/>
      </c>
    </row>
    <row r="2938">
      <c r="A2938" s="47" t="n"/>
      <c r="B2938" s="48" t="n"/>
      <c r="C2938" s="48" t="n"/>
      <c r="D2938" s="48" t="n"/>
      <c r="E2938" s="48" t="n"/>
      <c r="F2938" s="48" t="n"/>
      <c r="G2938" s="48" t="n"/>
      <c r="H2938" s="48" t="n"/>
      <c r="I2938" s="49" t="n"/>
      <c r="J2938" s="50" t="n"/>
      <c r="K2938" s="48" t="n"/>
      <c r="L2938" s="51">
        <f>IF(A2938="","",DATE(YEAR(A2938),MONTH(A2938),1))</f>
        <v/>
      </c>
      <c r="M2938" s="52">
        <f>IF(OR(A2938="",NOT(ISNUMBER(I2938))),"",IF(G2938=Lists!$B$5,I2938/2,IF(G2938=Lists!$B$6,I2938,0)))</f>
        <v/>
      </c>
      <c r="N2938" s="52">
        <f>IF(OR(A2938="",NOT(ISNUMBER(I2938))),"",IF(G2938=Lists!$B$5,I2938/2,IF(G2938=Lists!$B$7,I2938,0)))</f>
        <v/>
      </c>
      <c r="O2938" s="53">
        <f>IF(COUNTA(A2938:K2938)=0,"",IF(OR(A2938="",B2938="",C2938="",D2938="",E2938="",F2938="",G2938="",NOT(ISNUMBER(I2938))),"Incomplete",IF(COUNTIF(Lists!$H$4:$AA$4,C2938)=0,"Check category",IF(COUNTIF(INDEX(Lists!$H$6:$AA$45,0,MATCH(C2938,Lists!$H$4:$AA$4,0)),D2938)=0,"Check sub-category","OK"))))</f>
        <v/>
      </c>
      <c r="P2938">
        <f>IF(ISNUMBER(I2938),I2938+ROW()/10000000,"")</f>
        <v/>
      </c>
      <c r="Q2938">
        <f>IF(AND(ISNUMBER(P2938),ISNUMBER(A2938)),IF(AND(A2938&gt;=Dashboard!$Q$3,A2938&lt;=Dashboard!$Q$4,OR(J2938&lt;&gt;"Yes",Dashboard!$Q$15="Yes")),P2938,""),"")</f>
        <v/>
      </c>
    </row>
    <row r="2939">
      <c r="A2939" s="47" t="n"/>
      <c r="B2939" s="48" t="n"/>
      <c r="C2939" s="48" t="n"/>
      <c r="D2939" s="48" t="n"/>
      <c r="E2939" s="48" t="n"/>
      <c r="F2939" s="48" t="n"/>
      <c r="G2939" s="48" t="n"/>
      <c r="H2939" s="48" t="n"/>
      <c r="I2939" s="49" t="n"/>
      <c r="J2939" s="50" t="n"/>
      <c r="K2939" s="48" t="n"/>
      <c r="L2939" s="51">
        <f>IF(A2939="","",DATE(YEAR(A2939),MONTH(A2939),1))</f>
        <v/>
      </c>
      <c r="M2939" s="52">
        <f>IF(OR(A2939="",NOT(ISNUMBER(I2939))),"",IF(G2939=Lists!$B$5,I2939/2,IF(G2939=Lists!$B$6,I2939,0)))</f>
        <v/>
      </c>
      <c r="N2939" s="52">
        <f>IF(OR(A2939="",NOT(ISNUMBER(I2939))),"",IF(G2939=Lists!$B$5,I2939/2,IF(G2939=Lists!$B$7,I2939,0)))</f>
        <v/>
      </c>
      <c r="O2939" s="53">
        <f>IF(COUNTA(A2939:K2939)=0,"",IF(OR(A2939="",B2939="",C2939="",D2939="",E2939="",F2939="",G2939="",NOT(ISNUMBER(I2939))),"Incomplete",IF(COUNTIF(Lists!$H$4:$AA$4,C2939)=0,"Check category",IF(COUNTIF(INDEX(Lists!$H$6:$AA$45,0,MATCH(C2939,Lists!$H$4:$AA$4,0)),D2939)=0,"Check sub-category","OK"))))</f>
        <v/>
      </c>
      <c r="P2939">
        <f>IF(ISNUMBER(I2939),I2939+ROW()/10000000,"")</f>
        <v/>
      </c>
      <c r="Q2939">
        <f>IF(AND(ISNUMBER(P2939),ISNUMBER(A2939)),IF(AND(A2939&gt;=Dashboard!$Q$3,A2939&lt;=Dashboard!$Q$4,OR(J2939&lt;&gt;"Yes",Dashboard!$Q$15="Yes")),P2939,""),"")</f>
        <v/>
      </c>
    </row>
    <row r="2940">
      <c r="A2940" s="47" t="n"/>
      <c r="B2940" s="48" t="n"/>
      <c r="C2940" s="48" t="n"/>
      <c r="D2940" s="48" t="n"/>
      <c r="E2940" s="48" t="n"/>
      <c r="F2940" s="48" t="n"/>
      <c r="G2940" s="48" t="n"/>
      <c r="H2940" s="48" t="n"/>
      <c r="I2940" s="49" t="n"/>
      <c r="J2940" s="50" t="n"/>
      <c r="K2940" s="48" t="n"/>
      <c r="L2940" s="51">
        <f>IF(A2940="","",DATE(YEAR(A2940),MONTH(A2940),1))</f>
        <v/>
      </c>
      <c r="M2940" s="52">
        <f>IF(OR(A2940="",NOT(ISNUMBER(I2940))),"",IF(G2940=Lists!$B$5,I2940/2,IF(G2940=Lists!$B$6,I2940,0)))</f>
        <v/>
      </c>
      <c r="N2940" s="52">
        <f>IF(OR(A2940="",NOT(ISNUMBER(I2940))),"",IF(G2940=Lists!$B$5,I2940/2,IF(G2940=Lists!$B$7,I2940,0)))</f>
        <v/>
      </c>
      <c r="O2940" s="53">
        <f>IF(COUNTA(A2940:K2940)=0,"",IF(OR(A2940="",B2940="",C2940="",D2940="",E2940="",F2940="",G2940="",NOT(ISNUMBER(I2940))),"Incomplete",IF(COUNTIF(Lists!$H$4:$AA$4,C2940)=0,"Check category",IF(COUNTIF(INDEX(Lists!$H$6:$AA$45,0,MATCH(C2940,Lists!$H$4:$AA$4,0)),D2940)=0,"Check sub-category","OK"))))</f>
        <v/>
      </c>
      <c r="P2940">
        <f>IF(ISNUMBER(I2940),I2940+ROW()/10000000,"")</f>
        <v/>
      </c>
      <c r="Q2940">
        <f>IF(AND(ISNUMBER(P2940),ISNUMBER(A2940)),IF(AND(A2940&gt;=Dashboard!$Q$3,A2940&lt;=Dashboard!$Q$4,OR(J2940&lt;&gt;"Yes",Dashboard!$Q$15="Yes")),P2940,""),"")</f>
        <v/>
      </c>
    </row>
    <row r="2941">
      <c r="A2941" s="47" t="n"/>
      <c r="B2941" s="48" t="n"/>
      <c r="C2941" s="48" t="n"/>
      <c r="D2941" s="48" t="n"/>
      <c r="E2941" s="48" t="n"/>
      <c r="F2941" s="48" t="n"/>
      <c r="G2941" s="48" t="n"/>
      <c r="H2941" s="48" t="n"/>
      <c r="I2941" s="49" t="n"/>
      <c r="J2941" s="50" t="n"/>
      <c r="K2941" s="48" t="n"/>
      <c r="L2941" s="51">
        <f>IF(A2941="","",DATE(YEAR(A2941),MONTH(A2941),1))</f>
        <v/>
      </c>
      <c r="M2941" s="52">
        <f>IF(OR(A2941="",NOT(ISNUMBER(I2941))),"",IF(G2941=Lists!$B$5,I2941/2,IF(G2941=Lists!$B$6,I2941,0)))</f>
        <v/>
      </c>
      <c r="N2941" s="52">
        <f>IF(OR(A2941="",NOT(ISNUMBER(I2941))),"",IF(G2941=Lists!$B$5,I2941/2,IF(G2941=Lists!$B$7,I2941,0)))</f>
        <v/>
      </c>
      <c r="O2941" s="53">
        <f>IF(COUNTA(A2941:K2941)=0,"",IF(OR(A2941="",B2941="",C2941="",D2941="",E2941="",F2941="",G2941="",NOT(ISNUMBER(I2941))),"Incomplete",IF(COUNTIF(Lists!$H$4:$AA$4,C2941)=0,"Check category",IF(COUNTIF(INDEX(Lists!$H$6:$AA$45,0,MATCH(C2941,Lists!$H$4:$AA$4,0)),D2941)=0,"Check sub-category","OK"))))</f>
        <v/>
      </c>
      <c r="P2941">
        <f>IF(ISNUMBER(I2941),I2941+ROW()/10000000,"")</f>
        <v/>
      </c>
      <c r="Q2941">
        <f>IF(AND(ISNUMBER(P2941),ISNUMBER(A2941)),IF(AND(A2941&gt;=Dashboard!$Q$3,A2941&lt;=Dashboard!$Q$4,OR(J2941&lt;&gt;"Yes",Dashboard!$Q$15="Yes")),P2941,""),"")</f>
        <v/>
      </c>
    </row>
    <row r="2942">
      <c r="A2942" s="47" t="n"/>
      <c r="B2942" s="48" t="n"/>
      <c r="C2942" s="48" t="n"/>
      <c r="D2942" s="48" t="n"/>
      <c r="E2942" s="48" t="n"/>
      <c r="F2942" s="48" t="n"/>
      <c r="G2942" s="48" t="n"/>
      <c r="H2942" s="48" t="n"/>
      <c r="I2942" s="49" t="n"/>
      <c r="J2942" s="50" t="n"/>
      <c r="K2942" s="48" t="n"/>
      <c r="L2942" s="51">
        <f>IF(A2942="","",DATE(YEAR(A2942),MONTH(A2942),1))</f>
        <v/>
      </c>
      <c r="M2942" s="52">
        <f>IF(OR(A2942="",NOT(ISNUMBER(I2942))),"",IF(G2942=Lists!$B$5,I2942/2,IF(G2942=Lists!$B$6,I2942,0)))</f>
        <v/>
      </c>
      <c r="N2942" s="52">
        <f>IF(OR(A2942="",NOT(ISNUMBER(I2942))),"",IF(G2942=Lists!$B$5,I2942/2,IF(G2942=Lists!$B$7,I2942,0)))</f>
        <v/>
      </c>
      <c r="O2942" s="53">
        <f>IF(COUNTA(A2942:K2942)=0,"",IF(OR(A2942="",B2942="",C2942="",D2942="",E2942="",F2942="",G2942="",NOT(ISNUMBER(I2942))),"Incomplete",IF(COUNTIF(Lists!$H$4:$AA$4,C2942)=0,"Check category",IF(COUNTIF(INDEX(Lists!$H$6:$AA$45,0,MATCH(C2942,Lists!$H$4:$AA$4,0)),D2942)=0,"Check sub-category","OK"))))</f>
        <v/>
      </c>
      <c r="P2942">
        <f>IF(ISNUMBER(I2942),I2942+ROW()/10000000,"")</f>
        <v/>
      </c>
      <c r="Q2942">
        <f>IF(AND(ISNUMBER(P2942),ISNUMBER(A2942)),IF(AND(A2942&gt;=Dashboard!$Q$3,A2942&lt;=Dashboard!$Q$4,OR(J2942&lt;&gt;"Yes",Dashboard!$Q$15="Yes")),P2942,""),"")</f>
        <v/>
      </c>
    </row>
    <row r="2943">
      <c r="A2943" s="47" t="n"/>
      <c r="B2943" s="48" t="n"/>
      <c r="C2943" s="48" t="n"/>
      <c r="D2943" s="48" t="n"/>
      <c r="E2943" s="48" t="n"/>
      <c r="F2943" s="48" t="n"/>
      <c r="G2943" s="48" t="n"/>
      <c r="H2943" s="48" t="n"/>
      <c r="I2943" s="49" t="n"/>
      <c r="J2943" s="50" t="n"/>
      <c r="K2943" s="48" t="n"/>
      <c r="L2943" s="51">
        <f>IF(A2943="","",DATE(YEAR(A2943),MONTH(A2943),1))</f>
        <v/>
      </c>
      <c r="M2943" s="52">
        <f>IF(OR(A2943="",NOT(ISNUMBER(I2943))),"",IF(G2943=Lists!$B$5,I2943/2,IF(G2943=Lists!$B$6,I2943,0)))</f>
        <v/>
      </c>
      <c r="N2943" s="52">
        <f>IF(OR(A2943="",NOT(ISNUMBER(I2943))),"",IF(G2943=Lists!$B$5,I2943/2,IF(G2943=Lists!$B$7,I2943,0)))</f>
        <v/>
      </c>
      <c r="O2943" s="53">
        <f>IF(COUNTA(A2943:K2943)=0,"",IF(OR(A2943="",B2943="",C2943="",D2943="",E2943="",F2943="",G2943="",NOT(ISNUMBER(I2943))),"Incomplete",IF(COUNTIF(Lists!$H$4:$AA$4,C2943)=0,"Check category",IF(COUNTIF(INDEX(Lists!$H$6:$AA$45,0,MATCH(C2943,Lists!$H$4:$AA$4,0)),D2943)=0,"Check sub-category","OK"))))</f>
        <v/>
      </c>
      <c r="P2943">
        <f>IF(ISNUMBER(I2943),I2943+ROW()/10000000,"")</f>
        <v/>
      </c>
      <c r="Q2943">
        <f>IF(AND(ISNUMBER(P2943),ISNUMBER(A2943)),IF(AND(A2943&gt;=Dashboard!$Q$3,A2943&lt;=Dashboard!$Q$4,OR(J2943&lt;&gt;"Yes",Dashboard!$Q$15="Yes")),P2943,""),"")</f>
        <v/>
      </c>
    </row>
    <row r="2944">
      <c r="A2944" s="47" t="n"/>
      <c r="B2944" s="48" t="n"/>
      <c r="C2944" s="48" t="n"/>
      <c r="D2944" s="48" t="n"/>
      <c r="E2944" s="48" t="n"/>
      <c r="F2944" s="48" t="n"/>
      <c r="G2944" s="48" t="n"/>
      <c r="H2944" s="48" t="n"/>
      <c r="I2944" s="49" t="n"/>
      <c r="J2944" s="50" t="n"/>
      <c r="K2944" s="48" t="n"/>
      <c r="L2944" s="51">
        <f>IF(A2944="","",DATE(YEAR(A2944),MONTH(A2944),1))</f>
        <v/>
      </c>
      <c r="M2944" s="52">
        <f>IF(OR(A2944="",NOT(ISNUMBER(I2944))),"",IF(G2944=Lists!$B$5,I2944/2,IF(G2944=Lists!$B$6,I2944,0)))</f>
        <v/>
      </c>
      <c r="N2944" s="52">
        <f>IF(OR(A2944="",NOT(ISNUMBER(I2944))),"",IF(G2944=Lists!$B$5,I2944/2,IF(G2944=Lists!$B$7,I2944,0)))</f>
        <v/>
      </c>
      <c r="O2944" s="53">
        <f>IF(COUNTA(A2944:K2944)=0,"",IF(OR(A2944="",B2944="",C2944="",D2944="",E2944="",F2944="",G2944="",NOT(ISNUMBER(I2944))),"Incomplete",IF(COUNTIF(Lists!$H$4:$AA$4,C2944)=0,"Check category",IF(COUNTIF(INDEX(Lists!$H$6:$AA$45,0,MATCH(C2944,Lists!$H$4:$AA$4,0)),D2944)=0,"Check sub-category","OK"))))</f>
        <v/>
      </c>
      <c r="P2944">
        <f>IF(ISNUMBER(I2944),I2944+ROW()/10000000,"")</f>
        <v/>
      </c>
      <c r="Q2944">
        <f>IF(AND(ISNUMBER(P2944),ISNUMBER(A2944)),IF(AND(A2944&gt;=Dashboard!$Q$3,A2944&lt;=Dashboard!$Q$4,OR(J2944&lt;&gt;"Yes",Dashboard!$Q$15="Yes")),P2944,""),"")</f>
        <v/>
      </c>
    </row>
    <row r="2945">
      <c r="A2945" s="47" t="n"/>
      <c r="B2945" s="48" t="n"/>
      <c r="C2945" s="48" t="n"/>
      <c r="D2945" s="48" t="n"/>
      <c r="E2945" s="48" t="n"/>
      <c r="F2945" s="48" t="n"/>
      <c r="G2945" s="48" t="n"/>
      <c r="H2945" s="48" t="n"/>
      <c r="I2945" s="49" t="n"/>
      <c r="J2945" s="50" t="n"/>
      <c r="K2945" s="48" t="n"/>
      <c r="L2945" s="51">
        <f>IF(A2945="","",DATE(YEAR(A2945),MONTH(A2945),1))</f>
        <v/>
      </c>
      <c r="M2945" s="52">
        <f>IF(OR(A2945="",NOT(ISNUMBER(I2945))),"",IF(G2945=Lists!$B$5,I2945/2,IF(G2945=Lists!$B$6,I2945,0)))</f>
        <v/>
      </c>
      <c r="N2945" s="52">
        <f>IF(OR(A2945="",NOT(ISNUMBER(I2945))),"",IF(G2945=Lists!$B$5,I2945/2,IF(G2945=Lists!$B$7,I2945,0)))</f>
        <v/>
      </c>
      <c r="O2945" s="53">
        <f>IF(COUNTA(A2945:K2945)=0,"",IF(OR(A2945="",B2945="",C2945="",D2945="",E2945="",F2945="",G2945="",NOT(ISNUMBER(I2945))),"Incomplete",IF(COUNTIF(Lists!$H$4:$AA$4,C2945)=0,"Check category",IF(COUNTIF(INDEX(Lists!$H$6:$AA$45,0,MATCH(C2945,Lists!$H$4:$AA$4,0)),D2945)=0,"Check sub-category","OK"))))</f>
        <v/>
      </c>
      <c r="P2945">
        <f>IF(ISNUMBER(I2945),I2945+ROW()/10000000,"")</f>
        <v/>
      </c>
      <c r="Q2945">
        <f>IF(AND(ISNUMBER(P2945),ISNUMBER(A2945)),IF(AND(A2945&gt;=Dashboard!$Q$3,A2945&lt;=Dashboard!$Q$4,OR(J2945&lt;&gt;"Yes",Dashboard!$Q$15="Yes")),P2945,""),"")</f>
        <v/>
      </c>
    </row>
    <row r="2946">
      <c r="A2946" s="47" t="n"/>
      <c r="B2946" s="48" t="n"/>
      <c r="C2946" s="48" t="n"/>
      <c r="D2946" s="48" t="n"/>
      <c r="E2946" s="48" t="n"/>
      <c r="F2946" s="48" t="n"/>
      <c r="G2946" s="48" t="n"/>
      <c r="H2946" s="48" t="n"/>
      <c r="I2946" s="49" t="n"/>
      <c r="J2946" s="50" t="n"/>
      <c r="K2946" s="48" t="n"/>
      <c r="L2946" s="51">
        <f>IF(A2946="","",DATE(YEAR(A2946),MONTH(A2946),1))</f>
        <v/>
      </c>
      <c r="M2946" s="52">
        <f>IF(OR(A2946="",NOT(ISNUMBER(I2946))),"",IF(G2946=Lists!$B$5,I2946/2,IF(G2946=Lists!$B$6,I2946,0)))</f>
        <v/>
      </c>
      <c r="N2946" s="52">
        <f>IF(OR(A2946="",NOT(ISNUMBER(I2946))),"",IF(G2946=Lists!$B$5,I2946/2,IF(G2946=Lists!$B$7,I2946,0)))</f>
        <v/>
      </c>
      <c r="O2946" s="53">
        <f>IF(COUNTA(A2946:K2946)=0,"",IF(OR(A2946="",B2946="",C2946="",D2946="",E2946="",F2946="",G2946="",NOT(ISNUMBER(I2946))),"Incomplete",IF(COUNTIF(Lists!$H$4:$AA$4,C2946)=0,"Check category",IF(COUNTIF(INDEX(Lists!$H$6:$AA$45,0,MATCH(C2946,Lists!$H$4:$AA$4,0)),D2946)=0,"Check sub-category","OK"))))</f>
        <v/>
      </c>
      <c r="P2946">
        <f>IF(ISNUMBER(I2946),I2946+ROW()/10000000,"")</f>
        <v/>
      </c>
      <c r="Q2946">
        <f>IF(AND(ISNUMBER(P2946),ISNUMBER(A2946)),IF(AND(A2946&gt;=Dashboard!$Q$3,A2946&lt;=Dashboard!$Q$4,OR(J2946&lt;&gt;"Yes",Dashboard!$Q$15="Yes")),P2946,""),"")</f>
        <v/>
      </c>
    </row>
    <row r="2947">
      <c r="A2947" s="47" t="n"/>
      <c r="B2947" s="48" t="n"/>
      <c r="C2947" s="48" t="n"/>
      <c r="D2947" s="48" t="n"/>
      <c r="E2947" s="48" t="n"/>
      <c r="F2947" s="48" t="n"/>
      <c r="G2947" s="48" t="n"/>
      <c r="H2947" s="48" t="n"/>
      <c r="I2947" s="49" t="n"/>
      <c r="J2947" s="50" t="n"/>
      <c r="K2947" s="48" t="n"/>
      <c r="L2947" s="51">
        <f>IF(A2947="","",DATE(YEAR(A2947),MONTH(A2947),1))</f>
        <v/>
      </c>
      <c r="M2947" s="52">
        <f>IF(OR(A2947="",NOT(ISNUMBER(I2947))),"",IF(G2947=Lists!$B$5,I2947/2,IF(G2947=Lists!$B$6,I2947,0)))</f>
        <v/>
      </c>
      <c r="N2947" s="52">
        <f>IF(OR(A2947="",NOT(ISNUMBER(I2947))),"",IF(G2947=Lists!$B$5,I2947/2,IF(G2947=Lists!$B$7,I2947,0)))</f>
        <v/>
      </c>
      <c r="O2947" s="53">
        <f>IF(COUNTA(A2947:K2947)=0,"",IF(OR(A2947="",B2947="",C2947="",D2947="",E2947="",F2947="",G2947="",NOT(ISNUMBER(I2947))),"Incomplete",IF(COUNTIF(Lists!$H$4:$AA$4,C2947)=0,"Check category",IF(COUNTIF(INDEX(Lists!$H$6:$AA$45,0,MATCH(C2947,Lists!$H$4:$AA$4,0)),D2947)=0,"Check sub-category","OK"))))</f>
        <v/>
      </c>
      <c r="P2947">
        <f>IF(ISNUMBER(I2947),I2947+ROW()/10000000,"")</f>
        <v/>
      </c>
      <c r="Q2947">
        <f>IF(AND(ISNUMBER(P2947),ISNUMBER(A2947)),IF(AND(A2947&gt;=Dashboard!$Q$3,A2947&lt;=Dashboard!$Q$4,OR(J2947&lt;&gt;"Yes",Dashboard!$Q$15="Yes")),P2947,""),"")</f>
        <v/>
      </c>
    </row>
    <row r="2948">
      <c r="A2948" s="47" t="n"/>
      <c r="B2948" s="48" t="n"/>
      <c r="C2948" s="48" t="n"/>
      <c r="D2948" s="48" t="n"/>
      <c r="E2948" s="48" t="n"/>
      <c r="F2948" s="48" t="n"/>
      <c r="G2948" s="48" t="n"/>
      <c r="H2948" s="48" t="n"/>
      <c r="I2948" s="49" t="n"/>
      <c r="J2948" s="50" t="n"/>
      <c r="K2948" s="48" t="n"/>
      <c r="L2948" s="51">
        <f>IF(A2948="","",DATE(YEAR(A2948),MONTH(A2948),1))</f>
        <v/>
      </c>
      <c r="M2948" s="52">
        <f>IF(OR(A2948="",NOT(ISNUMBER(I2948))),"",IF(G2948=Lists!$B$5,I2948/2,IF(G2948=Lists!$B$6,I2948,0)))</f>
        <v/>
      </c>
      <c r="N2948" s="52">
        <f>IF(OR(A2948="",NOT(ISNUMBER(I2948))),"",IF(G2948=Lists!$B$5,I2948/2,IF(G2948=Lists!$B$7,I2948,0)))</f>
        <v/>
      </c>
      <c r="O2948" s="53">
        <f>IF(COUNTA(A2948:K2948)=0,"",IF(OR(A2948="",B2948="",C2948="",D2948="",E2948="",F2948="",G2948="",NOT(ISNUMBER(I2948))),"Incomplete",IF(COUNTIF(Lists!$H$4:$AA$4,C2948)=0,"Check category",IF(COUNTIF(INDEX(Lists!$H$6:$AA$45,0,MATCH(C2948,Lists!$H$4:$AA$4,0)),D2948)=0,"Check sub-category","OK"))))</f>
        <v/>
      </c>
      <c r="P2948">
        <f>IF(ISNUMBER(I2948),I2948+ROW()/10000000,"")</f>
        <v/>
      </c>
      <c r="Q2948">
        <f>IF(AND(ISNUMBER(P2948),ISNUMBER(A2948)),IF(AND(A2948&gt;=Dashboard!$Q$3,A2948&lt;=Dashboard!$Q$4,OR(J2948&lt;&gt;"Yes",Dashboard!$Q$15="Yes")),P2948,""),"")</f>
        <v/>
      </c>
    </row>
    <row r="2949">
      <c r="A2949" s="47" t="n"/>
      <c r="B2949" s="48" t="n"/>
      <c r="C2949" s="48" t="n"/>
      <c r="D2949" s="48" t="n"/>
      <c r="E2949" s="48" t="n"/>
      <c r="F2949" s="48" t="n"/>
      <c r="G2949" s="48" t="n"/>
      <c r="H2949" s="48" t="n"/>
      <c r="I2949" s="49" t="n"/>
      <c r="J2949" s="50" t="n"/>
      <c r="K2949" s="48" t="n"/>
      <c r="L2949" s="51">
        <f>IF(A2949="","",DATE(YEAR(A2949),MONTH(A2949),1))</f>
        <v/>
      </c>
      <c r="M2949" s="52">
        <f>IF(OR(A2949="",NOT(ISNUMBER(I2949))),"",IF(G2949=Lists!$B$5,I2949/2,IF(G2949=Lists!$B$6,I2949,0)))</f>
        <v/>
      </c>
      <c r="N2949" s="52">
        <f>IF(OR(A2949="",NOT(ISNUMBER(I2949))),"",IF(G2949=Lists!$B$5,I2949/2,IF(G2949=Lists!$B$7,I2949,0)))</f>
        <v/>
      </c>
      <c r="O2949" s="53">
        <f>IF(COUNTA(A2949:K2949)=0,"",IF(OR(A2949="",B2949="",C2949="",D2949="",E2949="",F2949="",G2949="",NOT(ISNUMBER(I2949))),"Incomplete",IF(COUNTIF(Lists!$H$4:$AA$4,C2949)=0,"Check category",IF(COUNTIF(INDEX(Lists!$H$6:$AA$45,0,MATCH(C2949,Lists!$H$4:$AA$4,0)),D2949)=0,"Check sub-category","OK"))))</f>
        <v/>
      </c>
      <c r="P2949">
        <f>IF(ISNUMBER(I2949),I2949+ROW()/10000000,"")</f>
        <v/>
      </c>
      <c r="Q2949">
        <f>IF(AND(ISNUMBER(P2949),ISNUMBER(A2949)),IF(AND(A2949&gt;=Dashboard!$Q$3,A2949&lt;=Dashboard!$Q$4,OR(J2949&lt;&gt;"Yes",Dashboard!$Q$15="Yes")),P2949,""),"")</f>
        <v/>
      </c>
    </row>
    <row r="2950">
      <c r="A2950" s="47" t="n"/>
      <c r="B2950" s="48" t="n"/>
      <c r="C2950" s="48" t="n"/>
      <c r="D2950" s="48" t="n"/>
      <c r="E2950" s="48" t="n"/>
      <c r="F2950" s="48" t="n"/>
      <c r="G2950" s="48" t="n"/>
      <c r="H2950" s="48" t="n"/>
      <c r="I2950" s="49" t="n"/>
      <c r="J2950" s="50" t="n"/>
      <c r="K2950" s="48" t="n"/>
      <c r="L2950" s="51">
        <f>IF(A2950="","",DATE(YEAR(A2950),MONTH(A2950),1))</f>
        <v/>
      </c>
      <c r="M2950" s="52">
        <f>IF(OR(A2950="",NOT(ISNUMBER(I2950))),"",IF(G2950=Lists!$B$5,I2950/2,IF(G2950=Lists!$B$6,I2950,0)))</f>
        <v/>
      </c>
      <c r="N2950" s="52">
        <f>IF(OR(A2950="",NOT(ISNUMBER(I2950))),"",IF(G2950=Lists!$B$5,I2950/2,IF(G2950=Lists!$B$7,I2950,0)))</f>
        <v/>
      </c>
      <c r="O2950" s="53">
        <f>IF(COUNTA(A2950:K2950)=0,"",IF(OR(A2950="",B2950="",C2950="",D2950="",E2950="",F2950="",G2950="",NOT(ISNUMBER(I2950))),"Incomplete",IF(COUNTIF(Lists!$H$4:$AA$4,C2950)=0,"Check category",IF(COUNTIF(INDEX(Lists!$H$6:$AA$45,0,MATCH(C2950,Lists!$H$4:$AA$4,0)),D2950)=0,"Check sub-category","OK"))))</f>
        <v/>
      </c>
      <c r="P2950">
        <f>IF(ISNUMBER(I2950),I2950+ROW()/10000000,"")</f>
        <v/>
      </c>
      <c r="Q2950">
        <f>IF(AND(ISNUMBER(P2950),ISNUMBER(A2950)),IF(AND(A2950&gt;=Dashboard!$Q$3,A2950&lt;=Dashboard!$Q$4,OR(J2950&lt;&gt;"Yes",Dashboard!$Q$15="Yes")),P2950,""),"")</f>
        <v/>
      </c>
    </row>
    <row r="2951">
      <c r="A2951" s="47" t="n"/>
      <c r="B2951" s="48" t="n"/>
      <c r="C2951" s="48" t="n"/>
      <c r="D2951" s="48" t="n"/>
      <c r="E2951" s="48" t="n"/>
      <c r="F2951" s="48" t="n"/>
      <c r="G2951" s="48" t="n"/>
      <c r="H2951" s="48" t="n"/>
      <c r="I2951" s="49" t="n"/>
      <c r="J2951" s="50" t="n"/>
      <c r="K2951" s="48" t="n"/>
      <c r="L2951" s="51">
        <f>IF(A2951="","",DATE(YEAR(A2951),MONTH(A2951),1))</f>
        <v/>
      </c>
      <c r="M2951" s="52">
        <f>IF(OR(A2951="",NOT(ISNUMBER(I2951))),"",IF(G2951=Lists!$B$5,I2951/2,IF(G2951=Lists!$B$6,I2951,0)))</f>
        <v/>
      </c>
      <c r="N2951" s="52">
        <f>IF(OR(A2951="",NOT(ISNUMBER(I2951))),"",IF(G2951=Lists!$B$5,I2951/2,IF(G2951=Lists!$B$7,I2951,0)))</f>
        <v/>
      </c>
      <c r="O2951" s="53">
        <f>IF(COUNTA(A2951:K2951)=0,"",IF(OR(A2951="",B2951="",C2951="",D2951="",E2951="",F2951="",G2951="",NOT(ISNUMBER(I2951))),"Incomplete",IF(COUNTIF(Lists!$H$4:$AA$4,C2951)=0,"Check category",IF(COUNTIF(INDEX(Lists!$H$6:$AA$45,0,MATCH(C2951,Lists!$H$4:$AA$4,0)),D2951)=0,"Check sub-category","OK"))))</f>
        <v/>
      </c>
      <c r="P2951">
        <f>IF(ISNUMBER(I2951),I2951+ROW()/10000000,"")</f>
        <v/>
      </c>
      <c r="Q2951">
        <f>IF(AND(ISNUMBER(P2951),ISNUMBER(A2951)),IF(AND(A2951&gt;=Dashboard!$Q$3,A2951&lt;=Dashboard!$Q$4,OR(J2951&lt;&gt;"Yes",Dashboard!$Q$15="Yes")),P2951,""),"")</f>
        <v/>
      </c>
    </row>
    <row r="2952">
      <c r="A2952" s="47" t="n"/>
      <c r="B2952" s="48" t="n"/>
      <c r="C2952" s="48" t="n"/>
      <c r="D2952" s="48" t="n"/>
      <c r="E2952" s="48" t="n"/>
      <c r="F2952" s="48" t="n"/>
      <c r="G2952" s="48" t="n"/>
      <c r="H2952" s="48" t="n"/>
      <c r="I2952" s="49" t="n"/>
      <c r="J2952" s="50" t="n"/>
      <c r="K2952" s="48" t="n"/>
      <c r="L2952" s="51">
        <f>IF(A2952="","",DATE(YEAR(A2952),MONTH(A2952),1))</f>
        <v/>
      </c>
      <c r="M2952" s="52">
        <f>IF(OR(A2952="",NOT(ISNUMBER(I2952))),"",IF(G2952=Lists!$B$5,I2952/2,IF(G2952=Lists!$B$6,I2952,0)))</f>
        <v/>
      </c>
      <c r="N2952" s="52">
        <f>IF(OR(A2952="",NOT(ISNUMBER(I2952))),"",IF(G2952=Lists!$B$5,I2952/2,IF(G2952=Lists!$B$7,I2952,0)))</f>
        <v/>
      </c>
      <c r="O2952" s="53">
        <f>IF(COUNTA(A2952:K2952)=0,"",IF(OR(A2952="",B2952="",C2952="",D2952="",E2952="",F2952="",G2952="",NOT(ISNUMBER(I2952))),"Incomplete",IF(COUNTIF(Lists!$H$4:$AA$4,C2952)=0,"Check category",IF(COUNTIF(INDEX(Lists!$H$6:$AA$45,0,MATCH(C2952,Lists!$H$4:$AA$4,0)),D2952)=0,"Check sub-category","OK"))))</f>
        <v/>
      </c>
      <c r="P2952">
        <f>IF(ISNUMBER(I2952),I2952+ROW()/10000000,"")</f>
        <v/>
      </c>
      <c r="Q2952">
        <f>IF(AND(ISNUMBER(P2952),ISNUMBER(A2952)),IF(AND(A2952&gt;=Dashboard!$Q$3,A2952&lt;=Dashboard!$Q$4,OR(J2952&lt;&gt;"Yes",Dashboard!$Q$15="Yes")),P2952,""),"")</f>
        <v/>
      </c>
    </row>
    <row r="2953">
      <c r="A2953" s="47" t="n"/>
      <c r="B2953" s="48" t="n"/>
      <c r="C2953" s="48" t="n"/>
      <c r="D2953" s="48" t="n"/>
      <c r="E2953" s="48" t="n"/>
      <c r="F2953" s="48" t="n"/>
      <c r="G2953" s="48" t="n"/>
      <c r="H2953" s="48" t="n"/>
      <c r="I2953" s="49" t="n"/>
      <c r="J2953" s="50" t="n"/>
      <c r="K2953" s="48" t="n"/>
      <c r="L2953" s="51">
        <f>IF(A2953="","",DATE(YEAR(A2953),MONTH(A2953),1))</f>
        <v/>
      </c>
      <c r="M2953" s="52">
        <f>IF(OR(A2953="",NOT(ISNUMBER(I2953))),"",IF(G2953=Lists!$B$5,I2953/2,IF(G2953=Lists!$B$6,I2953,0)))</f>
        <v/>
      </c>
      <c r="N2953" s="52">
        <f>IF(OR(A2953="",NOT(ISNUMBER(I2953))),"",IF(G2953=Lists!$B$5,I2953/2,IF(G2953=Lists!$B$7,I2953,0)))</f>
        <v/>
      </c>
      <c r="O2953" s="53">
        <f>IF(COUNTA(A2953:K2953)=0,"",IF(OR(A2953="",B2953="",C2953="",D2953="",E2953="",F2953="",G2953="",NOT(ISNUMBER(I2953))),"Incomplete",IF(COUNTIF(Lists!$H$4:$AA$4,C2953)=0,"Check category",IF(COUNTIF(INDEX(Lists!$H$6:$AA$45,0,MATCH(C2953,Lists!$H$4:$AA$4,0)),D2953)=0,"Check sub-category","OK"))))</f>
        <v/>
      </c>
      <c r="P2953">
        <f>IF(ISNUMBER(I2953),I2953+ROW()/10000000,"")</f>
        <v/>
      </c>
      <c r="Q2953">
        <f>IF(AND(ISNUMBER(P2953),ISNUMBER(A2953)),IF(AND(A2953&gt;=Dashboard!$Q$3,A2953&lt;=Dashboard!$Q$4,OR(J2953&lt;&gt;"Yes",Dashboard!$Q$15="Yes")),P2953,""),"")</f>
        <v/>
      </c>
    </row>
    <row r="2954">
      <c r="A2954" s="47" t="n"/>
      <c r="B2954" s="48" t="n"/>
      <c r="C2954" s="48" t="n"/>
      <c r="D2954" s="48" t="n"/>
      <c r="E2954" s="48" t="n"/>
      <c r="F2954" s="48" t="n"/>
      <c r="G2954" s="48" t="n"/>
      <c r="H2954" s="48" t="n"/>
      <c r="I2954" s="49" t="n"/>
      <c r="J2954" s="50" t="n"/>
      <c r="K2954" s="48" t="n"/>
      <c r="L2954" s="51">
        <f>IF(A2954="","",DATE(YEAR(A2954),MONTH(A2954),1))</f>
        <v/>
      </c>
      <c r="M2954" s="52">
        <f>IF(OR(A2954="",NOT(ISNUMBER(I2954))),"",IF(G2954=Lists!$B$5,I2954/2,IF(G2954=Lists!$B$6,I2954,0)))</f>
        <v/>
      </c>
      <c r="N2954" s="52">
        <f>IF(OR(A2954="",NOT(ISNUMBER(I2954))),"",IF(G2954=Lists!$B$5,I2954/2,IF(G2954=Lists!$B$7,I2954,0)))</f>
        <v/>
      </c>
      <c r="O2954" s="53">
        <f>IF(COUNTA(A2954:K2954)=0,"",IF(OR(A2954="",B2954="",C2954="",D2954="",E2954="",F2954="",G2954="",NOT(ISNUMBER(I2954))),"Incomplete",IF(COUNTIF(Lists!$H$4:$AA$4,C2954)=0,"Check category",IF(COUNTIF(INDEX(Lists!$H$6:$AA$45,0,MATCH(C2954,Lists!$H$4:$AA$4,0)),D2954)=0,"Check sub-category","OK"))))</f>
        <v/>
      </c>
      <c r="P2954">
        <f>IF(ISNUMBER(I2954),I2954+ROW()/10000000,"")</f>
        <v/>
      </c>
      <c r="Q2954">
        <f>IF(AND(ISNUMBER(P2954),ISNUMBER(A2954)),IF(AND(A2954&gt;=Dashboard!$Q$3,A2954&lt;=Dashboard!$Q$4,OR(J2954&lt;&gt;"Yes",Dashboard!$Q$15="Yes")),P2954,""),"")</f>
        <v/>
      </c>
    </row>
    <row r="2955">
      <c r="A2955" s="47" t="n"/>
      <c r="B2955" s="48" t="n"/>
      <c r="C2955" s="48" t="n"/>
      <c r="D2955" s="48" t="n"/>
      <c r="E2955" s="48" t="n"/>
      <c r="F2955" s="48" t="n"/>
      <c r="G2955" s="48" t="n"/>
      <c r="H2955" s="48" t="n"/>
      <c r="I2955" s="49" t="n"/>
      <c r="J2955" s="50" t="n"/>
      <c r="K2955" s="48" t="n"/>
      <c r="L2955" s="51">
        <f>IF(A2955="","",DATE(YEAR(A2955),MONTH(A2955),1))</f>
        <v/>
      </c>
      <c r="M2955" s="52">
        <f>IF(OR(A2955="",NOT(ISNUMBER(I2955))),"",IF(G2955=Lists!$B$5,I2955/2,IF(G2955=Lists!$B$6,I2955,0)))</f>
        <v/>
      </c>
      <c r="N2955" s="52">
        <f>IF(OR(A2955="",NOT(ISNUMBER(I2955))),"",IF(G2955=Lists!$B$5,I2955/2,IF(G2955=Lists!$B$7,I2955,0)))</f>
        <v/>
      </c>
      <c r="O2955" s="53">
        <f>IF(COUNTA(A2955:K2955)=0,"",IF(OR(A2955="",B2955="",C2955="",D2955="",E2955="",F2955="",G2955="",NOT(ISNUMBER(I2955))),"Incomplete",IF(COUNTIF(Lists!$H$4:$AA$4,C2955)=0,"Check category",IF(COUNTIF(INDEX(Lists!$H$6:$AA$45,0,MATCH(C2955,Lists!$H$4:$AA$4,0)),D2955)=0,"Check sub-category","OK"))))</f>
        <v/>
      </c>
      <c r="P2955">
        <f>IF(ISNUMBER(I2955),I2955+ROW()/10000000,"")</f>
        <v/>
      </c>
      <c r="Q2955">
        <f>IF(AND(ISNUMBER(P2955),ISNUMBER(A2955)),IF(AND(A2955&gt;=Dashboard!$Q$3,A2955&lt;=Dashboard!$Q$4,OR(J2955&lt;&gt;"Yes",Dashboard!$Q$15="Yes")),P2955,""),"")</f>
        <v/>
      </c>
    </row>
    <row r="2956">
      <c r="A2956" s="47" t="n"/>
      <c r="B2956" s="48" t="n"/>
      <c r="C2956" s="48" t="n"/>
      <c r="D2956" s="48" t="n"/>
      <c r="E2956" s="48" t="n"/>
      <c r="F2956" s="48" t="n"/>
      <c r="G2956" s="48" t="n"/>
      <c r="H2956" s="48" t="n"/>
      <c r="I2956" s="49" t="n"/>
      <c r="J2956" s="50" t="n"/>
      <c r="K2956" s="48" t="n"/>
      <c r="L2956" s="51">
        <f>IF(A2956="","",DATE(YEAR(A2956),MONTH(A2956),1))</f>
        <v/>
      </c>
      <c r="M2956" s="52">
        <f>IF(OR(A2956="",NOT(ISNUMBER(I2956))),"",IF(G2956=Lists!$B$5,I2956/2,IF(G2956=Lists!$B$6,I2956,0)))</f>
        <v/>
      </c>
      <c r="N2956" s="52">
        <f>IF(OR(A2956="",NOT(ISNUMBER(I2956))),"",IF(G2956=Lists!$B$5,I2956/2,IF(G2956=Lists!$B$7,I2956,0)))</f>
        <v/>
      </c>
      <c r="O2956" s="53">
        <f>IF(COUNTA(A2956:K2956)=0,"",IF(OR(A2956="",B2956="",C2956="",D2956="",E2956="",F2956="",G2956="",NOT(ISNUMBER(I2956))),"Incomplete",IF(COUNTIF(Lists!$H$4:$AA$4,C2956)=0,"Check category",IF(COUNTIF(INDEX(Lists!$H$6:$AA$45,0,MATCH(C2956,Lists!$H$4:$AA$4,0)),D2956)=0,"Check sub-category","OK"))))</f>
        <v/>
      </c>
      <c r="P2956">
        <f>IF(ISNUMBER(I2956),I2956+ROW()/10000000,"")</f>
        <v/>
      </c>
      <c r="Q2956">
        <f>IF(AND(ISNUMBER(P2956),ISNUMBER(A2956)),IF(AND(A2956&gt;=Dashboard!$Q$3,A2956&lt;=Dashboard!$Q$4,OR(J2956&lt;&gt;"Yes",Dashboard!$Q$15="Yes")),P2956,""),"")</f>
        <v/>
      </c>
    </row>
    <row r="2957">
      <c r="A2957" s="47" t="n"/>
      <c r="B2957" s="48" t="n"/>
      <c r="C2957" s="48" t="n"/>
      <c r="D2957" s="48" t="n"/>
      <c r="E2957" s="48" t="n"/>
      <c r="F2957" s="48" t="n"/>
      <c r="G2957" s="48" t="n"/>
      <c r="H2957" s="48" t="n"/>
      <c r="I2957" s="49" t="n"/>
      <c r="J2957" s="50" t="n"/>
      <c r="K2957" s="48" t="n"/>
      <c r="L2957" s="51">
        <f>IF(A2957="","",DATE(YEAR(A2957),MONTH(A2957),1))</f>
        <v/>
      </c>
      <c r="M2957" s="52">
        <f>IF(OR(A2957="",NOT(ISNUMBER(I2957))),"",IF(G2957=Lists!$B$5,I2957/2,IF(G2957=Lists!$B$6,I2957,0)))</f>
        <v/>
      </c>
      <c r="N2957" s="52">
        <f>IF(OR(A2957="",NOT(ISNUMBER(I2957))),"",IF(G2957=Lists!$B$5,I2957/2,IF(G2957=Lists!$B$7,I2957,0)))</f>
        <v/>
      </c>
      <c r="O2957" s="53">
        <f>IF(COUNTA(A2957:K2957)=0,"",IF(OR(A2957="",B2957="",C2957="",D2957="",E2957="",F2957="",G2957="",NOT(ISNUMBER(I2957))),"Incomplete",IF(COUNTIF(Lists!$H$4:$AA$4,C2957)=0,"Check category",IF(COUNTIF(INDEX(Lists!$H$6:$AA$45,0,MATCH(C2957,Lists!$H$4:$AA$4,0)),D2957)=0,"Check sub-category","OK"))))</f>
        <v/>
      </c>
      <c r="P2957">
        <f>IF(ISNUMBER(I2957),I2957+ROW()/10000000,"")</f>
        <v/>
      </c>
      <c r="Q2957">
        <f>IF(AND(ISNUMBER(P2957),ISNUMBER(A2957)),IF(AND(A2957&gt;=Dashboard!$Q$3,A2957&lt;=Dashboard!$Q$4,OR(J2957&lt;&gt;"Yes",Dashboard!$Q$15="Yes")),P2957,""),"")</f>
        <v/>
      </c>
    </row>
    <row r="2958">
      <c r="A2958" s="47" t="n"/>
      <c r="B2958" s="48" t="n"/>
      <c r="C2958" s="48" t="n"/>
      <c r="D2958" s="48" t="n"/>
      <c r="E2958" s="48" t="n"/>
      <c r="F2958" s="48" t="n"/>
      <c r="G2958" s="48" t="n"/>
      <c r="H2958" s="48" t="n"/>
      <c r="I2958" s="49" t="n"/>
      <c r="J2958" s="50" t="n"/>
      <c r="K2958" s="48" t="n"/>
      <c r="L2958" s="51">
        <f>IF(A2958="","",DATE(YEAR(A2958),MONTH(A2958),1))</f>
        <v/>
      </c>
      <c r="M2958" s="52">
        <f>IF(OR(A2958="",NOT(ISNUMBER(I2958))),"",IF(G2958=Lists!$B$5,I2958/2,IF(G2958=Lists!$B$6,I2958,0)))</f>
        <v/>
      </c>
      <c r="N2958" s="52">
        <f>IF(OR(A2958="",NOT(ISNUMBER(I2958))),"",IF(G2958=Lists!$B$5,I2958/2,IF(G2958=Lists!$B$7,I2958,0)))</f>
        <v/>
      </c>
      <c r="O2958" s="53">
        <f>IF(COUNTA(A2958:K2958)=0,"",IF(OR(A2958="",B2958="",C2958="",D2958="",E2958="",F2958="",G2958="",NOT(ISNUMBER(I2958))),"Incomplete",IF(COUNTIF(Lists!$H$4:$AA$4,C2958)=0,"Check category",IF(COUNTIF(INDEX(Lists!$H$6:$AA$45,0,MATCH(C2958,Lists!$H$4:$AA$4,0)),D2958)=0,"Check sub-category","OK"))))</f>
        <v/>
      </c>
      <c r="P2958">
        <f>IF(ISNUMBER(I2958),I2958+ROW()/10000000,"")</f>
        <v/>
      </c>
      <c r="Q2958">
        <f>IF(AND(ISNUMBER(P2958),ISNUMBER(A2958)),IF(AND(A2958&gt;=Dashboard!$Q$3,A2958&lt;=Dashboard!$Q$4,OR(J2958&lt;&gt;"Yes",Dashboard!$Q$15="Yes")),P2958,""),"")</f>
        <v/>
      </c>
    </row>
    <row r="2959">
      <c r="A2959" s="47" t="n"/>
      <c r="B2959" s="48" t="n"/>
      <c r="C2959" s="48" t="n"/>
      <c r="D2959" s="48" t="n"/>
      <c r="E2959" s="48" t="n"/>
      <c r="F2959" s="48" t="n"/>
      <c r="G2959" s="48" t="n"/>
      <c r="H2959" s="48" t="n"/>
      <c r="I2959" s="49" t="n"/>
      <c r="J2959" s="50" t="n"/>
      <c r="K2959" s="48" t="n"/>
      <c r="L2959" s="51">
        <f>IF(A2959="","",DATE(YEAR(A2959),MONTH(A2959),1))</f>
        <v/>
      </c>
      <c r="M2959" s="52">
        <f>IF(OR(A2959="",NOT(ISNUMBER(I2959))),"",IF(G2959=Lists!$B$5,I2959/2,IF(G2959=Lists!$B$6,I2959,0)))</f>
        <v/>
      </c>
      <c r="N2959" s="52">
        <f>IF(OR(A2959="",NOT(ISNUMBER(I2959))),"",IF(G2959=Lists!$B$5,I2959/2,IF(G2959=Lists!$B$7,I2959,0)))</f>
        <v/>
      </c>
      <c r="O2959" s="53">
        <f>IF(COUNTA(A2959:K2959)=0,"",IF(OR(A2959="",B2959="",C2959="",D2959="",E2959="",F2959="",G2959="",NOT(ISNUMBER(I2959))),"Incomplete",IF(COUNTIF(Lists!$H$4:$AA$4,C2959)=0,"Check category",IF(COUNTIF(INDEX(Lists!$H$6:$AA$45,0,MATCH(C2959,Lists!$H$4:$AA$4,0)),D2959)=0,"Check sub-category","OK"))))</f>
        <v/>
      </c>
      <c r="P2959">
        <f>IF(ISNUMBER(I2959),I2959+ROW()/10000000,"")</f>
        <v/>
      </c>
      <c r="Q2959">
        <f>IF(AND(ISNUMBER(P2959),ISNUMBER(A2959)),IF(AND(A2959&gt;=Dashboard!$Q$3,A2959&lt;=Dashboard!$Q$4,OR(J2959&lt;&gt;"Yes",Dashboard!$Q$15="Yes")),P2959,""),"")</f>
        <v/>
      </c>
    </row>
    <row r="2960">
      <c r="A2960" s="47" t="n"/>
      <c r="B2960" s="48" t="n"/>
      <c r="C2960" s="48" t="n"/>
      <c r="D2960" s="48" t="n"/>
      <c r="E2960" s="48" t="n"/>
      <c r="F2960" s="48" t="n"/>
      <c r="G2960" s="48" t="n"/>
      <c r="H2960" s="48" t="n"/>
      <c r="I2960" s="49" t="n"/>
      <c r="J2960" s="50" t="n"/>
      <c r="K2960" s="48" t="n"/>
      <c r="L2960" s="51">
        <f>IF(A2960="","",DATE(YEAR(A2960),MONTH(A2960),1))</f>
        <v/>
      </c>
      <c r="M2960" s="52">
        <f>IF(OR(A2960="",NOT(ISNUMBER(I2960))),"",IF(G2960=Lists!$B$5,I2960/2,IF(G2960=Lists!$B$6,I2960,0)))</f>
        <v/>
      </c>
      <c r="N2960" s="52">
        <f>IF(OR(A2960="",NOT(ISNUMBER(I2960))),"",IF(G2960=Lists!$B$5,I2960/2,IF(G2960=Lists!$B$7,I2960,0)))</f>
        <v/>
      </c>
      <c r="O2960" s="53">
        <f>IF(COUNTA(A2960:K2960)=0,"",IF(OR(A2960="",B2960="",C2960="",D2960="",E2960="",F2960="",G2960="",NOT(ISNUMBER(I2960))),"Incomplete",IF(COUNTIF(Lists!$H$4:$AA$4,C2960)=0,"Check category",IF(COUNTIF(INDEX(Lists!$H$6:$AA$45,0,MATCH(C2960,Lists!$H$4:$AA$4,0)),D2960)=0,"Check sub-category","OK"))))</f>
        <v/>
      </c>
      <c r="P2960">
        <f>IF(ISNUMBER(I2960),I2960+ROW()/10000000,"")</f>
        <v/>
      </c>
      <c r="Q2960">
        <f>IF(AND(ISNUMBER(P2960),ISNUMBER(A2960)),IF(AND(A2960&gt;=Dashboard!$Q$3,A2960&lt;=Dashboard!$Q$4,OR(J2960&lt;&gt;"Yes",Dashboard!$Q$15="Yes")),P2960,""),"")</f>
        <v/>
      </c>
    </row>
    <row r="2961">
      <c r="A2961" s="47" t="n"/>
      <c r="B2961" s="48" t="n"/>
      <c r="C2961" s="48" t="n"/>
      <c r="D2961" s="48" t="n"/>
      <c r="E2961" s="48" t="n"/>
      <c r="F2961" s="48" t="n"/>
      <c r="G2961" s="48" t="n"/>
      <c r="H2961" s="48" t="n"/>
      <c r="I2961" s="49" t="n"/>
      <c r="J2961" s="50" t="n"/>
      <c r="K2961" s="48" t="n"/>
      <c r="L2961" s="51">
        <f>IF(A2961="","",DATE(YEAR(A2961),MONTH(A2961),1))</f>
        <v/>
      </c>
      <c r="M2961" s="52">
        <f>IF(OR(A2961="",NOT(ISNUMBER(I2961))),"",IF(G2961=Lists!$B$5,I2961/2,IF(G2961=Lists!$B$6,I2961,0)))</f>
        <v/>
      </c>
      <c r="N2961" s="52">
        <f>IF(OR(A2961="",NOT(ISNUMBER(I2961))),"",IF(G2961=Lists!$B$5,I2961/2,IF(G2961=Lists!$B$7,I2961,0)))</f>
        <v/>
      </c>
      <c r="O2961" s="53">
        <f>IF(COUNTA(A2961:K2961)=0,"",IF(OR(A2961="",B2961="",C2961="",D2961="",E2961="",F2961="",G2961="",NOT(ISNUMBER(I2961))),"Incomplete",IF(COUNTIF(Lists!$H$4:$AA$4,C2961)=0,"Check category",IF(COUNTIF(INDEX(Lists!$H$6:$AA$45,0,MATCH(C2961,Lists!$H$4:$AA$4,0)),D2961)=0,"Check sub-category","OK"))))</f>
        <v/>
      </c>
      <c r="P2961">
        <f>IF(ISNUMBER(I2961),I2961+ROW()/10000000,"")</f>
        <v/>
      </c>
      <c r="Q2961">
        <f>IF(AND(ISNUMBER(P2961),ISNUMBER(A2961)),IF(AND(A2961&gt;=Dashboard!$Q$3,A2961&lt;=Dashboard!$Q$4,OR(J2961&lt;&gt;"Yes",Dashboard!$Q$15="Yes")),P2961,""),"")</f>
        <v/>
      </c>
    </row>
    <row r="2962">
      <c r="A2962" s="47" t="n"/>
      <c r="B2962" s="48" t="n"/>
      <c r="C2962" s="48" t="n"/>
      <c r="D2962" s="48" t="n"/>
      <c r="E2962" s="48" t="n"/>
      <c r="F2962" s="48" t="n"/>
      <c r="G2962" s="48" t="n"/>
      <c r="H2962" s="48" t="n"/>
      <c r="I2962" s="49" t="n"/>
      <c r="J2962" s="50" t="n"/>
      <c r="K2962" s="48" t="n"/>
      <c r="L2962" s="51">
        <f>IF(A2962="","",DATE(YEAR(A2962),MONTH(A2962),1))</f>
        <v/>
      </c>
      <c r="M2962" s="52">
        <f>IF(OR(A2962="",NOT(ISNUMBER(I2962))),"",IF(G2962=Lists!$B$5,I2962/2,IF(G2962=Lists!$B$6,I2962,0)))</f>
        <v/>
      </c>
      <c r="N2962" s="52">
        <f>IF(OR(A2962="",NOT(ISNUMBER(I2962))),"",IF(G2962=Lists!$B$5,I2962/2,IF(G2962=Lists!$B$7,I2962,0)))</f>
        <v/>
      </c>
      <c r="O2962" s="53">
        <f>IF(COUNTA(A2962:K2962)=0,"",IF(OR(A2962="",B2962="",C2962="",D2962="",E2962="",F2962="",G2962="",NOT(ISNUMBER(I2962))),"Incomplete",IF(COUNTIF(Lists!$H$4:$AA$4,C2962)=0,"Check category",IF(COUNTIF(INDEX(Lists!$H$6:$AA$45,0,MATCH(C2962,Lists!$H$4:$AA$4,0)),D2962)=0,"Check sub-category","OK"))))</f>
        <v/>
      </c>
      <c r="P2962">
        <f>IF(ISNUMBER(I2962),I2962+ROW()/10000000,"")</f>
        <v/>
      </c>
      <c r="Q2962">
        <f>IF(AND(ISNUMBER(P2962),ISNUMBER(A2962)),IF(AND(A2962&gt;=Dashboard!$Q$3,A2962&lt;=Dashboard!$Q$4,OR(J2962&lt;&gt;"Yes",Dashboard!$Q$15="Yes")),P2962,""),"")</f>
        <v/>
      </c>
    </row>
    <row r="2963">
      <c r="A2963" s="47" t="n"/>
      <c r="B2963" s="48" t="n"/>
      <c r="C2963" s="48" t="n"/>
      <c r="D2963" s="48" t="n"/>
      <c r="E2963" s="48" t="n"/>
      <c r="F2963" s="48" t="n"/>
      <c r="G2963" s="48" t="n"/>
      <c r="H2963" s="48" t="n"/>
      <c r="I2963" s="49" t="n"/>
      <c r="J2963" s="50" t="n"/>
      <c r="K2963" s="48" t="n"/>
      <c r="L2963" s="51">
        <f>IF(A2963="","",DATE(YEAR(A2963),MONTH(A2963),1))</f>
        <v/>
      </c>
      <c r="M2963" s="52">
        <f>IF(OR(A2963="",NOT(ISNUMBER(I2963))),"",IF(G2963=Lists!$B$5,I2963/2,IF(G2963=Lists!$B$6,I2963,0)))</f>
        <v/>
      </c>
      <c r="N2963" s="52">
        <f>IF(OR(A2963="",NOT(ISNUMBER(I2963))),"",IF(G2963=Lists!$B$5,I2963/2,IF(G2963=Lists!$B$7,I2963,0)))</f>
        <v/>
      </c>
      <c r="O2963" s="53">
        <f>IF(COUNTA(A2963:K2963)=0,"",IF(OR(A2963="",B2963="",C2963="",D2963="",E2963="",F2963="",G2963="",NOT(ISNUMBER(I2963))),"Incomplete",IF(COUNTIF(Lists!$H$4:$AA$4,C2963)=0,"Check category",IF(COUNTIF(INDEX(Lists!$H$6:$AA$45,0,MATCH(C2963,Lists!$H$4:$AA$4,0)),D2963)=0,"Check sub-category","OK"))))</f>
        <v/>
      </c>
      <c r="P2963">
        <f>IF(ISNUMBER(I2963),I2963+ROW()/10000000,"")</f>
        <v/>
      </c>
      <c r="Q2963">
        <f>IF(AND(ISNUMBER(P2963),ISNUMBER(A2963)),IF(AND(A2963&gt;=Dashboard!$Q$3,A2963&lt;=Dashboard!$Q$4,OR(J2963&lt;&gt;"Yes",Dashboard!$Q$15="Yes")),P2963,""),"")</f>
        <v/>
      </c>
    </row>
    <row r="2964">
      <c r="A2964" s="47" t="n"/>
      <c r="B2964" s="48" t="n"/>
      <c r="C2964" s="48" t="n"/>
      <c r="D2964" s="48" t="n"/>
      <c r="E2964" s="48" t="n"/>
      <c r="F2964" s="48" t="n"/>
      <c r="G2964" s="48" t="n"/>
      <c r="H2964" s="48" t="n"/>
      <c r="I2964" s="49" t="n"/>
      <c r="J2964" s="50" t="n"/>
      <c r="K2964" s="48" t="n"/>
      <c r="L2964" s="51">
        <f>IF(A2964="","",DATE(YEAR(A2964),MONTH(A2964),1))</f>
        <v/>
      </c>
      <c r="M2964" s="52">
        <f>IF(OR(A2964="",NOT(ISNUMBER(I2964))),"",IF(G2964=Lists!$B$5,I2964/2,IF(G2964=Lists!$B$6,I2964,0)))</f>
        <v/>
      </c>
      <c r="N2964" s="52">
        <f>IF(OR(A2964="",NOT(ISNUMBER(I2964))),"",IF(G2964=Lists!$B$5,I2964/2,IF(G2964=Lists!$B$7,I2964,0)))</f>
        <v/>
      </c>
      <c r="O2964" s="53">
        <f>IF(COUNTA(A2964:K2964)=0,"",IF(OR(A2964="",B2964="",C2964="",D2964="",E2964="",F2964="",G2964="",NOT(ISNUMBER(I2964))),"Incomplete",IF(COUNTIF(Lists!$H$4:$AA$4,C2964)=0,"Check category",IF(COUNTIF(INDEX(Lists!$H$6:$AA$45,0,MATCH(C2964,Lists!$H$4:$AA$4,0)),D2964)=0,"Check sub-category","OK"))))</f>
        <v/>
      </c>
      <c r="P2964">
        <f>IF(ISNUMBER(I2964),I2964+ROW()/10000000,"")</f>
        <v/>
      </c>
      <c r="Q2964">
        <f>IF(AND(ISNUMBER(P2964),ISNUMBER(A2964)),IF(AND(A2964&gt;=Dashboard!$Q$3,A2964&lt;=Dashboard!$Q$4,OR(J2964&lt;&gt;"Yes",Dashboard!$Q$15="Yes")),P2964,""),"")</f>
        <v/>
      </c>
    </row>
    <row r="2965">
      <c r="A2965" s="47" t="n"/>
      <c r="B2965" s="48" t="n"/>
      <c r="C2965" s="48" t="n"/>
      <c r="D2965" s="48" t="n"/>
      <c r="E2965" s="48" t="n"/>
      <c r="F2965" s="48" t="n"/>
      <c r="G2965" s="48" t="n"/>
      <c r="H2965" s="48" t="n"/>
      <c r="I2965" s="49" t="n"/>
      <c r="J2965" s="50" t="n"/>
      <c r="K2965" s="48" t="n"/>
      <c r="L2965" s="51">
        <f>IF(A2965="","",DATE(YEAR(A2965),MONTH(A2965),1))</f>
        <v/>
      </c>
      <c r="M2965" s="52">
        <f>IF(OR(A2965="",NOT(ISNUMBER(I2965))),"",IF(G2965=Lists!$B$5,I2965/2,IF(G2965=Lists!$B$6,I2965,0)))</f>
        <v/>
      </c>
      <c r="N2965" s="52">
        <f>IF(OR(A2965="",NOT(ISNUMBER(I2965))),"",IF(G2965=Lists!$B$5,I2965/2,IF(G2965=Lists!$B$7,I2965,0)))</f>
        <v/>
      </c>
      <c r="O2965" s="53">
        <f>IF(COUNTA(A2965:K2965)=0,"",IF(OR(A2965="",B2965="",C2965="",D2965="",E2965="",F2965="",G2965="",NOT(ISNUMBER(I2965))),"Incomplete",IF(COUNTIF(Lists!$H$4:$AA$4,C2965)=0,"Check category",IF(COUNTIF(INDEX(Lists!$H$6:$AA$45,0,MATCH(C2965,Lists!$H$4:$AA$4,0)),D2965)=0,"Check sub-category","OK"))))</f>
        <v/>
      </c>
      <c r="P2965">
        <f>IF(ISNUMBER(I2965),I2965+ROW()/10000000,"")</f>
        <v/>
      </c>
      <c r="Q2965">
        <f>IF(AND(ISNUMBER(P2965),ISNUMBER(A2965)),IF(AND(A2965&gt;=Dashboard!$Q$3,A2965&lt;=Dashboard!$Q$4,OR(J2965&lt;&gt;"Yes",Dashboard!$Q$15="Yes")),P2965,""),"")</f>
        <v/>
      </c>
    </row>
    <row r="2966">
      <c r="A2966" s="47" t="n"/>
      <c r="B2966" s="48" t="n"/>
      <c r="C2966" s="48" t="n"/>
      <c r="D2966" s="48" t="n"/>
      <c r="E2966" s="48" t="n"/>
      <c r="F2966" s="48" t="n"/>
      <c r="G2966" s="48" t="n"/>
      <c r="H2966" s="48" t="n"/>
      <c r="I2966" s="49" t="n"/>
      <c r="J2966" s="50" t="n"/>
      <c r="K2966" s="48" t="n"/>
      <c r="L2966" s="51">
        <f>IF(A2966="","",DATE(YEAR(A2966),MONTH(A2966),1))</f>
        <v/>
      </c>
      <c r="M2966" s="52">
        <f>IF(OR(A2966="",NOT(ISNUMBER(I2966))),"",IF(G2966=Lists!$B$5,I2966/2,IF(G2966=Lists!$B$6,I2966,0)))</f>
        <v/>
      </c>
      <c r="N2966" s="52">
        <f>IF(OR(A2966="",NOT(ISNUMBER(I2966))),"",IF(G2966=Lists!$B$5,I2966/2,IF(G2966=Lists!$B$7,I2966,0)))</f>
        <v/>
      </c>
      <c r="O2966" s="53">
        <f>IF(COUNTA(A2966:K2966)=0,"",IF(OR(A2966="",B2966="",C2966="",D2966="",E2966="",F2966="",G2966="",NOT(ISNUMBER(I2966))),"Incomplete",IF(COUNTIF(Lists!$H$4:$AA$4,C2966)=0,"Check category",IF(COUNTIF(INDEX(Lists!$H$6:$AA$45,0,MATCH(C2966,Lists!$H$4:$AA$4,0)),D2966)=0,"Check sub-category","OK"))))</f>
        <v/>
      </c>
      <c r="P2966">
        <f>IF(ISNUMBER(I2966),I2966+ROW()/10000000,"")</f>
        <v/>
      </c>
      <c r="Q2966">
        <f>IF(AND(ISNUMBER(P2966),ISNUMBER(A2966)),IF(AND(A2966&gt;=Dashboard!$Q$3,A2966&lt;=Dashboard!$Q$4,OR(J2966&lt;&gt;"Yes",Dashboard!$Q$15="Yes")),P2966,""),"")</f>
        <v/>
      </c>
    </row>
    <row r="2967">
      <c r="A2967" s="47" t="n"/>
      <c r="B2967" s="48" t="n"/>
      <c r="C2967" s="48" t="n"/>
      <c r="D2967" s="48" t="n"/>
      <c r="E2967" s="48" t="n"/>
      <c r="F2967" s="48" t="n"/>
      <c r="G2967" s="48" t="n"/>
      <c r="H2967" s="48" t="n"/>
      <c r="I2967" s="49" t="n"/>
      <c r="J2967" s="50" t="n"/>
      <c r="K2967" s="48" t="n"/>
      <c r="L2967" s="51">
        <f>IF(A2967="","",DATE(YEAR(A2967),MONTH(A2967),1))</f>
        <v/>
      </c>
      <c r="M2967" s="52">
        <f>IF(OR(A2967="",NOT(ISNUMBER(I2967))),"",IF(G2967=Lists!$B$5,I2967/2,IF(G2967=Lists!$B$6,I2967,0)))</f>
        <v/>
      </c>
      <c r="N2967" s="52">
        <f>IF(OR(A2967="",NOT(ISNUMBER(I2967))),"",IF(G2967=Lists!$B$5,I2967/2,IF(G2967=Lists!$B$7,I2967,0)))</f>
        <v/>
      </c>
      <c r="O2967" s="53">
        <f>IF(COUNTA(A2967:K2967)=0,"",IF(OR(A2967="",B2967="",C2967="",D2967="",E2967="",F2967="",G2967="",NOT(ISNUMBER(I2967))),"Incomplete",IF(COUNTIF(Lists!$H$4:$AA$4,C2967)=0,"Check category",IF(COUNTIF(INDEX(Lists!$H$6:$AA$45,0,MATCH(C2967,Lists!$H$4:$AA$4,0)),D2967)=0,"Check sub-category","OK"))))</f>
        <v/>
      </c>
      <c r="P2967">
        <f>IF(ISNUMBER(I2967),I2967+ROW()/10000000,"")</f>
        <v/>
      </c>
      <c r="Q2967">
        <f>IF(AND(ISNUMBER(P2967),ISNUMBER(A2967)),IF(AND(A2967&gt;=Dashboard!$Q$3,A2967&lt;=Dashboard!$Q$4,OR(J2967&lt;&gt;"Yes",Dashboard!$Q$15="Yes")),P2967,""),"")</f>
        <v/>
      </c>
    </row>
    <row r="2968">
      <c r="A2968" s="47" t="n"/>
      <c r="B2968" s="48" t="n"/>
      <c r="C2968" s="48" t="n"/>
      <c r="D2968" s="48" t="n"/>
      <c r="E2968" s="48" t="n"/>
      <c r="F2968" s="48" t="n"/>
      <c r="G2968" s="48" t="n"/>
      <c r="H2968" s="48" t="n"/>
      <c r="I2968" s="49" t="n"/>
      <c r="J2968" s="50" t="n"/>
      <c r="K2968" s="48" t="n"/>
      <c r="L2968" s="51">
        <f>IF(A2968="","",DATE(YEAR(A2968),MONTH(A2968),1))</f>
        <v/>
      </c>
      <c r="M2968" s="52">
        <f>IF(OR(A2968="",NOT(ISNUMBER(I2968))),"",IF(G2968=Lists!$B$5,I2968/2,IF(G2968=Lists!$B$6,I2968,0)))</f>
        <v/>
      </c>
      <c r="N2968" s="52">
        <f>IF(OR(A2968="",NOT(ISNUMBER(I2968))),"",IF(G2968=Lists!$B$5,I2968/2,IF(G2968=Lists!$B$7,I2968,0)))</f>
        <v/>
      </c>
      <c r="O2968" s="53">
        <f>IF(COUNTA(A2968:K2968)=0,"",IF(OR(A2968="",B2968="",C2968="",D2968="",E2968="",F2968="",G2968="",NOT(ISNUMBER(I2968))),"Incomplete",IF(COUNTIF(Lists!$H$4:$AA$4,C2968)=0,"Check category",IF(COUNTIF(INDEX(Lists!$H$6:$AA$45,0,MATCH(C2968,Lists!$H$4:$AA$4,0)),D2968)=0,"Check sub-category","OK"))))</f>
        <v/>
      </c>
      <c r="P2968">
        <f>IF(ISNUMBER(I2968),I2968+ROW()/10000000,"")</f>
        <v/>
      </c>
      <c r="Q2968">
        <f>IF(AND(ISNUMBER(P2968),ISNUMBER(A2968)),IF(AND(A2968&gt;=Dashboard!$Q$3,A2968&lt;=Dashboard!$Q$4,OR(J2968&lt;&gt;"Yes",Dashboard!$Q$15="Yes")),P2968,""),"")</f>
        <v/>
      </c>
    </row>
    <row r="2969">
      <c r="A2969" s="47" t="n"/>
      <c r="B2969" s="48" t="n"/>
      <c r="C2969" s="48" t="n"/>
      <c r="D2969" s="48" t="n"/>
      <c r="E2969" s="48" t="n"/>
      <c r="F2969" s="48" t="n"/>
      <c r="G2969" s="48" t="n"/>
      <c r="H2969" s="48" t="n"/>
      <c r="I2969" s="49" t="n"/>
      <c r="J2969" s="50" t="n"/>
      <c r="K2969" s="48" t="n"/>
      <c r="L2969" s="51">
        <f>IF(A2969="","",DATE(YEAR(A2969),MONTH(A2969),1))</f>
        <v/>
      </c>
      <c r="M2969" s="52">
        <f>IF(OR(A2969="",NOT(ISNUMBER(I2969))),"",IF(G2969=Lists!$B$5,I2969/2,IF(G2969=Lists!$B$6,I2969,0)))</f>
        <v/>
      </c>
      <c r="N2969" s="52">
        <f>IF(OR(A2969="",NOT(ISNUMBER(I2969))),"",IF(G2969=Lists!$B$5,I2969/2,IF(G2969=Lists!$B$7,I2969,0)))</f>
        <v/>
      </c>
      <c r="O2969" s="53">
        <f>IF(COUNTA(A2969:K2969)=0,"",IF(OR(A2969="",B2969="",C2969="",D2969="",E2969="",F2969="",G2969="",NOT(ISNUMBER(I2969))),"Incomplete",IF(COUNTIF(Lists!$H$4:$AA$4,C2969)=0,"Check category",IF(COUNTIF(INDEX(Lists!$H$6:$AA$45,0,MATCH(C2969,Lists!$H$4:$AA$4,0)),D2969)=0,"Check sub-category","OK"))))</f>
        <v/>
      </c>
      <c r="P2969">
        <f>IF(ISNUMBER(I2969),I2969+ROW()/10000000,"")</f>
        <v/>
      </c>
      <c r="Q2969">
        <f>IF(AND(ISNUMBER(P2969),ISNUMBER(A2969)),IF(AND(A2969&gt;=Dashboard!$Q$3,A2969&lt;=Dashboard!$Q$4,OR(J2969&lt;&gt;"Yes",Dashboard!$Q$15="Yes")),P2969,""),"")</f>
        <v/>
      </c>
    </row>
    <row r="2970">
      <c r="A2970" s="47" t="n"/>
      <c r="B2970" s="48" t="n"/>
      <c r="C2970" s="48" t="n"/>
      <c r="D2970" s="48" t="n"/>
      <c r="E2970" s="48" t="n"/>
      <c r="F2970" s="48" t="n"/>
      <c r="G2970" s="48" t="n"/>
      <c r="H2970" s="48" t="n"/>
      <c r="I2970" s="49" t="n"/>
      <c r="J2970" s="50" t="n"/>
      <c r="K2970" s="48" t="n"/>
      <c r="L2970" s="51">
        <f>IF(A2970="","",DATE(YEAR(A2970),MONTH(A2970),1))</f>
        <v/>
      </c>
      <c r="M2970" s="52">
        <f>IF(OR(A2970="",NOT(ISNUMBER(I2970))),"",IF(G2970=Lists!$B$5,I2970/2,IF(G2970=Lists!$B$6,I2970,0)))</f>
        <v/>
      </c>
      <c r="N2970" s="52">
        <f>IF(OR(A2970="",NOT(ISNUMBER(I2970))),"",IF(G2970=Lists!$B$5,I2970/2,IF(G2970=Lists!$B$7,I2970,0)))</f>
        <v/>
      </c>
      <c r="O2970" s="53">
        <f>IF(COUNTA(A2970:K2970)=0,"",IF(OR(A2970="",B2970="",C2970="",D2970="",E2970="",F2970="",G2970="",NOT(ISNUMBER(I2970))),"Incomplete",IF(COUNTIF(Lists!$H$4:$AA$4,C2970)=0,"Check category",IF(COUNTIF(INDEX(Lists!$H$6:$AA$45,0,MATCH(C2970,Lists!$H$4:$AA$4,0)),D2970)=0,"Check sub-category","OK"))))</f>
        <v/>
      </c>
      <c r="P2970">
        <f>IF(ISNUMBER(I2970),I2970+ROW()/10000000,"")</f>
        <v/>
      </c>
      <c r="Q2970">
        <f>IF(AND(ISNUMBER(P2970),ISNUMBER(A2970)),IF(AND(A2970&gt;=Dashboard!$Q$3,A2970&lt;=Dashboard!$Q$4,OR(J2970&lt;&gt;"Yes",Dashboard!$Q$15="Yes")),P2970,""),"")</f>
        <v/>
      </c>
    </row>
    <row r="2971">
      <c r="A2971" s="47" t="n"/>
      <c r="B2971" s="48" t="n"/>
      <c r="C2971" s="48" t="n"/>
      <c r="D2971" s="48" t="n"/>
      <c r="E2971" s="48" t="n"/>
      <c r="F2971" s="48" t="n"/>
      <c r="G2971" s="48" t="n"/>
      <c r="H2971" s="48" t="n"/>
      <c r="I2971" s="49" t="n"/>
      <c r="J2971" s="50" t="n"/>
      <c r="K2971" s="48" t="n"/>
      <c r="L2971" s="51">
        <f>IF(A2971="","",DATE(YEAR(A2971),MONTH(A2971),1))</f>
        <v/>
      </c>
      <c r="M2971" s="52">
        <f>IF(OR(A2971="",NOT(ISNUMBER(I2971))),"",IF(G2971=Lists!$B$5,I2971/2,IF(G2971=Lists!$B$6,I2971,0)))</f>
        <v/>
      </c>
      <c r="N2971" s="52">
        <f>IF(OR(A2971="",NOT(ISNUMBER(I2971))),"",IF(G2971=Lists!$B$5,I2971/2,IF(G2971=Lists!$B$7,I2971,0)))</f>
        <v/>
      </c>
      <c r="O2971" s="53">
        <f>IF(COUNTA(A2971:K2971)=0,"",IF(OR(A2971="",B2971="",C2971="",D2971="",E2971="",F2971="",G2971="",NOT(ISNUMBER(I2971))),"Incomplete",IF(COUNTIF(Lists!$H$4:$AA$4,C2971)=0,"Check category",IF(COUNTIF(INDEX(Lists!$H$6:$AA$45,0,MATCH(C2971,Lists!$H$4:$AA$4,0)),D2971)=0,"Check sub-category","OK"))))</f>
        <v/>
      </c>
      <c r="P2971">
        <f>IF(ISNUMBER(I2971),I2971+ROW()/10000000,"")</f>
        <v/>
      </c>
      <c r="Q2971">
        <f>IF(AND(ISNUMBER(P2971),ISNUMBER(A2971)),IF(AND(A2971&gt;=Dashboard!$Q$3,A2971&lt;=Dashboard!$Q$4,OR(J2971&lt;&gt;"Yes",Dashboard!$Q$15="Yes")),P2971,""),"")</f>
        <v/>
      </c>
    </row>
    <row r="2972">
      <c r="A2972" s="47" t="n"/>
      <c r="B2972" s="48" t="n"/>
      <c r="C2972" s="48" t="n"/>
      <c r="D2972" s="48" t="n"/>
      <c r="E2972" s="48" t="n"/>
      <c r="F2972" s="48" t="n"/>
      <c r="G2972" s="48" t="n"/>
      <c r="H2972" s="48" t="n"/>
      <c r="I2972" s="49" t="n"/>
      <c r="J2972" s="50" t="n"/>
      <c r="K2972" s="48" t="n"/>
      <c r="L2972" s="51">
        <f>IF(A2972="","",DATE(YEAR(A2972),MONTH(A2972),1))</f>
        <v/>
      </c>
      <c r="M2972" s="52">
        <f>IF(OR(A2972="",NOT(ISNUMBER(I2972))),"",IF(G2972=Lists!$B$5,I2972/2,IF(G2972=Lists!$B$6,I2972,0)))</f>
        <v/>
      </c>
      <c r="N2972" s="52">
        <f>IF(OR(A2972="",NOT(ISNUMBER(I2972))),"",IF(G2972=Lists!$B$5,I2972/2,IF(G2972=Lists!$B$7,I2972,0)))</f>
        <v/>
      </c>
      <c r="O2972" s="53">
        <f>IF(COUNTA(A2972:K2972)=0,"",IF(OR(A2972="",B2972="",C2972="",D2972="",E2972="",F2972="",G2972="",NOT(ISNUMBER(I2972))),"Incomplete",IF(COUNTIF(Lists!$H$4:$AA$4,C2972)=0,"Check category",IF(COUNTIF(INDEX(Lists!$H$6:$AA$45,0,MATCH(C2972,Lists!$H$4:$AA$4,0)),D2972)=0,"Check sub-category","OK"))))</f>
        <v/>
      </c>
      <c r="P2972">
        <f>IF(ISNUMBER(I2972),I2972+ROW()/10000000,"")</f>
        <v/>
      </c>
      <c r="Q2972">
        <f>IF(AND(ISNUMBER(P2972),ISNUMBER(A2972)),IF(AND(A2972&gt;=Dashboard!$Q$3,A2972&lt;=Dashboard!$Q$4,OR(J2972&lt;&gt;"Yes",Dashboard!$Q$15="Yes")),P2972,""),"")</f>
        <v/>
      </c>
    </row>
    <row r="2973">
      <c r="A2973" s="47" t="n"/>
      <c r="B2973" s="48" t="n"/>
      <c r="C2973" s="48" t="n"/>
      <c r="D2973" s="48" t="n"/>
      <c r="E2973" s="48" t="n"/>
      <c r="F2973" s="48" t="n"/>
      <c r="G2973" s="48" t="n"/>
      <c r="H2973" s="48" t="n"/>
      <c r="I2973" s="49" t="n"/>
      <c r="J2973" s="50" t="n"/>
      <c r="K2973" s="48" t="n"/>
      <c r="L2973" s="51">
        <f>IF(A2973="","",DATE(YEAR(A2973),MONTH(A2973),1))</f>
        <v/>
      </c>
      <c r="M2973" s="52">
        <f>IF(OR(A2973="",NOT(ISNUMBER(I2973))),"",IF(G2973=Lists!$B$5,I2973/2,IF(G2973=Lists!$B$6,I2973,0)))</f>
        <v/>
      </c>
      <c r="N2973" s="52">
        <f>IF(OR(A2973="",NOT(ISNUMBER(I2973))),"",IF(G2973=Lists!$B$5,I2973/2,IF(G2973=Lists!$B$7,I2973,0)))</f>
        <v/>
      </c>
      <c r="O2973" s="53">
        <f>IF(COUNTA(A2973:K2973)=0,"",IF(OR(A2973="",B2973="",C2973="",D2973="",E2973="",F2973="",G2973="",NOT(ISNUMBER(I2973))),"Incomplete",IF(COUNTIF(Lists!$H$4:$AA$4,C2973)=0,"Check category",IF(COUNTIF(INDEX(Lists!$H$6:$AA$45,0,MATCH(C2973,Lists!$H$4:$AA$4,0)),D2973)=0,"Check sub-category","OK"))))</f>
        <v/>
      </c>
      <c r="P2973">
        <f>IF(ISNUMBER(I2973),I2973+ROW()/10000000,"")</f>
        <v/>
      </c>
      <c r="Q2973">
        <f>IF(AND(ISNUMBER(P2973),ISNUMBER(A2973)),IF(AND(A2973&gt;=Dashboard!$Q$3,A2973&lt;=Dashboard!$Q$4,OR(J2973&lt;&gt;"Yes",Dashboard!$Q$15="Yes")),P2973,""),"")</f>
        <v/>
      </c>
    </row>
    <row r="2974">
      <c r="A2974" s="47" t="n"/>
      <c r="B2974" s="48" t="n"/>
      <c r="C2974" s="48" t="n"/>
      <c r="D2974" s="48" t="n"/>
      <c r="E2974" s="48" t="n"/>
      <c r="F2974" s="48" t="n"/>
      <c r="G2974" s="48" t="n"/>
      <c r="H2974" s="48" t="n"/>
      <c r="I2974" s="49" t="n"/>
      <c r="J2974" s="50" t="n"/>
      <c r="K2974" s="48" t="n"/>
      <c r="L2974" s="51">
        <f>IF(A2974="","",DATE(YEAR(A2974),MONTH(A2974),1))</f>
        <v/>
      </c>
      <c r="M2974" s="52">
        <f>IF(OR(A2974="",NOT(ISNUMBER(I2974))),"",IF(G2974=Lists!$B$5,I2974/2,IF(G2974=Lists!$B$6,I2974,0)))</f>
        <v/>
      </c>
      <c r="N2974" s="52">
        <f>IF(OR(A2974="",NOT(ISNUMBER(I2974))),"",IF(G2974=Lists!$B$5,I2974/2,IF(G2974=Lists!$B$7,I2974,0)))</f>
        <v/>
      </c>
      <c r="O2974" s="53">
        <f>IF(COUNTA(A2974:K2974)=0,"",IF(OR(A2974="",B2974="",C2974="",D2974="",E2974="",F2974="",G2974="",NOT(ISNUMBER(I2974))),"Incomplete",IF(COUNTIF(Lists!$H$4:$AA$4,C2974)=0,"Check category",IF(COUNTIF(INDEX(Lists!$H$6:$AA$45,0,MATCH(C2974,Lists!$H$4:$AA$4,0)),D2974)=0,"Check sub-category","OK"))))</f>
        <v/>
      </c>
      <c r="P2974">
        <f>IF(ISNUMBER(I2974),I2974+ROW()/10000000,"")</f>
        <v/>
      </c>
      <c r="Q2974">
        <f>IF(AND(ISNUMBER(P2974),ISNUMBER(A2974)),IF(AND(A2974&gt;=Dashboard!$Q$3,A2974&lt;=Dashboard!$Q$4,OR(J2974&lt;&gt;"Yes",Dashboard!$Q$15="Yes")),P2974,""),"")</f>
        <v/>
      </c>
    </row>
    <row r="2975">
      <c r="A2975" s="47" t="n"/>
      <c r="B2975" s="48" t="n"/>
      <c r="C2975" s="48" t="n"/>
      <c r="D2975" s="48" t="n"/>
      <c r="E2975" s="48" t="n"/>
      <c r="F2975" s="48" t="n"/>
      <c r="G2975" s="48" t="n"/>
      <c r="H2975" s="48" t="n"/>
      <c r="I2975" s="49" t="n"/>
      <c r="J2975" s="50" t="n"/>
      <c r="K2975" s="48" t="n"/>
      <c r="L2975" s="51">
        <f>IF(A2975="","",DATE(YEAR(A2975),MONTH(A2975),1))</f>
        <v/>
      </c>
      <c r="M2975" s="52">
        <f>IF(OR(A2975="",NOT(ISNUMBER(I2975))),"",IF(G2975=Lists!$B$5,I2975/2,IF(G2975=Lists!$B$6,I2975,0)))</f>
        <v/>
      </c>
      <c r="N2975" s="52">
        <f>IF(OR(A2975="",NOT(ISNUMBER(I2975))),"",IF(G2975=Lists!$B$5,I2975/2,IF(G2975=Lists!$B$7,I2975,0)))</f>
        <v/>
      </c>
      <c r="O2975" s="53">
        <f>IF(COUNTA(A2975:K2975)=0,"",IF(OR(A2975="",B2975="",C2975="",D2975="",E2975="",F2975="",G2975="",NOT(ISNUMBER(I2975))),"Incomplete",IF(COUNTIF(Lists!$H$4:$AA$4,C2975)=0,"Check category",IF(COUNTIF(INDEX(Lists!$H$6:$AA$45,0,MATCH(C2975,Lists!$H$4:$AA$4,0)),D2975)=0,"Check sub-category","OK"))))</f>
        <v/>
      </c>
      <c r="P2975">
        <f>IF(ISNUMBER(I2975),I2975+ROW()/10000000,"")</f>
        <v/>
      </c>
      <c r="Q2975">
        <f>IF(AND(ISNUMBER(P2975),ISNUMBER(A2975)),IF(AND(A2975&gt;=Dashboard!$Q$3,A2975&lt;=Dashboard!$Q$4,OR(J2975&lt;&gt;"Yes",Dashboard!$Q$15="Yes")),P2975,""),"")</f>
        <v/>
      </c>
    </row>
    <row r="2976">
      <c r="A2976" s="47" t="n"/>
      <c r="B2976" s="48" t="n"/>
      <c r="C2976" s="48" t="n"/>
      <c r="D2976" s="48" t="n"/>
      <c r="E2976" s="48" t="n"/>
      <c r="F2976" s="48" t="n"/>
      <c r="G2976" s="48" t="n"/>
      <c r="H2976" s="48" t="n"/>
      <c r="I2976" s="49" t="n"/>
      <c r="J2976" s="50" t="n"/>
      <c r="K2976" s="48" t="n"/>
      <c r="L2976" s="51">
        <f>IF(A2976="","",DATE(YEAR(A2976),MONTH(A2976),1))</f>
        <v/>
      </c>
      <c r="M2976" s="52">
        <f>IF(OR(A2976="",NOT(ISNUMBER(I2976))),"",IF(G2976=Lists!$B$5,I2976/2,IF(G2976=Lists!$B$6,I2976,0)))</f>
        <v/>
      </c>
      <c r="N2976" s="52">
        <f>IF(OR(A2976="",NOT(ISNUMBER(I2976))),"",IF(G2976=Lists!$B$5,I2976/2,IF(G2976=Lists!$B$7,I2976,0)))</f>
        <v/>
      </c>
      <c r="O2976" s="53">
        <f>IF(COUNTA(A2976:K2976)=0,"",IF(OR(A2976="",B2976="",C2976="",D2976="",E2976="",F2976="",G2976="",NOT(ISNUMBER(I2976))),"Incomplete",IF(COUNTIF(Lists!$H$4:$AA$4,C2976)=0,"Check category",IF(COUNTIF(INDEX(Lists!$H$6:$AA$45,0,MATCH(C2976,Lists!$H$4:$AA$4,0)),D2976)=0,"Check sub-category","OK"))))</f>
        <v/>
      </c>
      <c r="P2976">
        <f>IF(ISNUMBER(I2976),I2976+ROW()/10000000,"")</f>
        <v/>
      </c>
      <c r="Q2976">
        <f>IF(AND(ISNUMBER(P2976),ISNUMBER(A2976)),IF(AND(A2976&gt;=Dashboard!$Q$3,A2976&lt;=Dashboard!$Q$4,OR(J2976&lt;&gt;"Yes",Dashboard!$Q$15="Yes")),P2976,""),"")</f>
        <v/>
      </c>
    </row>
    <row r="2977">
      <c r="A2977" s="47" t="n"/>
      <c r="B2977" s="48" t="n"/>
      <c r="C2977" s="48" t="n"/>
      <c r="D2977" s="48" t="n"/>
      <c r="E2977" s="48" t="n"/>
      <c r="F2977" s="48" t="n"/>
      <c r="G2977" s="48" t="n"/>
      <c r="H2977" s="48" t="n"/>
      <c r="I2977" s="49" t="n"/>
      <c r="J2977" s="50" t="n"/>
      <c r="K2977" s="48" t="n"/>
      <c r="L2977" s="51">
        <f>IF(A2977="","",DATE(YEAR(A2977),MONTH(A2977),1))</f>
        <v/>
      </c>
      <c r="M2977" s="52">
        <f>IF(OR(A2977="",NOT(ISNUMBER(I2977))),"",IF(G2977=Lists!$B$5,I2977/2,IF(G2977=Lists!$B$6,I2977,0)))</f>
        <v/>
      </c>
      <c r="N2977" s="52">
        <f>IF(OR(A2977="",NOT(ISNUMBER(I2977))),"",IF(G2977=Lists!$B$5,I2977/2,IF(G2977=Lists!$B$7,I2977,0)))</f>
        <v/>
      </c>
      <c r="O2977" s="53">
        <f>IF(COUNTA(A2977:K2977)=0,"",IF(OR(A2977="",B2977="",C2977="",D2977="",E2977="",F2977="",G2977="",NOT(ISNUMBER(I2977))),"Incomplete",IF(COUNTIF(Lists!$H$4:$AA$4,C2977)=0,"Check category",IF(COUNTIF(INDEX(Lists!$H$6:$AA$45,0,MATCH(C2977,Lists!$H$4:$AA$4,0)),D2977)=0,"Check sub-category","OK"))))</f>
        <v/>
      </c>
      <c r="P2977">
        <f>IF(ISNUMBER(I2977),I2977+ROW()/10000000,"")</f>
        <v/>
      </c>
      <c r="Q2977">
        <f>IF(AND(ISNUMBER(P2977),ISNUMBER(A2977)),IF(AND(A2977&gt;=Dashboard!$Q$3,A2977&lt;=Dashboard!$Q$4,OR(J2977&lt;&gt;"Yes",Dashboard!$Q$15="Yes")),P2977,""),"")</f>
        <v/>
      </c>
    </row>
    <row r="2978">
      <c r="A2978" s="47" t="n"/>
      <c r="B2978" s="48" t="n"/>
      <c r="C2978" s="48" t="n"/>
      <c r="D2978" s="48" t="n"/>
      <c r="E2978" s="48" t="n"/>
      <c r="F2978" s="48" t="n"/>
      <c r="G2978" s="48" t="n"/>
      <c r="H2978" s="48" t="n"/>
      <c r="I2978" s="49" t="n"/>
      <c r="J2978" s="50" t="n"/>
      <c r="K2978" s="48" t="n"/>
      <c r="L2978" s="51">
        <f>IF(A2978="","",DATE(YEAR(A2978),MONTH(A2978),1))</f>
        <v/>
      </c>
      <c r="M2978" s="52">
        <f>IF(OR(A2978="",NOT(ISNUMBER(I2978))),"",IF(G2978=Lists!$B$5,I2978/2,IF(G2978=Lists!$B$6,I2978,0)))</f>
        <v/>
      </c>
      <c r="N2978" s="52">
        <f>IF(OR(A2978="",NOT(ISNUMBER(I2978))),"",IF(G2978=Lists!$B$5,I2978/2,IF(G2978=Lists!$B$7,I2978,0)))</f>
        <v/>
      </c>
      <c r="O2978" s="53">
        <f>IF(COUNTA(A2978:K2978)=0,"",IF(OR(A2978="",B2978="",C2978="",D2978="",E2978="",F2978="",G2978="",NOT(ISNUMBER(I2978))),"Incomplete",IF(COUNTIF(Lists!$H$4:$AA$4,C2978)=0,"Check category",IF(COUNTIF(INDEX(Lists!$H$6:$AA$45,0,MATCH(C2978,Lists!$H$4:$AA$4,0)),D2978)=0,"Check sub-category","OK"))))</f>
        <v/>
      </c>
      <c r="P2978">
        <f>IF(ISNUMBER(I2978),I2978+ROW()/10000000,"")</f>
        <v/>
      </c>
      <c r="Q2978">
        <f>IF(AND(ISNUMBER(P2978),ISNUMBER(A2978)),IF(AND(A2978&gt;=Dashboard!$Q$3,A2978&lt;=Dashboard!$Q$4,OR(J2978&lt;&gt;"Yes",Dashboard!$Q$15="Yes")),P2978,""),"")</f>
        <v/>
      </c>
    </row>
    <row r="2979">
      <c r="A2979" s="47" t="n"/>
      <c r="B2979" s="48" t="n"/>
      <c r="C2979" s="48" t="n"/>
      <c r="D2979" s="48" t="n"/>
      <c r="E2979" s="48" t="n"/>
      <c r="F2979" s="48" t="n"/>
      <c r="G2979" s="48" t="n"/>
      <c r="H2979" s="48" t="n"/>
      <c r="I2979" s="49" t="n"/>
      <c r="J2979" s="50" t="n"/>
      <c r="K2979" s="48" t="n"/>
      <c r="L2979" s="51">
        <f>IF(A2979="","",DATE(YEAR(A2979),MONTH(A2979),1))</f>
        <v/>
      </c>
      <c r="M2979" s="52">
        <f>IF(OR(A2979="",NOT(ISNUMBER(I2979))),"",IF(G2979=Lists!$B$5,I2979/2,IF(G2979=Lists!$B$6,I2979,0)))</f>
        <v/>
      </c>
      <c r="N2979" s="52">
        <f>IF(OR(A2979="",NOT(ISNUMBER(I2979))),"",IF(G2979=Lists!$B$5,I2979/2,IF(G2979=Lists!$B$7,I2979,0)))</f>
        <v/>
      </c>
      <c r="O2979" s="53">
        <f>IF(COUNTA(A2979:K2979)=0,"",IF(OR(A2979="",B2979="",C2979="",D2979="",E2979="",F2979="",G2979="",NOT(ISNUMBER(I2979))),"Incomplete",IF(COUNTIF(Lists!$H$4:$AA$4,C2979)=0,"Check category",IF(COUNTIF(INDEX(Lists!$H$6:$AA$45,0,MATCH(C2979,Lists!$H$4:$AA$4,0)),D2979)=0,"Check sub-category","OK"))))</f>
        <v/>
      </c>
      <c r="P2979">
        <f>IF(ISNUMBER(I2979),I2979+ROW()/10000000,"")</f>
        <v/>
      </c>
      <c r="Q2979">
        <f>IF(AND(ISNUMBER(P2979),ISNUMBER(A2979)),IF(AND(A2979&gt;=Dashboard!$Q$3,A2979&lt;=Dashboard!$Q$4,OR(J2979&lt;&gt;"Yes",Dashboard!$Q$15="Yes")),P2979,""),"")</f>
        <v/>
      </c>
    </row>
    <row r="2980">
      <c r="A2980" s="47" t="n"/>
      <c r="B2980" s="48" t="n"/>
      <c r="C2980" s="48" t="n"/>
      <c r="D2980" s="48" t="n"/>
      <c r="E2980" s="48" t="n"/>
      <c r="F2980" s="48" t="n"/>
      <c r="G2980" s="48" t="n"/>
      <c r="H2980" s="48" t="n"/>
      <c r="I2980" s="49" t="n"/>
      <c r="J2980" s="50" t="n"/>
      <c r="K2980" s="48" t="n"/>
      <c r="L2980" s="51">
        <f>IF(A2980="","",DATE(YEAR(A2980),MONTH(A2980),1))</f>
        <v/>
      </c>
      <c r="M2980" s="52">
        <f>IF(OR(A2980="",NOT(ISNUMBER(I2980))),"",IF(G2980=Lists!$B$5,I2980/2,IF(G2980=Lists!$B$6,I2980,0)))</f>
        <v/>
      </c>
      <c r="N2980" s="52">
        <f>IF(OR(A2980="",NOT(ISNUMBER(I2980))),"",IF(G2980=Lists!$B$5,I2980/2,IF(G2980=Lists!$B$7,I2980,0)))</f>
        <v/>
      </c>
      <c r="O2980" s="53">
        <f>IF(COUNTA(A2980:K2980)=0,"",IF(OR(A2980="",B2980="",C2980="",D2980="",E2980="",F2980="",G2980="",NOT(ISNUMBER(I2980))),"Incomplete",IF(COUNTIF(Lists!$H$4:$AA$4,C2980)=0,"Check category",IF(COUNTIF(INDEX(Lists!$H$6:$AA$45,0,MATCH(C2980,Lists!$H$4:$AA$4,0)),D2980)=0,"Check sub-category","OK"))))</f>
        <v/>
      </c>
      <c r="P2980">
        <f>IF(ISNUMBER(I2980),I2980+ROW()/10000000,"")</f>
        <v/>
      </c>
      <c r="Q2980">
        <f>IF(AND(ISNUMBER(P2980),ISNUMBER(A2980)),IF(AND(A2980&gt;=Dashboard!$Q$3,A2980&lt;=Dashboard!$Q$4,OR(J2980&lt;&gt;"Yes",Dashboard!$Q$15="Yes")),P2980,""),"")</f>
        <v/>
      </c>
    </row>
    <row r="2981">
      <c r="A2981" s="47" t="n"/>
      <c r="B2981" s="48" t="n"/>
      <c r="C2981" s="48" t="n"/>
      <c r="D2981" s="48" t="n"/>
      <c r="E2981" s="48" t="n"/>
      <c r="F2981" s="48" t="n"/>
      <c r="G2981" s="48" t="n"/>
      <c r="H2981" s="48" t="n"/>
      <c r="I2981" s="49" t="n"/>
      <c r="J2981" s="50" t="n"/>
      <c r="K2981" s="48" t="n"/>
      <c r="L2981" s="51">
        <f>IF(A2981="","",DATE(YEAR(A2981),MONTH(A2981),1))</f>
        <v/>
      </c>
      <c r="M2981" s="52">
        <f>IF(OR(A2981="",NOT(ISNUMBER(I2981))),"",IF(G2981=Lists!$B$5,I2981/2,IF(G2981=Lists!$B$6,I2981,0)))</f>
        <v/>
      </c>
      <c r="N2981" s="52">
        <f>IF(OR(A2981="",NOT(ISNUMBER(I2981))),"",IF(G2981=Lists!$B$5,I2981/2,IF(G2981=Lists!$B$7,I2981,0)))</f>
        <v/>
      </c>
      <c r="O2981" s="53">
        <f>IF(COUNTA(A2981:K2981)=0,"",IF(OR(A2981="",B2981="",C2981="",D2981="",E2981="",F2981="",G2981="",NOT(ISNUMBER(I2981))),"Incomplete",IF(COUNTIF(Lists!$H$4:$AA$4,C2981)=0,"Check category",IF(COUNTIF(INDEX(Lists!$H$6:$AA$45,0,MATCH(C2981,Lists!$H$4:$AA$4,0)),D2981)=0,"Check sub-category","OK"))))</f>
        <v/>
      </c>
      <c r="P2981">
        <f>IF(ISNUMBER(I2981),I2981+ROW()/10000000,"")</f>
        <v/>
      </c>
      <c r="Q2981">
        <f>IF(AND(ISNUMBER(P2981),ISNUMBER(A2981)),IF(AND(A2981&gt;=Dashboard!$Q$3,A2981&lt;=Dashboard!$Q$4,OR(J2981&lt;&gt;"Yes",Dashboard!$Q$15="Yes")),P2981,""),"")</f>
        <v/>
      </c>
    </row>
    <row r="2982">
      <c r="A2982" s="47" t="n"/>
      <c r="B2982" s="48" t="n"/>
      <c r="C2982" s="48" t="n"/>
      <c r="D2982" s="48" t="n"/>
      <c r="E2982" s="48" t="n"/>
      <c r="F2982" s="48" t="n"/>
      <c r="G2982" s="48" t="n"/>
      <c r="H2982" s="48" t="n"/>
      <c r="I2982" s="49" t="n"/>
      <c r="J2982" s="50" t="n"/>
      <c r="K2982" s="48" t="n"/>
      <c r="L2982" s="51">
        <f>IF(A2982="","",DATE(YEAR(A2982),MONTH(A2982),1))</f>
        <v/>
      </c>
      <c r="M2982" s="52">
        <f>IF(OR(A2982="",NOT(ISNUMBER(I2982))),"",IF(G2982=Lists!$B$5,I2982/2,IF(G2982=Lists!$B$6,I2982,0)))</f>
        <v/>
      </c>
      <c r="N2982" s="52">
        <f>IF(OR(A2982="",NOT(ISNUMBER(I2982))),"",IF(G2982=Lists!$B$5,I2982/2,IF(G2982=Lists!$B$7,I2982,0)))</f>
        <v/>
      </c>
      <c r="O2982" s="53">
        <f>IF(COUNTA(A2982:K2982)=0,"",IF(OR(A2982="",B2982="",C2982="",D2982="",E2982="",F2982="",G2982="",NOT(ISNUMBER(I2982))),"Incomplete",IF(COUNTIF(Lists!$H$4:$AA$4,C2982)=0,"Check category",IF(COUNTIF(INDEX(Lists!$H$6:$AA$45,0,MATCH(C2982,Lists!$H$4:$AA$4,0)),D2982)=0,"Check sub-category","OK"))))</f>
        <v/>
      </c>
      <c r="P2982">
        <f>IF(ISNUMBER(I2982),I2982+ROW()/10000000,"")</f>
        <v/>
      </c>
      <c r="Q2982">
        <f>IF(AND(ISNUMBER(P2982),ISNUMBER(A2982)),IF(AND(A2982&gt;=Dashboard!$Q$3,A2982&lt;=Dashboard!$Q$4,OR(J2982&lt;&gt;"Yes",Dashboard!$Q$15="Yes")),P2982,""),"")</f>
        <v/>
      </c>
    </row>
    <row r="2983">
      <c r="A2983" s="47" t="n"/>
      <c r="B2983" s="48" t="n"/>
      <c r="C2983" s="48" t="n"/>
      <c r="D2983" s="48" t="n"/>
      <c r="E2983" s="48" t="n"/>
      <c r="F2983" s="48" t="n"/>
      <c r="G2983" s="48" t="n"/>
      <c r="H2983" s="48" t="n"/>
      <c r="I2983" s="49" t="n"/>
      <c r="J2983" s="50" t="n"/>
      <c r="K2983" s="48" t="n"/>
      <c r="L2983" s="51">
        <f>IF(A2983="","",DATE(YEAR(A2983),MONTH(A2983),1))</f>
        <v/>
      </c>
      <c r="M2983" s="52">
        <f>IF(OR(A2983="",NOT(ISNUMBER(I2983))),"",IF(G2983=Lists!$B$5,I2983/2,IF(G2983=Lists!$B$6,I2983,0)))</f>
        <v/>
      </c>
      <c r="N2983" s="52">
        <f>IF(OR(A2983="",NOT(ISNUMBER(I2983))),"",IF(G2983=Lists!$B$5,I2983/2,IF(G2983=Lists!$B$7,I2983,0)))</f>
        <v/>
      </c>
      <c r="O2983" s="53">
        <f>IF(COUNTA(A2983:K2983)=0,"",IF(OR(A2983="",B2983="",C2983="",D2983="",E2983="",F2983="",G2983="",NOT(ISNUMBER(I2983))),"Incomplete",IF(COUNTIF(Lists!$H$4:$AA$4,C2983)=0,"Check category",IF(COUNTIF(INDEX(Lists!$H$6:$AA$45,0,MATCH(C2983,Lists!$H$4:$AA$4,0)),D2983)=0,"Check sub-category","OK"))))</f>
        <v/>
      </c>
      <c r="P2983">
        <f>IF(ISNUMBER(I2983),I2983+ROW()/10000000,"")</f>
        <v/>
      </c>
      <c r="Q2983">
        <f>IF(AND(ISNUMBER(P2983),ISNUMBER(A2983)),IF(AND(A2983&gt;=Dashboard!$Q$3,A2983&lt;=Dashboard!$Q$4,OR(J2983&lt;&gt;"Yes",Dashboard!$Q$15="Yes")),P2983,""),"")</f>
        <v/>
      </c>
    </row>
    <row r="2984">
      <c r="A2984" s="47" t="n"/>
      <c r="B2984" s="48" t="n"/>
      <c r="C2984" s="48" t="n"/>
      <c r="D2984" s="48" t="n"/>
      <c r="E2984" s="48" t="n"/>
      <c r="F2984" s="48" t="n"/>
      <c r="G2984" s="48" t="n"/>
      <c r="H2984" s="48" t="n"/>
      <c r="I2984" s="49" t="n"/>
      <c r="J2984" s="50" t="n"/>
      <c r="K2984" s="48" t="n"/>
      <c r="L2984" s="51">
        <f>IF(A2984="","",DATE(YEAR(A2984),MONTH(A2984),1))</f>
        <v/>
      </c>
      <c r="M2984" s="52">
        <f>IF(OR(A2984="",NOT(ISNUMBER(I2984))),"",IF(G2984=Lists!$B$5,I2984/2,IF(G2984=Lists!$B$6,I2984,0)))</f>
        <v/>
      </c>
      <c r="N2984" s="52">
        <f>IF(OR(A2984="",NOT(ISNUMBER(I2984))),"",IF(G2984=Lists!$B$5,I2984/2,IF(G2984=Lists!$B$7,I2984,0)))</f>
        <v/>
      </c>
      <c r="O2984" s="53">
        <f>IF(COUNTA(A2984:K2984)=0,"",IF(OR(A2984="",B2984="",C2984="",D2984="",E2984="",F2984="",G2984="",NOT(ISNUMBER(I2984))),"Incomplete",IF(COUNTIF(Lists!$H$4:$AA$4,C2984)=0,"Check category",IF(COUNTIF(INDEX(Lists!$H$6:$AA$45,0,MATCH(C2984,Lists!$H$4:$AA$4,0)),D2984)=0,"Check sub-category","OK"))))</f>
        <v/>
      </c>
      <c r="P2984">
        <f>IF(ISNUMBER(I2984),I2984+ROW()/10000000,"")</f>
        <v/>
      </c>
      <c r="Q2984">
        <f>IF(AND(ISNUMBER(P2984),ISNUMBER(A2984)),IF(AND(A2984&gt;=Dashboard!$Q$3,A2984&lt;=Dashboard!$Q$4,OR(J2984&lt;&gt;"Yes",Dashboard!$Q$15="Yes")),P2984,""),"")</f>
        <v/>
      </c>
    </row>
    <row r="2985">
      <c r="A2985" s="47" t="n"/>
      <c r="B2985" s="48" t="n"/>
      <c r="C2985" s="48" t="n"/>
      <c r="D2985" s="48" t="n"/>
      <c r="E2985" s="48" t="n"/>
      <c r="F2985" s="48" t="n"/>
      <c r="G2985" s="48" t="n"/>
      <c r="H2985" s="48" t="n"/>
      <c r="I2985" s="49" t="n"/>
      <c r="J2985" s="50" t="n"/>
      <c r="K2985" s="48" t="n"/>
      <c r="L2985" s="51">
        <f>IF(A2985="","",DATE(YEAR(A2985),MONTH(A2985),1))</f>
        <v/>
      </c>
      <c r="M2985" s="52">
        <f>IF(OR(A2985="",NOT(ISNUMBER(I2985))),"",IF(G2985=Lists!$B$5,I2985/2,IF(G2985=Lists!$B$6,I2985,0)))</f>
        <v/>
      </c>
      <c r="N2985" s="52">
        <f>IF(OR(A2985="",NOT(ISNUMBER(I2985))),"",IF(G2985=Lists!$B$5,I2985/2,IF(G2985=Lists!$B$7,I2985,0)))</f>
        <v/>
      </c>
      <c r="O2985" s="53">
        <f>IF(COUNTA(A2985:K2985)=0,"",IF(OR(A2985="",B2985="",C2985="",D2985="",E2985="",F2985="",G2985="",NOT(ISNUMBER(I2985))),"Incomplete",IF(COUNTIF(Lists!$H$4:$AA$4,C2985)=0,"Check category",IF(COUNTIF(INDEX(Lists!$H$6:$AA$45,0,MATCH(C2985,Lists!$H$4:$AA$4,0)),D2985)=0,"Check sub-category","OK"))))</f>
        <v/>
      </c>
      <c r="P2985">
        <f>IF(ISNUMBER(I2985),I2985+ROW()/10000000,"")</f>
        <v/>
      </c>
      <c r="Q2985">
        <f>IF(AND(ISNUMBER(P2985),ISNUMBER(A2985)),IF(AND(A2985&gt;=Dashboard!$Q$3,A2985&lt;=Dashboard!$Q$4,OR(J2985&lt;&gt;"Yes",Dashboard!$Q$15="Yes")),P2985,""),"")</f>
        <v/>
      </c>
    </row>
    <row r="2986">
      <c r="A2986" s="47" t="n"/>
      <c r="B2986" s="48" t="n"/>
      <c r="C2986" s="48" t="n"/>
      <c r="D2986" s="48" t="n"/>
      <c r="E2986" s="48" t="n"/>
      <c r="F2986" s="48" t="n"/>
      <c r="G2986" s="48" t="n"/>
      <c r="H2986" s="48" t="n"/>
      <c r="I2986" s="49" t="n"/>
      <c r="J2986" s="50" t="n"/>
      <c r="K2986" s="48" t="n"/>
      <c r="L2986" s="51">
        <f>IF(A2986="","",DATE(YEAR(A2986),MONTH(A2986),1))</f>
        <v/>
      </c>
      <c r="M2986" s="52">
        <f>IF(OR(A2986="",NOT(ISNUMBER(I2986))),"",IF(G2986=Lists!$B$5,I2986/2,IF(G2986=Lists!$B$6,I2986,0)))</f>
        <v/>
      </c>
      <c r="N2986" s="52">
        <f>IF(OR(A2986="",NOT(ISNUMBER(I2986))),"",IF(G2986=Lists!$B$5,I2986/2,IF(G2986=Lists!$B$7,I2986,0)))</f>
        <v/>
      </c>
      <c r="O2986" s="53">
        <f>IF(COUNTA(A2986:K2986)=0,"",IF(OR(A2986="",B2986="",C2986="",D2986="",E2986="",F2986="",G2986="",NOT(ISNUMBER(I2986))),"Incomplete",IF(COUNTIF(Lists!$H$4:$AA$4,C2986)=0,"Check category",IF(COUNTIF(INDEX(Lists!$H$6:$AA$45,0,MATCH(C2986,Lists!$H$4:$AA$4,0)),D2986)=0,"Check sub-category","OK"))))</f>
        <v/>
      </c>
      <c r="P2986">
        <f>IF(ISNUMBER(I2986),I2986+ROW()/10000000,"")</f>
        <v/>
      </c>
      <c r="Q2986">
        <f>IF(AND(ISNUMBER(P2986),ISNUMBER(A2986)),IF(AND(A2986&gt;=Dashboard!$Q$3,A2986&lt;=Dashboard!$Q$4,OR(J2986&lt;&gt;"Yes",Dashboard!$Q$15="Yes")),P2986,""),"")</f>
        <v/>
      </c>
    </row>
    <row r="2987">
      <c r="A2987" s="47" t="n"/>
      <c r="B2987" s="48" t="n"/>
      <c r="C2987" s="48" t="n"/>
      <c r="D2987" s="48" t="n"/>
      <c r="E2987" s="48" t="n"/>
      <c r="F2987" s="48" t="n"/>
      <c r="G2987" s="48" t="n"/>
      <c r="H2987" s="48" t="n"/>
      <c r="I2987" s="49" t="n"/>
      <c r="J2987" s="50" t="n"/>
      <c r="K2987" s="48" t="n"/>
      <c r="L2987" s="51">
        <f>IF(A2987="","",DATE(YEAR(A2987),MONTH(A2987),1))</f>
        <v/>
      </c>
      <c r="M2987" s="52">
        <f>IF(OR(A2987="",NOT(ISNUMBER(I2987))),"",IF(G2987=Lists!$B$5,I2987/2,IF(G2987=Lists!$B$6,I2987,0)))</f>
        <v/>
      </c>
      <c r="N2987" s="52">
        <f>IF(OR(A2987="",NOT(ISNUMBER(I2987))),"",IF(G2987=Lists!$B$5,I2987/2,IF(G2987=Lists!$B$7,I2987,0)))</f>
        <v/>
      </c>
      <c r="O2987" s="53">
        <f>IF(COUNTA(A2987:K2987)=0,"",IF(OR(A2987="",B2987="",C2987="",D2987="",E2987="",F2987="",G2987="",NOT(ISNUMBER(I2987))),"Incomplete",IF(COUNTIF(Lists!$H$4:$AA$4,C2987)=0,"Check category",IF(COUNTIF(INDEX(Lists!$H$6:$AA$45,0,MATCH(C2987,Lists!$H$4:$AA$4,0)),D2987)=0,"Check sub-category","OK"))))</f>
        <v/>
      </c>
      <c r="P2987">
        <f>IF(ISNUMBER(I2987),I2987+ROW()/10000000,"")</f>
        <v/>
      </c>
      <c r="Q2987">
        <f>IF(AND(ISNUMBER(P2987),ISNUMBER(A2987)),IF(AND(A2987&gt;=Dashboard!$Q$3,A2987&lt;=Dashboard!$Q$4,OR(J2987&lt;&gt;"Yes",Dashboard!$Q$15="Yes")),P2987,""),"")</f>
        <v/>
      </c>
    </row>
    <row r="2988">
      <c r="A2988" s="47" t="n"/>
      <c r="B2988" s="48" t="n"/>
      <c r="C2988" s="48" t="n"/>
      <c r="D2988" s="48" t="n"/>
      <c r="E2988" s="48" t="n"/>
      <c r="F2988" s="48" t="n"/>
      <c r="G2988" s="48" t="n"/>
      <c r="H2988" s="48" t="n"/>
      <c r="I2988" s="49" t="n"/>
      <c r="J2988" s="50" t="n"/>
      <c r="K2988" s="48" t="n"/>
      <c r="L2988" s="51">
        <f>IF(A2988="","",DATE(YEAR(A2988),MONTH(A2988),1))</f>
        <v/>
      </c>
      <c r="M2988" s="52">
        <f>IF(OR(A2988="",NOT(ISNUMBER(I2988))),"",IF(G2988=Lists!$B$5,I2988/2,IF(G2988=Lists!$B$6,I2988,0)))</f>
        <v/>
      </c>
      <c r="N2988" s="52">
        <f>IF(OR(A2988="",NOT(ISNUMBER(I2988))),"",IF(G2988=Lists!$B$5,I2988/2,IF(G2988=Lists!$B$7,I2988,0)))</f>
        <v/>
      </c>
      <c r="O2988" s="53">
        <f>IF(COUNTA(A2988:K2988)=0,"",IF(OR(A2988="",B2988="",C2988="",D2988="",E2988="",F2988="",G2988="",NOT(ISNUMBER(I2988))),"Incomplete",IF(COUNTIF(Lists!$H$4:$AA$4,C2988)=0,"Check category",IF(COUNTIF(INDEX(Lists!$H$6:$AA$45,0,MATCH(C2988,Lists!$H$4:$AA$4,0)),D2988)=0,"Check sub-category","OK"))))</f>
        <v/>
      </c>
      <c r="P2988">
        <f>IF(ISNUMBER(I2988),I2988+ROW()/10000000,"")</f>
        <v/>
      </c>
      <c r="Q2988">
        <f>IF(AND(ISNUMBER(P2988),ISNUMBER(A2988)),IF(AND(A2988&gt;=Dashboard!$Q$3,A2988&lt;=Dashboard!$Q$4,OR(J2988&lt;&gt;"Yes",Dashboard!$Q$15="Yes")),P2988,""),"")</f>
        <v/>
      </c>
    </row>
    <row r="2989">
      <c r="A2989" s="47" t="n"/>
      <c r="B2989" s="48" t="n"/>
      <c r="C2989" s="48" t="n"/>
      <c r="D2989" s="48" t="n"/>
      <c r="E2989" s="48" t="n"/>
      <c r="F2989" s="48" t="n"/>
      <c r="G2989" s="48" t="n"/>
      <c r="H2989" s="48" t="n"/>
      <c r="I2989" s="49" t="n"/>
      <c r="J2989" s="50" t="n"/>
      <c r="K2989" s="48" t="n"/>
      <c r="L2989" s="51">
        <f>IF(A2989="","",DATE(YEAR(A2989),MONTH(A2989),1))</f>
        <v/>
      </c>
      <c r="M2989" s="52">
        <f>IF(OR(A2989="",NOT(ISNUMBER(I2989))),"",IF(G2989=Lists!$B$5,I2989/2,IF(G2989=Lists!$B$6,I2989,0)))</f>
        <v/>
      </c>
      <c r="N2989" s="52">
        <f>IF(OR(A2989="",NOT(ISNUMBER(I2989))),"",IF(G2989=Lists!$B$5,I2989/2,IF(G2989=Lists!$B$7,I2989,0)))</f>
        <v/>
      </c>
      <c r="O2989" s="53">
        <f>IF(COUNTA(A2989:K2989)=0,"",IF(OR(A2989="",B2989="",C2989="",D2989="",E2989="",F2989="",G2989="",NOT(ISNUMBER(I2989))),"Incomplete",IF(COUNTIF(Lists!$H$4:$AA$4,C2989)=0,"Check category",IF(COUNTIF(INDEX(Lists!$H$6:$AA$45,0,MATCH(C2989,Lists!$H$4:$AA$4,0)),D2989)=0,"Check sub-category","OK"))))</f>
        <v/>
      </c>
      <c r="P2989">
        <f>IF(ISNUMBER(I2989),I2989+ROW()/10000000,"")</f>
        <v/>
      </c>
      <c r="Q2989">
        <f>IF(AND(ISNUMBER(P2989),ISNUMBER(A2989)),IF(AND(A2989&gt;=Dashboard!$Q$3,A2989&lt;=Dashboard!$Q$4,OR(J2989&lt;&gt;"Yes",Dashboard!$Q$15="Yes")),P2989,""),"")</f>
        <v/>
      </c>
    </row>
    <row r="2990">
      <c r="A2990" s="47" t="n"/>
      <c r="B2990" s="48" t="n"/>
      <c r="C2990" s="48" t="n"/>
      <c r="D2990" s="48" t="n"/>
      <c r="E2990" s="48" t="n"/>
      <c r="F2990" s="48" t="n"/>
      <c r="G2990" s="48" t="n"/>
      <c r="H2990" s="48" t="n"/>
      <c r="I2990" s="49" t="n"/>
      <c r="J2990" s="50" t="n"/>
      <c r="K2990" s="48" t="n"/>
      <c r="L2990" s="51">
        <f>IF(A2990="","",DATE(YEAR(A2990),MONTH(A2990),1))</f>
        <v/>
      </c>
      <c r="M2990" s="52">
        <f>IF(OR(A2990="",NOT(ISNUMBER(I2990))),"",IF(G2990=Lists!$B$5,I2990/2,IF(G2990=Lists!$B$6,I2990,0)))</f>
        <v/>
      </c>
      <c r="N2990" s="52">
        <f>IF(OR(A2990="",NOT(ISNUMBER(I2990))),"",IF(G2990=Lists!$B$5,I2990/2,IF(G2990=Lists!$B$7,I2990,0)))</f>
        <v/>
      </c>
      <c r="O2990" s="53">
        <f>IF(COUNTA(A2990:K2990)=0,"",IF(OR(A2990="",B2990="",C2990="",D2990="",E2990="",F2990="",G2990="",NOT(ISNUMBER(I2990))),"Incomplete",IF(COUNTIF(Lists!$H$4:$AA$4,C2990)=0,"Check category",IF(COUNTIF(INDEX(Lists!$H$6:$AA$45,0,MATCH(C2990,Lists!$H$4:$AA$4,0)),D2990)=0,"Check sub-category","OK"))))</f>
        <v/>
      </c>
      <c r="P2990">
        <f>IF(ISNUMBER(I2990),I2990+ROW()/10000000,"")</f>
        <v/>
      </c>
      <c r="Q2990">
        <f>IF(AND(ISNUMBER(P2990),ISNUMBER(A2990)),IF(AND(A2990&gt;=Dashboard!$Q$3,A2990&lt;=Dashboard!$Q$4,OR(J2990&lt;&gt;"Yes",Dashboard!$Q$15="Yes")),P2990,""),"")</f>
        <v/>
      </c>
    </row>
    <row r="2991">
      <c r="A2991" s="47" t="n"/>
      <c r="B2991" s="48" t="n"/>
      <c r="C2991" s="48" t="n"/>
      <c r="D2991" s="48" t="n"/>
      <c r="E2991" s="48" t="n"/>
      <c r="F2991" s="48" t="n"/>
      <c r="G2991" s="48" t="n"/>
      <c r="H2991" s="48" t="n"/>
      <c r="I2991" s="49" t="n"/>
      <c r="J2991" s="50" t="n"/>
      <c r="K2991" s="48" t="n"/>
      <c r="L2991" s="51">
        <f>IF(A2991="","",DATE(YEAR(A2991),MONTH(A2991),1))</f>
        <v/>
      </c>
      <c r="M2991" s="52">
        <f>IF(OR(A2991="",NOT(ISNUMBER(I2991))),"",IF(G2991=Lists!$B$5,I2991/2,IF(G2991=Lists!$B$6,I2991,0)))</f>
        <v/>
      </c>
      <c r="N2991" s="52">
        <f>IF(OR(A2991="",NOT(ISNUMBER(I2991))),"",IF(G2991=Lists!$B$5,I2991/2,IF(G2991=Lists!$B$7,I2991,0)))</f>
        <v/>
      </c>
      <c r="O2991" s="53">
        <f>IF(COUNTA(A2991:K2991)=0,"",IF(OR(A2991="",B2991="",C2991="",D2991="",E2991="",F2991="",G2991="",NOT(ISNUMBER(I2991))),"Incomplete",IF(COUNTIF(Lists!$H$4:$AA$4,C2991)=0,"Check category",IF(COUNTIF(INDEX(Lists!$H$6:$AA$45,0,MATCH(C2991,Lists!$H$4:$AA$4,0)),D2991)=0,"Check sub-category","OK"))))</f>
        <v/>
      </c>
      <c r="P2991">
        <f>IF(ISNUMBER(I2991),I2991+ROW()/10000000,"")</f>
        <v/>
      </c>
      <c r="Q2991">
        <f>IF(AND(ISNUMBER(P2991),ISNUMBER(A2991)),IF(AND(A2991&gt;=Dashboard!$Q$3,A2991&lt;=Dashboard!$Q$4,OR(J2991&lt;&gt;"Yes",Dashboard!$Q$15="Yes")),P2991,""),"")</f>
        <v/>
      </c>
    </row>
    <row r="2992">
      <c r="A2992" s="47" t="n"/>
      <c r="B2992" s="48" t="n"/>
      <c r="C2992" s="48" t="n"/>
      <c r="D2992" s="48" t="n"/>
      <c r="E2992" s="48" t="n"/>
      <c r="F2992" s="48" t="n"/>
      <c r="G2992" s="48" t="n"/>
      <c r="H2992" s="48" t="n"/>
      <c r="I2992" s="49" t="n"/>
      <c r="J2992" s="50" t="n"/>
      <c r="K2992" s="48" t="n"/>
      <c r="L2992" s="51">
        <f>IF(A2992="","",DATE(YEAR(A2992),MONTH(A2992),1))</f>
        <v/>
      </c>
      <c r="M2992" s="52">
        <f>IF(OR(A2992="",NOT(ISNUMBER(I2992))),"",IF(G2992=Lists!$B$5,I2992/2,IF(G2992=Lists!$B$6,I2992,0)))</f>
        <v/>
      </c>
      <c r="N2992" s="52">
        <f>IF(OR(A2992="",NOT(ISNUMBER(I2992))),"",IF(G2992=Lists!$B$5,I2992/2,IF(G2992=Lists!$B$7,I2992,0)))</f>
        <v/>
      </c>
      <c r="O2992" s="53">
        <f>IF(COUNTA(A2992:K2992)=0,"",IF(OR(A2992="",B2992="",C2992="",D2992="",E2992="",F2992="",G2992="",NOT(ISNUMBER(I2992))),"Incomplete",IF(COUNTIF(Lists!$H$4:$AA$4,C2992)=0,"Check category",IF(COUNTIF(INDEX(Lists!$H$6:$AA$45,0,MATCH(C2992,Lists!$H$4:$AA$4,0)),D2992)=0,"Check sub-category","OK"))))</f>
        <v/>
      </c>
      <c r="P2992">
        <f>IF(ISNUMBER(I2992),I2992+ROW()/10000000,"")</f>
        <v/>
      </c>
      <c r="Q2992">
        <f>IF(AND(ISNUMBER(P2992),ISNUMBER(A2992)),IF(AND(A2992&gt;=Dashboard!$Q$3,A2992&lt;=Dashboard!$Q$4,OR(J2992&lt;&gt;"Yes",Dashboard!$Q$15="Yes")),P2992,""),"")</f>
        <v/>
      </c>
    </row>
    <row r="2993">
      <c r="A2993" s="47" t="n"/>
      <c r="B2993" s="48" t="n"/>
      <c r="C2993" s="48" t="n"/>
      <c r="D2993" s="48" t="n"/>
      <c r="E2993" s="48" t="n"/>
      <c r="F2993" s="48" t="n"/>
      <c r="G2993" s="48" t="n"/>
      <c r="H2993" s="48" t="n"/>
      <c r="I2993" s="49" t="n"/>
      <c r="J2993" s="50" t="n"/>
      <c r="K2993" s="48" t="n"/>
      <c r="L2993" s="51">
        <f>IF(A2993="","",DATE(YEAR(A2993),MONTH(A2993),1))</f>
        <v/>
      </c>
      <c r="M2993" s="52">
        <f>IF(OR(A2993="",NOT(ISNUMBER(I2993))),"",IF(G2993=Lists!$B$5,I2993/2,IF(G2993=Lists!$B$6,I2993,0)))</f>
        <v/>
      </c>
      <c r="N2993" s="52">
        <f>IF(OR(A2993="",NOT(ISNUMBER(I2993))),"",IF(G2993=Lists!$B$5,I2993/2,IF(G2993=Lists!$B$7,I2993,0)))</f>
        <v/>
      </c>
      <c r="O2993" s="53">
        <f>IF(COUNTA(A2993:K2993)=0,"",IF(OR(A2993="",B2993="",C2993="",D2993="",E2993="",F2993="",G2993="",NOT(ISNUMBER(I2993))),"Incomplete",IF(COUNTIF(Lists!$H$4:$AA$4,C2993)=0,"Check category",IF(COUNTIF(INDEX(Lists!$H$6:$AA$45,0,MATCH(C2993,Lists!$H$4:$AA$4,0)),D2993)=0,"Check sub-category","OK"))))</f>
        <v/>
      </c>
      <c r="P2993">
        <f>IF(ISNUMBER(I2993),I2993+ROW()/10000000,"")</f>
        <v/>
      </c>
      <c r="Q2993">
        <f>IF(AND(ISNUMBER(P2993),ISNUMBER(A2993)),IF(AND(A2993&gt;=Dashboard!$Q$3,A2993&lt;=Dashboard!$Q$4,OR(J2993&lt;&gt;"Yes",Dashboard!$Q$15="Yes")),P2993,""),"")</f>
        <v/>
      </c>
    </row>
    <row r="2994">
      <c r="A2994" s="47" t="n"/>
      <c r="B2994" s="48" t="n"/>
      <c r="C2994" s="48" t="n"/>
      <c r="D2994" s="48" t="n"/>
      <c r="E2994" s="48" t="n"/>
      <c r="F2994" s="48" t="n"/>
      <c r="G2994" s="48" t="n"/>
      <c r="H2994" s="48" t="n"/>
      <c r="I2994" s="49" t="n"/>
      <c r="J2994" s="50" t="n"/>
      <c r="K2994" s="48" t="n"/>
      <c r="L2994" s="51">
        <f>IF(A2994="","",DATE(YEAR(A2994),MONTH(A2994),1))</f>
        <v/>
      </c>
      <c r="M2994" s="52">
        <f>IF(OR(A2994="",NOT(ISNUMBER(I2994))),"",IF(G2994=Lists!$B$5,I2994/2,IF(G2994=Lists!$B$6,I2994,0)))</f>
        <v/>
      </c>
      <c r="N2994" s="52">
        <f>IF(OR(A2994="",NOT(ISNUMBER(I2994))),"",IF(G2994=Lists!$B$5,I2994/2,IF(G2994=Lists!$B$7,I2994,0)))</f>
        <v/>
      </c>
      <c r="O2994" s="53">
        <f>IF(COUNTA(A2994:K2994)=0,"",IF(OR(A2994="",B2994="",C2994="",D2994="",E2994="",F2994="",G2994="",NOT(ISNUMBER(I2994))),"Incomplete",IF(COUNTIF(Lists!$H$4:$AA$4,C2994)=0,"Check category",IF(COUNTIF(INDEX(Lists!$H$6:$AA$45,0,MATCH(C2994,Lists!$H$4:$AA$4,0)),D2994)=0,"Check sub-category","OK"))))</f>
        <v/>
      </c>
      <c r="P2994">
        <f>IF(ISNUMBER(I2994),I2994+ROW()/10000000,"")</f>
        <v/>
      </c>
      <c r="Q2994">
        <f>IF(AND(ISNUMBER(P2994),ISNUMBER(A2994)),IF(AND(A2994&gt;=Dashboard!$Q$3,A2994&lt;=Dashboard!$Q$4,OR(J2994&lt;&gt;"Yes",Dashboard!$Q$15="Yes")),P2994,""),"")</f>
        <v/>
      </c>
    </row>
    <row r="2995">
      <c r="A2995" s="47" t="n"/>
      <c r="B2995" s="48" t="n"/>
      <c r="C2995" s="48" t="n"/>
      <c r="D2995" s="48" t="n"/>
      <c r="E2995" s="48" t="n"/>
      <c r="F2995" s="48" t="n"/>
      <c r="G2995" s="48" t="n"/>
      <c r="H2995" s="48" t="n"/>
      <c r="I2995" s="49" t="n"/>
      <c r="J2995" s="50" t="n"/>
      <c r="K2995" s="48" t="n"/>
      <c r="L2995" s="51">
        <f>IF(A2995="","",DATE(YEAR(A2995),MONTH(A2995),1))</f>
        <v/>
      </c>
      <c r="M2995" s="52">
        <f>IF(OR(A2995="",NOT(ISNUMBER(I2995))),"",IF(G2995=Lists!$B$5,I2995/2,IF(G2995=Lists!$B$6,I2995,0)))</f>
        <v/>
      </c>
      <c r="N2995" s="52">
        <f>IF(OR(A2995="",NOT(ISNUMBER(I2995))),"",IF(G2995=Lists!$B$5,I2995/2,IF(G2995=Lists!$B$7,I2995,0)))</f>
        <v/>
      </c>
      <c r="O2995" s="53">
        <f>IF(COUNTA(A2995:K2995)=0,"",IF(OR(A2995="",B2995="",C2995="",D2995="",E2995="",F2995="",G2995="",NOT(ISNUMBER(I2995))),"Incomplete",IF(COUNTIF(Lists!$H$4:$AA$4,C2995)=0,"Check category",IF(COUNTIF(INDEX(Lists!$H$6:$AA$45,0,MATCH(C2995,Lists!$H$4:$AA$4,0)),D2995)=0,"Check sub-category","OK"))))</f>
        <v/>
      </c>
      <c r="P2995">
        <f>IF(ISNUMBER(I2995),I2995+ROW()/10000000,"")</f>
        <v/>
      </c>
      <c r="Q2995">
        <f>IF(AND(ISNUMBER(P2995),ISNUMBER(A2995)),IF(AND(A2995&gt;=Dashboard!$Q$3,A2995&lt;=Dashboard!$Q$4,OR(J2995&lt;&gt;"Yes",Dashboard!$Q$15="Yes")),P2995,""),"")</f>
        <v/>
      </c>
    </row>
    <row r="2996">
      <c r="A2996" s="47" t="n"/>
      <c r="B2996" s="48" t="n"/>
      <c r="C2996" s="48" t="n"/>
      <c r="D2996" s="48" t="n"/>
      <c r="E2996" s="48" t="n"/>
      <c r="F2996" s="48" t="n"/>
      <c r="G2996" s="48" t="n"/>
      <c r="H2996" s="48" t="n"/>
      <c r="I2996" s="49" t="n"/>
      <c r="J2996" s="50" t="n"/>
      <c r="K2996" s="48" t="n"/>
      <c r="L2996" s="51">
        <f>IF(A2996="","",DATE(YEAR(A2996),MONTH(A2996),1))</f>
        <v/>
      </c>
      <c r="M2996" s="52">
        <f>IF(OR(A2996="",NOT(ISNUMBER(I2996))),"",IF(G2996=Lists!$B$5,I2996/2,IF(G2996=Lists!$B$6,I2996,0)))</f>
        <v/>
      </c>
      <c r="N2996" s="52">
        <f>IF(OR(A2996="",NOT(ISNUMBER(I2996))),"",IF(G2996=Lists!$B$5,I2996/2,IF(G2996=Lists!$B$7,I2996,0)))</f>
        <v/>
      </c>
      <c r="O2996" s="53">
        <f>IF(COUNTA(A2996:K2996)=0,"",IF(OR(A2996="",B2996="",C2996="",D2996="",E2996="",F2996="",G2996="",NOT(ISNUMBER(I2996))),"Incomplete",IF(COUNTIF(Lists!$H$4:$AA$4,C2996)=0,"Check category",IF(COUNTIF(INDEX(Lists!$H$6:$AA$45,0,MATCH(C2996,Lists!$H$4:$AA$4,0)),D2996)=0,"Check sub-category","OK"))))</f>
        <v/>
      </c>
      <c r="P2996">
        <f>IF(ISNUMBER(I2996),I2996+ROW()/10000000,"")</f>
        <v/>
      </c>
      <c r="Q2996">
        <f>IF(AND(ISNUMBER(P2996),ISNUMBER(A2996)),IF(AND(A2996&gt;=Dashboard!$Q$3,A2996&lt;=Dashboard!$Q$4,OR(J2996&lt;&gt;"Yes",Dashboard!$Q$15="Yes")),P2996,""),"")</f>
        <v/>
      </c>
    </row>
    <row r="2997">
      <c r="A2997" s="47" t="n"/>
      <c r="B2997" s="48" t="n"/>
      <c r="C2997" s="48" t="n"/>
      <c r="D2997" s="48" t="n"/>
      <c r="E2997" s="48" t="n"/>
      <c r="F2997" s="48" t="n"/>
      <c r="G2997" s="48" t="n"/>
      <c r="H2997" s="48" t="n"/>
      <c r="I2997" s="49" t="n"/>
      <c r="J2997" s="50" t="n"/>
      <c r="K2997" s="48" t="n"/>
      <c r="L2997" s="51">
        <f>IF(A2997="","",DATE(YEAR(A2997),MONTH(A2997),1))</f>
        <v/>
      </c>
      <c r="M2997" s="52">
        <f>IF(OR(A2997="",NOT(ISNUMBER(I2997))),"",IF(G2997=Lists!$B$5,I2997/2,IF(G2997=Lists!$B$6,I2997,0)))</f>
        <v/>
      </c>
      <c r="N2997" s="52">
        <f>IF(OR(A2997="",NOT(ISNUMBER(I2997))),"",IF(G2997=Lists!$B$5,I2997/2,IF(G2997=Lists!$B$7,I2997,0)))</f>
        <v/>
      </c>
      <c r="O2997" s="53">
        <f>IF(COUNTA(A2997:K2997)=0,"",IF(OR(A2997="",B2997="",C2997="",D2997="",E2997="",F2997="",G2997="",NOT(ISNUMBER(I2997))),"Incomplete",IF(COUNTIF(Lists!$H$4:$AA$4,C2997)=0,"Check category",IF(COUNTIF(INDEX(Lists!$H$6:$AA$45,0,MATCH(C2997,Lists!$H$4:$AA$4,0)),D2997)=0,"Check sub-category","OK"))))</f>
        <v/>
      </c>
      <c r="P2997">
        <f>IF(ISNUMBER(I2997),I2997+ROW()/10000000,"")</f>
        <v/>
      </c>
      <c r="Q2997">
        <f>IF(AND(ISNUMBER(P2997),ISNUMBER(A2997)),IF(AND(A2997&gt;=Dashboard!$Q$3,A2997&lt;=Dashboard!$Q$4,OR(J2997&lt;&gt;"Yes",Dashboard!$Q$15="Yes")),P2997,""),"")</f>
        <v/>
      </c>
    </row>
    <row r="2998">
      <c r="A2998" s="47" t="n"/>
      <c r="B2998" s="48" t="n"/>
      <c r="C2998" s="48" t="n"/>
      <c r="D2998" s="48" t="n"/>
      <c r="E2998" s="48" t="n"/>
      <c r="F2998" s="48" t="n"/>
      <c r="G2998" s="48" t="n"/>
      <c r="H2998" s="48" t="n"/>
      <c r="I2998" s="49" t="n"/>
      <c r="J2998" s="50" t="n"/>
      <c r="K2998" s="48" t="n"/>
      <c r="L2998" s="51">
        <f>IF(A2998="","",DATE(YEAR(A2998),MONTH(A2998),1))</f>
        <v/>
      </c>
      <c r="M2998" s="52">
        <f>IF(OR(A2998="",NOT(ISNUMBER(I2998))),"",IF(G2998=Lists!$B$5,I2998/2,IF(G2998=Lists!$B$6,I2998,0)))</f>
        <v/>
      </c>
      <c r="N2998" s="52">
        <f>IF(OR(A2998="",NOT(ISNUMBER(I2998))),"",IF(G2998=Lists!$B$5,I2998/2,IF(G2998=Lists!$B$7,I2998,0)))</f>
        <v/>
      </c>
      <c r="O2998" s="53">
        <f>IF(COUNTA(A2998:K2998)=0,"",IF(OR(A2998="",B2998="",C2998="",D2998="",E2998="",F2998="",G2998="",NOT(ISNUMBER(I2998))),"Incomplete",IF(COUNTIF(Lists!$H$4:$AA$4,C2998)=0,"Check category",IF(COUNTIF(INDEX(Lists!$H$6:$AA$45,0,MATCH(C2998,Lists!$H$4:$AA$4,0)),D2998)=0,"Check sub-category","OK"))))</f>
        <v/>
      </c>
      <c r="P2998">
        <f>IF(ISNUMBER(I2998),I2998+ROW()/10000000,"")</f>
        <v/>
      </c>
      <c r="Q2998">
        <f>IF(AND(ISNUMBER(P2998),ISNUMBER(A2998)),IF(AND(A2998&gt;=Dashboard!$Q$3,A2998&lt;=Dashboard!$Q$4,OR(J2998&lt;&gt;"Yes",Dashboard!$Q$15="Yes")),P2998,""),"")</f>
        <v/>
      </c>
    </row>
    <row r="2999">
      <c r="A2999" s="47" t="n"/>
      <c r="B2999" s="48" t="n"/>
      <c r="C2999" s="48" t="n"/>
      <c r="D2999" s="48" t="n"/>
      <c r="E2999" s="48" t="n"/>
      <c r="F2999" s="48" t="n"/>
      <c r="G2999" s="48" t="n"/>
      <c r="H2999" s="48" t="n"/>
      <c r="I2999" s="49" t="n"/>
      <c r="J2999" s="50" t="n"/>
      <c r="K2999" s="48" t="n"/>
      <c r="L2999" s="51">
        <f>IF(A2999="","",DATE(YEAR(A2999),MONTH(A2999),1))</f>
        <v/>
      </c>
      <c r="M2999" s="52">
        <f>IF(OR(A2999="",NOT(ISNUMBER(I2999))),"",IF(G2999=Lists!$B$5,I2999/2,IF(G2999=Lists!$B$6,I2999,0)))</f>
        <v/>
      </c>
      <c r="N2999" s="52">
        <f>IF(OR(A2999="",NOT(ISNUMBER(I2999))),"",IF(G2999=Lists!$B$5,I2999/2,IF(G2999=Lists!$B$7,I2999,0)))</f>
        <v/>
      </c>
      <c r="O2999" s="53">
        <f>IF(COUNTA(A2999:K2999)=0,"",IF(OR(A2999="",B2999="",C2999="",D2999="",E2999="",F2999="",G2999="",NOT(ISNUMBER(I2999))),"Incomplete",IF(COUNTIF(Lists!$H$4:$AA$4,C2999)=0,"Check category",IF(COUNTIF(INDEX(Lists!$H$6:$AA$45,0,MATCH(C2999,Lists!$H$4:$AA$4,0)),D2999)=0,"Check sub-category","OK"))))</f>
        <v/>
      </c>
      <c r="P2999">
        <f>IF(ISNUMBER(I2999),I2999+ROW()/10000000,"")</f>
        <v/>
      </c>
      <c r="Q2999">
        <f>IF(AND(ISNUMBER(P2999),ISNUMBER(A2999)),IF(AND(A2999&gt;=Dashboard!$Q$3,A2999&lt;=Dashboard!$Q$4,OR(J2999&lt;&gt;"Yes",Dashboard!$Q$15="Yes")),P2999,""),"")</f>
        <v/>
      </c>
    </row>
    <row r="3000">
      <c r="A3000" s="47" t="n"/>
      <c r="B3000" s="48" t="n"/>
      <c r="C3000" s="48" t="n"/>
      <c r="D3000" s="48" t="n"/>
      <c r="E3000" s="48" t="n"/>
      <c r="F3000" s="48" t="n"/>
      <c r="G3000" s="48" t="n"/>
      <c r="H3000" s="48" t="n"/>
      <c r="I3000" s="49" t="n"/>
      <c r="J3000" s="50" t="n"/>
      <c r="K3000" s="48" t="n"/>
      <c r="L3000" s="51">
        <f>IF(A3000="","",DATE(YEAR(A3000),MONTH(A3000),1))</f>
        <v/>
      </c>
      <c r="M3000" s="52">
        <f>IF(OR(A3000="",NOT(ISNUMBER(I3000))),"",IF(G3000=Lists!$B$5,I3000/2,IF(G3000=Lists!$B$6,I3000,0)))</f>
        <v/>
      </c>
      <c r="N3000" s="52">
        <f>IF(OR(A3000="",NOT(ISNUMBER(I3000))),"",IF(G3000=Lists!$B$5,I3000/2,IF(G3000=Lists!$B$7,I3000,0)))</f>
        <v/>
      </c>
      <c r="O3000" s="53">
        <f>IF(COUNTA(A3000:K3000)=0,"",IF(OR(A3000="",B3000="",C3000="",D3000="",E3000="",F3000="",G3000="",NOT(ISNUMBER(I3000))),"Incomplete",IF(COUNTIF(Lists!$H$4:$AA$4,C3000)=0,"Check category",IF(COUNTIF(INDEX(Lists!$H$6:$AA$45,0,MATCH(C3000,Lists!$H$4:$AA$4,0)),D3000)=0,"Check sub-category","OK"))))</f>
        <v/>
      </c>
      <c r="P3000">
        <f>IF(ISNUMBER(I3000),I3000+ROW()/10000000,"")</f>
        <v/>
      </c>
      <c r="Q3000">
        <f>IF(AND(ISNUMBER(P3000),ISNUMBER(A3000)),IF(AND(A3000&gt;=Dashboard!$Q$3,A3000&lt;=Dashboard!$Q$4,OR(J3000&lt;&gt;"Yes",Dashboard!$Q$15="Yes")),P3000,""),"")</f>
        <v/>
      </c>
    </row>
  </sheetData>
  <autoFilter ref="A4:O3000"/>
  <mergeCells count="1">
    <mergeCell ref="A2:K2"/>
  </mergeCells>
  <conditionalFormatting sqref="A5:O3000">
    <cfRule type="expression" priority="1" dxfId="2">
      <formula>OR($O5="Incomplete",LEFT($O5,5)="Check")</formula>
    </cfRule>
  </conditionalFormatting>
  <conditionalFormatting sqref="O5:O3000">
    <cfRule type="expression" priority="2" dxfId="3">
      <formula>$O5="OK"</formula>
    </cfRule>
  </conditionalFormatting>
  <conditionalFormatting sqref="J5:J3000">
    <cfRule type="expression" priority="3" dxfId="4">
      <formula>$J5="Yes"</formula>
    </cfRule>
  </conditionalFormatting>
  <dataValidations count="9">
    <dataValidation sqref="C5:C3000" showDropDown="0" showInputMessage="0" showErrorMessage="1" allowBlank="1" errorTitle="Category" error="Pick a category from the list (add new ones on the Lists sheet)." type="list">
      <formula1>=OFFSET(Lists!$H$4,0,0,1,COUNTA(Lists!$H$4:$AA$4))</formula1>
    </dataValidation>
    <dataValidation sqref="D5:D3000" showDropDown="0" showInputMessage="0" showErrorMessage="1" allowBlank="1" errorTitle="Sub-category" error="Pick the Main Category first, then choose one of its sub-categories." type="list">
      <formula1>=OFFSET(Lists!$H$6,0,MATCH($C5,Lists!$H$4:$AA$4,0)-1,COUNTA(OFFSET(Lists!$H$6,0,MATCH($C5,Lists!$H$4:$AA$4,0)-1,40,1)),1)</formula1>
    </dataValidation>
    <dataValidation sqref="E5:E3000" showDropDown="0" showInputMessage="0" showErrorMessage="1" allowBlank="1" errorTitle="Expense Type" error="Pick from the list." type="list">
      <formula1>=OFFSET(Lists!$C$5,0,0,COUNTA(Lists!$C$5:$C$10),1)</formula1>
    </dataValidation>
    <dataValidation sqref="F5:F3000" showDropDown="0" showInputMessage="0" showErrorMessage="1" allowBlank="1" errorTitle="Paid By" error="Pick from the list." type="list">
      <formula1>=OFFSET(Lists!$A$5,0,0,COUNTA(Lists!$A$5:$A$6),1)</formula1>
    </dataValidation>
    <dataValidation sqref="G5:G3000" showDropDown="0" showInputMessage="0" showErrorMessage="1" allowBlank="1" errorTitle="Split Type" error="Pick from the list." type="list">
      <formula1>=Lists!$B$5:$B$7</formula1>
    </dataValidation>
    <dataValidation sqref="H5:H3000" showDropDown="0" showInputMessage="0" showErrorMessage="1" allowBlank="1" errorTitle="Payment Method" error="Pick from the list." type="list">
      <formula1>=OFFSET(Lists!$D$5,0,0,COUNTA(Lists!$D$5:$D$14),1)</formula1>
    </dataValidation>
    <dataValidation sqref="J5:J3000" showDropDown="0" showInputMessage="0" showErrorMessage="1" allowBlank="1" errorTitle="One-off?" error="Yes or No." type="list">
      <formula1>=Lists!$E$5:$E$6</formula1>
    </dataValidation>
    <dataValidation sqref="A5:A3000" showDropDown="0" showInputMessage="0" showErrorMessage="1" allowBlank="1" errorTitle="Date" error="Enter a valid date, e.g. 21/10/2026." type="date" operator="greaterThan">
      <formula1>36526</formula1>
    </dataValidation>
    <dataValidation sqref="I5:I3000" showDropDown="0" showInputMessage="0" showErrorMessage="1" allowBlank="1" errorTitle="Amount" error="Enter a number (use a minus sign for refunds)." type="decimal" operator="greaterThan">
      <formula1>-1000000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B6B7B"/>
    <outlinePr summaryBelow="1" summaryRight="1"/>
    <pageSetUpPr fitToPage="1"/>
  </sheetPr>
  <dimension ref="A1:AB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3" customWidth="1" min="26" max="26"/>
    <col width="26" customWidth="1" min="28" max="28"/>
  </cols>
  <sheetData>
    <row r="1">
      <c r="A1" s="42" t="inlineStr">
        <is>
          <t>Monthly Summary - spend by category and month</t>
        </is>
      </c>
    </row>
    <row r="2">
      <c r="A2" s="54" t="inlineStr">
        <is>
          <t>Fully automatic. New months and new categories appear on their own as you log expenses.</t>
        </is>
      </c>
    </row>
    <row r="3">
      <c r="A3" s="45" t="inlineStr">
        <is>
          <t>Category</t>
        </is>
      </c>
      <c r="B3" s="55">
        <f>IF(COUNT('Expense Log'!$A$5:$A$3000)=0,"",DATE(YEAR(MIN('Expense Log'!$A$5:$A$3000)),MONTH(MIN('Expense Log'!$A$5:$A$3000)),1))</f>
        <v/>
      </c>
      <c r="C3" s="55">
        <f>IF(B3="","",IF(EDATE(B3,1)&gt;MAX('Expense Log'!$L$5:$L$3000),"",EDATE(B3,1)))</f>
        <v/>
      </c>
      <c r="D3" s="55">
        <f>IF(C3="","",IF(EDATE(C3,1)&gt;MAX('Expense Log'!$L$5:$L$3000),"",EDATE(C3,1)))</f>
        <v/>
      </c>
      <c r="E3" s="55">
        <f>IF(D3="","",IF(EDATE(D3,1)&gt;MAX('Expense Log'!$L$5:$L$3000),"",EDATE(D3,1)))</f>
        <v/>
      </c>
      <c r="F3" s="55">
        <f>IF(E3="","",IF(EDATE(E3,1)&gt;MAX('Expense Log'!$L$5:$L$3000),"",EDATE(E3,1)))</f>
        <v/>
      </c>
      <c r="G3" s="55">
        <f>IF(F3="","",IF(EDATE(F3,1)&gt;MAX('Expense Log'!$L$5:$L$3000),"",EDATE(F3,1)))</f>
        <v/>
      </c>
      <c r="H3" s="55">
        <f>IF(G3="","",IF(EDATE(G3,1)&gt;MAX('Expense Log'!$L$5:$L$3000),"",EDATE(G3,1)))</f>
        <v/>
      </c>
      <c r="I3" s="55">
        <f>IF(H3="","",IF(EDATE(H3,1)&gt;MAX('Expense Log'!$L$5:$L$3000),"",EDATE(H3,1)))</f>
        <v/>
      </c>
      <c r="J3" s="55">
        <f>IF(I3="","",IF(EDATE(I3,1)&gt;MAX('Expense Log'!$L$5:$L$3000),"",EDATE(I3,1)))</f>
        <v/>
      </c>
      <c r="K3" s="55">
        <f>IF(J3="","",IF(EDATE(J3,1)&gt;MAX('Expense Log'!$L$5:$L$3000),"",EDATE(J3,1)))</f>
        <v/>
      </c>
      <c r="L3" s="55">
        <f>IF(K3="","",IF(EDATE(K3,1)&gt;MAX('Expense Log'!$L$5:$L$3000),"",EDATE(K3,1)))</f>
        <v/>
      </c>
      <c r="M3" s="55">
        <f>IF(L3="","",IF(EDATE(L3,1)&gt;MAX('Expense Log'!$L$5:$L$3000),"",EDATE(L3,1)))</f>
        <v/>
      </c>
      <c r="N3" s="55">
        <f>IF(M3="","",IF(EDATE(M3,1)&gt;MAX('Expense Log'!$L$5:$L$3000),"",EDATE(M3,1)))</f>
        <v/>
      </c>
      <c r="O3" s="55">
        <f>IF(N3="","",IF(EDATE(N3,1)&gt;MAX('Expense Log'!$L$5:$L$3000),"",EDATE(N3,1)))</f>
        <v/>
      </c>
      <c r="P3" s="55">
        <f>IF(O3="","",IF(EDATE(O3,1)&gt;MAX('Expense Log'!$L$5:$L$3000),"",EDATE(O3,1)))</f>
        <v/>
      </c>
      <c r="Q3" s="55">
        <f>IF(P3="","",IF(EDATE(P3,1)&gt;MAX('Expense Log'!$L$5:$L$3000),"",EDATE(P3,1)))</f>
        <v/>
      </c>
      <c r="R3" s="55">
        <f>IF(Q3="","",IF(EDATE(Q3,1)&gt;MAX('Expense Log'!$L$5:$L$3000),"",EDATE(Q3,1)))</f>
        <v/>
      </c>
      <c r="S3" s="55">
        <f>IF(R3="","",IF(EDATE(R3,1)&gt;MAX('Expense Log'!$L$5:$L$3000),"",EDATE(R3,1)))</f>
        <v/>
      </c>
      <c r="T3" s="55">
        <f>IF(S3="","",IF(EDATE(S3,1)&gt;MAX('Expense Log'!$L$5:$L$3000),"",EDATE(S3,1)))</f>
        <v/>
      </c>
      <c r="U3" s="55">
        <f>IF(T3="","",IF(EDATE(T3,1)&gt;MAX('Expense Log'!$L$5:$L$3000),"",EDATE(T3,1)))</f>
        <v/>
      </c>
      <c r="V3" s="55">
        <f>IF(U3="","",IF(EDATE(U3,1)&gt;MAX('Expense Log'!$L$5:$L$3000),"",EDATE(U3,1)))</f>
        <v/>
      </c>
      <c r="W3" s="55">
        <f>IF(V3="","",IF(EDATE(V3,1)&gt;MAX('Expense Log'!$L$5:$L$3000),"",EDATE(V3,1)))</f>
        <v/>
      </c>
      <c r="X3" s="55">
        <f>IF(W3="","",IF(EDATE(W3,1)&gt;MAX('Expense Log'!$L$5:$L$3000),"",EDATE(W3,1)))</f>
        <v/>
      </c>
      <c r="Y3" s="55">
        <f>IF(X3="","",IF(EDATE(X3,1)&gt;MAX('Expense Log'!$L$5:$L$3000),"",EDATE(X3,1)))</f>
        <v/>
      </c>
      <c r="Z3" s="45" t="inlineStr">
        <is>
          <t>Total</t>
        </is>
      </c>
      <c r="AB3" s="46" t="inlineStr">
        <is>
          <t>Month list (Dashboard dropdown)</t>
        </is>
      </c>
    </row>
    <row r="4">
      <c r="A4" s="22">
        <f>IF(INDEX(Lists!$H$4:$AA$4,1,1)="","",INDEX(Lists!$H$4:$AA$4,1,1))</f>
        <v/>
      </c>
      <c r="B4" s="23">
        <f>IF(OR($A4="",B$3=""),"",SUMIFS('Expense Log'!$I$5:$I$3000,'Expense Log'!$L$5:$L$3000,B$3,'Expense Log'!$C$5:$C$3000,$A4))</f>
        <v/>
      </c>
      <c r="C4" s="23">
        <f>IF(OR($A4="",C$3=""),"",SUMIFS('Expense Log'!$I$5:$I$3000,'Expense Log'!$L$5:$L$3000,C$3,'Expense Log'!$C$5:$C$3000,$A4))</f>
        <v/>
      </c>
      <c r="D4" s="23">
        <f>IF(OR($A4="",D$3=""),"",SUMIFS('Expense Log'!$I$5:$I$3000,'Expense Log'!$L$5:$L$3000,D$3,'Expense Log'!$C$5:$C$3000,$A4))</f>
        <v/>
      </c>
      <c r="E4" s="23">
        <f>IF(OR($A4="",E$3=""),"",SUMIFS('Expense Log'!$I$5:$I$3000,'Expense Log'!$L$5:$L$3000,E$3,'Expense Log'!$C$5:$C$3000,$A4))</f>
        <v/>
      </c>
      <c r="F4" s="23">
        <f>IF(OR($A4="",F$3=""),"",SUMIFS('Expense Log'!$I$5:$I$3000,'Expense Log'!$L$5:$L$3000,F$3,'Expense Log'!$C$5:$C$3000,$A4))</f>
        <v/>
      </c>
      <c r="G4" s="23">
        <f>IF(OR($A4="",G$3=""),"",SUMIFS('Expense Log'!$I$5:$I$3000,'Expense Log'!$L$5:$L$3000,G$3,'Expense Log'!$C$5:$C$3000,$A4))</f>
        <v/>
      </c>
      <c r="H4" s="23">
        <f>IF(OR($A4="",H$3=""),"",SUMIFS('Expense Log'!$I$5:$I$3000,'Expense Log'!$L$5:$L$3000,H$3,'Expense Log'!$C$5:$C$3000,$A4))</f>
        <v/>
      </c>
      <c r="I4" s="23">
        <f>IF(OR($A4="",I$3=""),"",SUMIFS('Expense Log'!$I$5:$I$3000,'Expense Log'!$L$5:$L$3000,I$3,'Expense Log'!$C$5:$C$3000,$A4))</f>
        <v/>
      </c>
      <c r="J4" s="23">
        <f>IF(OR($A4="",J$3=""),"",SUMIFS('Expense Log'!$I$5:$I$3000,'Expense Log'!$L$5:$L$3000,J$3,'Expense Log'!$C$5:$C$3000,$A4))</f>
        <v/>
      </c>
      <c r="K4" s="23">
        <f>IF(OR($A4="",K$3=""),"",SUMIFS('Expense Log'!$I$5:$I$3000,'Expense Log'!$L$5:$L$3000,K$3,'Expense Log'!$C$5:$C$3000,$A4))</f>
        <v/>
      </c>
      <c r="L4" s="23">
        <f>IF(OR($A4="",L$3=""),"",SUMIFS('Expense Log'!$I$5:$I$3000,'Expense Log'!$L$5:$L$3000,L$3,'Expense Log'!$C$5:$C$3000,$A4))</f>
        <v/>
      </c>
      <c r="M4" s="23">
        <f>IF(OR($A4="",M$3=""),"",SUMIFS('Expense Log'!$I$5:$I$3000,'Expense Log'!$L$5:$L$3000,M$3,'Expense Log'!$C$5:$C$3000,$A4))</f>
        <v/>
      </c>
      <c r="N4" s="23">
        <f>IF(OR($A4="",N$3=""),"",SUMIFS('Expense Log'!$I$5:$I$3000,'Expense Log'!$L$5:$L$3000,N$3,'Expense Log'!$C$5:$C$3000,$A4))</f>
        <v/>
      </c>
      <c r="O4" s="23">
        <f>IF(OR($A4="",O$3=""),"",SUMIFS('Expense Log'!$I$5:$I$3000,'Expense Log'!$L$5:$L$3000,O$3,'Expense Log'!$C$5:$C$3000,$A4))</f>
        <v/>
      </c>
      <c r="P4" s="23">
        <f>IF(OR($A4="",P$3=""),"",SUMIFS('Expense Log'!$I$5:$I$3000,'Expense Log'!$L$5:$L$3000,P$3,'Expense Log'!$C$5:$C$3000,$A4))</f>
        <v/>
      </c>
      <c r="Q4" s="23">
        <f>IF(OR($A4="",Q$3=""),"",SUMIFS('Expense Log'!$I$5:$I$3000,'Expense Log'!$L$5:$L$3000,Q$3,'Expense Log'!$C$5:$C$3000,$A4))</f>
        <v/>
      </c>
      <c r="R4" s="23">
        <f>IF(OR($A4="",R$3=""),"",SUMIFS('Expense Log'!$I$5:$I$3000,'Expense Log'!$L$5:$L$3000,R$3,'Expense Log'!$C$5:$C$3000,$A4))</f>
        <v/>
      </c>
      <c r="S4" s="23">
        <f>IF(OR($A4="",S$3=""),"",SUMIFS('Expense Log'!$I$5:$I$3000,'Expense Log'!$L$5:$L$3000,S$3,'Expense Log'!$C$5:$C$3000,$A4))</f>
        <v/>
      </c>
      <c r="T4" s="23">
        <f>IF(OR($A4="",T$3=""),"",SUMIFS('Expense Log'!$I$5:$I$3000,'Expense Log'!$L$5:$L$3000,T$3,'Expense Log'!$C$5:$C$3000,$A4))</f>
        <v/>
      </c>
      <c r="U4" s="23">
        <f>IF(OR($A4="",U$3=""),"",SUMIFS('Expense Log'!$I$5:$I$3000,'Expense Log'!$L$5:$L$3000,U$3,'Expense Log'!$C$5:$C$3000,$A4))</f>
        <v/>
      </c>
      <c r="V4" s="23">
        <f>IF(OR($A4="",V$3=""),"",SUMIFS('Expense Log'!$I$5:$I$3000,'Expense Log'!$L$5:$L$3000,V$3,'Expense Log'!$C$5:$C$3000,$A4))</f>
        <v/>
      </c>
      <c r="W4" s="23">
        <f>IF(OR($A4="",W$3=""),"",SUMIFS('Expense Log'!$I$5:$I$3000,'Expense Log'!$L$5:$L$3000,W$3,'Expense Log'!$C$5:$C$3000,$A4))</f>
        <v/>
      </c>
      <c r="X4" s="23">
        <f>IF(OR($A4="",X$3=""),"",SUMIFS('Expense Log'!$I$5:$I$3000,'Expense Log'!$L$5:$L$3000,X$3,'Expense Log'!$C$5:$C$3000,$A4))</f>
        <v/>
      </c>
      <c r="Y4" s="23">
        <f>IF(OR($A4="",Y$3=""),"",SUMIFS('Expense Log'!$I$5:$I$3000,'Expense Log'!$L$5:$L$3000,Y$3,'Expense Log'!$C$5:$C$3000,$A4))</f>
        <v/>
      </c>
      <c r="Z4" s="23">
        <f>IF($A4="","",SUM(B4:Y4))</f>
        <v/>
      </c>
      <c r="AB4" s="56" t="inlineStr">
        <is>
          <t>All time</t>
        </is>
      </c>
    </row>
    <row r="5">
      <c r="A5" s="22">
        <f>IF(INDEX(Lists!$H$4:$AA$4,1,2)="","",INDEX(Lists!$H$4:$AA$4,1,2))</f>
        <v/>
      </c>
      <c r="B5" s="23">
        <f>IF(OR($A5="",B$3=""),"",SUMIFS('Expense Log'!$I$5:$I$3000,'Expense Log'!$L$5:$L$3000,B$3,'Expense Log'!$C$5:$C$3000,$A5))</f>
        <v/>
      </c>
      <c r="C5" s="23">
        <f>IF(OR($A5="",C$3=""),"",SUMIFS('Expense Log'!$I$5:$I$3000,'Expense Log'!$L$5:$L$3000,C$3,'Expense Log'!$C$5:$C$3000,$A5))</f>
        <v/>
      </c>
      <c r="D5" s="23">
        <f>IF(OR($A5="",D$3=""),"",SUMIFS('Expense Log'!$I$5:$I$3000,'Expense Log'!$L$5:$L$3000,D$3,'Expense Log'!$C$5:$C$3000,$A5))</f>
        <v/>
      </c>
      <c r="E5" s="23">
        <f>IF(OR($A5="",E$3=""),"",SUMIFS('Expense Log'!$I$5:$I$3000,'Expense Log'!$L$5:$L$3000,E$3,'Expense Log'!$C$5:$C$3000,$A5))</f>
        <v/>
      </c>
      <c r="F5" s="23">
        <f>IF(OR($A5="",F$3=""),"",SUMIFS('Expense Log'!$I$5:$I$3000,'Expense Log'!$L$5:$L$3000,F$3,'Expense Log'!$C$5:$C$3000,$A5))</f>
        <v/>
      </c>
      <c r="G5" s="23">
        <f>IF(OR($A5="",G$3=""),"",SUMIFS('Expense Log'!$I$5:$I$3000,'Expense Log'!$L$5:$L$3000,G$3,'Expense Log'!$C$5:$C$3000,$A5))</f>
        <v/>
      </c>
      <c r="H5" s="23">
        <f>IF(OR($A5="",H$3=""),"",SUMIFS('Expense Log'!$I$5:$I$3000,'Expense Log'!$L$5:$L$3000,H$3,'Expense Log'!$C$5:$C$3000,$A5))</f>
        <v/>
      </c>
      <c r="I5" s="23">
        <f>IF(OR($A5="",I$3=""),"",SUMIFS('Expense Log'!$I$5:$I$3000,'Expense Log'!$L$5:$L$3000,I$3,'Expense Log'!$C$5:$C$3000,$A5))</f>
        <v/>
      </c>
      <c r="J5" s="23">
        <f>IF(OR($A5="",J$3=""),"",SUMIFS('Expense Log'!$I$5:$I$3000,'Expense Log'!$L$5:$L$3000,J$3,'Expense Log'!$C$5:$C$3000,$A5))</f>
        <v/>
      </c>
      <c r="K5" s="23">
        <f>IF(OR($A5="",K$3=""),"",SUMIFS('Expense Log'!$I$5:$I$3000,'Expense Log'!$L$5:$L$3000,K$3,'Expense Log'!$C$5:$C$3000,$A5))</f>
        <v/>
      </c>
      <c r="L5" s="23">
        <f>IF(OR($A5="",L$3=""),"",SUMIFS('Expense Log'!$I$5:$I$3000,'Expense Log'!$L$5:$L$3000,L$3,'Expense Log'!$C$5:$C$3000,$A5))</f>
        <v/>
      </c>
      <c r="M5" s="23">
        <f>IF(OR($A5="",M$3=""),"",SUMIFS('Expense Log'!$I$5:$I$3000,'Expense Log'!$L$5:$L$3000,M$3,'Expense Log'!$C$5:$C$3000,$A5))</f>
        <v/>
      </c>
      <c r="N5" s="23">
        <f>IF(OR($A5="",N$3=""),"",SUMIFS('Expense Log'!$I$5:$I$3000,'Expense Log'!$L$5:$L$3000,N$3,'Expense Log'!$C$5:$C$3000,$A5))</f>
        <v/>
      </c>
      <c r="O5" s="23">
        <f>IF(OR($A5="",O$3=""),"",SUMIFS('Expense Log'!$I$5:$I$3000,'Expense Log'!$L$5:$L$3000,O$3,'Expense Log'!$C$5:$C$3000,$A5))</f>
        <v/>
      </c>
      <c r="P5" s="23">
        <f>IF(OR($A5="",P$3=""),"",SUMIFS('Expense Log'!$I$5:$I$3000,'Expense Log'!$L$5:$L$3000,P$3,'Expense Log'!$C$5:$C$3000,$A5))</f>
        <v/>
      </c>
      <c r="Q5" s="23">
        <f>IF(OR($A5="",Q$3=""),"",SUMIFS('Expense Log'!$I$5:$I$3000,'Expense Log'!$L$5:$L$3000,Q$3,'Expense Log'!$C$5:$C$3000,$A5))</f>
        <v/>
      </c>
      <c r="R5" s="23">
        <f>IF(OR($A5="",R$3=""),"",SUMIFS('Expense Log'!$I$5:$I$3000,'Expense Log'!$L$5:$L$3000,R$3,'Expense Log'!$C$5:$C$3000,$A5))</f>
        <v/>
      </c>
      <c r="S5" s="23">
        <f>IF(OR($A5="",S$3=""),"",SUMIFS('Expense Log'!$I$5:$I$3000,'Expense Log'!$L$5:$L$3000,S$3,'Expense Log'!$C$5:$C$3000,$A5))</f>
        <v/>
      </c>
      <c r="T5" s="23">
        <f>IF(OR($A5="",T$3=""),"",SUMIFS('Expense Log'!$I$5:$I$3000,'Expense Log'!$L$5:$L$3000,T$3,'Expense Log'!$C$5:$C$3000,$A5))</f>
        <v/>
      </c>
      <c r="U5" s="23">
        <f>IF(OR($A5="",U$3=""),"",SUMIFS('Expense Log'!$I$5:$I$3000,'Expense Log'!$L$5:$L$3000,U$3,'Expense Log'!$C$5:$C$3000,$A5))</f>
        <v/>
      </c>
      <c r="V5" s="23">
        <f>IF(OR($A5="",V$3=""),"",SUMIFS('Expense Log'!$I$5:$I$3000,'Expense Log'!$L$5:$L$3000,V$3,'Expense Log'!$C$5:$C$3000,$A5))</f>
        <v/>
      </c>
      <c r="W5" s="23">
        <f>IF(OR($A5="",W$3=""),"",SUMIFS('Expense Log'!$I$5:$I$3000,'Expense Log'!$L$5:$L$3000,W$3,'Expense Log'!$C$5:$C$3000,$A5))</f>
        <v/>
      </c>
      <c r="X5" s="23">
        <f>IF(OR($A5="",X$3=""),"",SUMIFS('Expense Log'!$I$5:$I$3000,'Expense Log'!$L$5:$L$3000,X$3,'Expense Log'!$C$5:$C$3000,$A5))</f>
        <v/>
      </c>
      <c r="Y5" s="23">
        <f>IF(OR($A5="",Y$3=""),"",SUMIFS('Expense Log'!$I$5:$I$3000,'Expense Log'!$L$5:$L$3000,Y$3,'Expense Log'!$C$5:$C$3000,$A5))</f>
        <v/>
      </c>
      <c r="Z5" s="23">
        <f>IF($A5="","",SUM(B5:Y5))</f>
        <v/>
      </c>
      <c r="AB5" s="57">
        <f>IF(INDEX($B$3:$Y$3,1)="","",INDEX($B$3:$Y$3,1))</f>
        <v/>
      </c>
    </row>
    <row r="6">
      <c r="A6" s="22">
        <f>IF(INDEX(Lists!$H$4:$AA$4,1,3)="","",INDEX(Lists!$H$4:$AA$4,1,3))</f>
        <v/>
      </c>
      <c r="B6" s="23">
        <f>IF(OR($A6="",B$3=""),"",SUMIFS('Expense Log'!$I$5:$I$3000,'Expense Log'!$L$5:$L$3000,B$3,'Expense Log'!$C$5:$C$3000,$A6))</f>
        <v/>
      </c>
      <c r="C6" s="23">
        <f>IF(OR($A6="",C$3=""),"",SUMIFS('Expense Log'!$I$5:$I$3000,'Expense Log'!$L$5:$L$3000,C$3,'Expense Log'!$C$5:$C$3000,$A6))</f>
        <v/>
      </c>
      <c r="D6" s="23">
        <f>IF(OR($A6="",D$3=""),"",SUMIFS('Expense Log'!$I$5:$I$3000,'Expense Log'!$L$5:$L$3000,D$3,'Expense Log'!$C$5:$C$3000,$A6))</f>
        <v/>
      </c>
      <c r="E6" s="23">
        <f>IF(OR($A6="",E$3=""),"",SUMIFS('Expense Log'!$I$5:$I$3000,'Expense Log'!$L$5:$L$3000,E$3,'Expense Log'!$C$5:$C$3000,$A6))</f>
        <v/>
      </c>
      <c r="F6" s="23">
        <f>IF(OR($A6="",F$3=""),"",SUMIFS('Expense Log'!$I$5:$I$3000,'Expense Log'!$L$5:$L$3000,F$3,'Expense Log'!$C$5:$C$3000,$A6))</f>
        <v/>
      </c>
      <c r="G6" s="23">
        <f>IF(OR($A6="",G$3=""),"",SUMIFS('Expense Log'!$I$5:$I$3000,'Expense Log'!$L$5:$L$3000,G$3,'Expense Log'!$C$5:$C$3000,$A6))</f>
        <v/>
      </c>
      <c r="H6" s="23">
        <f>IF(OR($A6="",H$3=""),"",SUMIFS('Expense Log'!$I$5:$I$3000,'Expense Log'!$L$5:$L$3000,H$3,'Expense Log'!$C$5:$C$3000,$A6))</f>
        <v/>
      </c>
      <c r="I6" s="23">
        <f>IF(OR($A6="",I$3=""),"",SUMIFS('Expense Log'!$I$5:$I$3000,'Expense Log'!$L$5:$L$3000,I$3,'Expense Log'!$C$5:$C$3000,$A6))</f>
        <v/>
      </c>
      <c r="J6" s="23">
        <f>IF(OR($A6="",J$3=""),"",SUMIFS('Expense Log'!$I$5:$I$3000,'Expense Log'!$L$5:$L$3000,J$3,'Expense Log'!$C$5:$C$3000,$A6))</f>
        <v/>
      </c>
      <c r="K6" s="23">
        <f>IF(OR($A6="",K$3=""),"",SUMIFS('Expense Log'!$I$5:$I$3000,'Expense Log'!$L$5:$L$3000,K$3,'Expense Log'!$C$5:$C$3000,$A6))</f>
        <v/>
      </c>
      <c r="L6" s="23">
        <f>IF(OR($A6="",L$3=""),"",SUMIFS('Expense Log'!$I$5:$I$3000,'Expense Log'!$L$5:$L$3000,L$3,'Expense Log'!$C$5:$C$3000,$A6))</f>
        <v/>
      </c>
      <c r="M6" s="23">
        <f>IF(OR($A6="",M$3=""),"",SUMIFS('Expense Log'!$I$5:$I$3000,'Expense Log'!$L$5:$L$3000,M$3,'Expense Log'!$C$5:$C$3000,$A6))</f>
        <v/>
      </c>
      <c r="N6" s="23">
        <f>IF(OR($A6="",N$3=""),"",SUMIFS('Expense Log'!$I$5:$I$3000,'Expense Log'!$L$5:$L$3000,N$3,'Expense Log'!$C$5:$C$3000,$A6))</f>
        <v/>
      </c>
      <c r="O6" s="23">
        <f>IF(OR($A6="",O$3=""),"",SUMIFS('Expense Log'!$I$5:$I$3000,'Expense Log'!$L$5:$L$3000,O$3,'Expense Log'!$C$5:$C$3000,$A6))</f>
        <v/>
      </c>
      <c r="P6" s="23">
        <f>IF(OR($A6="",P$3=""),"",SUMIFS('Expense Log'!$I$5:$I$3000,'Expense Log'!$L$5:$L$3000,P$3,'Expense Log'!$C$5:$C$3000,$A6))</f>
        <v/>
      </c>
      <c r="Q6" s="23">
        <f>IF(OR($A6="",Q$3=""),"",SUMIFS('Expense Log'!$I$5:$I$3000,'Expense Log'!$L$5:$L$3000,Q$3,'Expense Log'!$C$5:$C$3000,$A6))</f>
        <v/>
      </c>
      <c r="R6" s="23">
        <f>IF(OR($A6="",R$3=""),"",SUMIFS('Expense Log'!$I$5:$I$3000,'Expense Log'!$L$5:$L$3000,R$3,'Expense Log'!$C$5:$C$3000,$A6))</f>
        <v/>
      </c>
      <c r="S6" s="23">
        <f>IF(OR($A6="",S$3=""),"",SUMIFS('Expense Log'!$I$5:$I$3000,'Expense Log'!$L$5:$L$3000,S$3,'Expense Log'!$C$5:$C$3000,$A6))</f>
        <v/>
      </c>
      <c r="T6" s="23">
        <f>IF(OR($A6="",T$3=""),"",SUMIFS('Expense Log'!$I$5:$I$3000,'Expense Log'!$L$5:$L$3000,T$3,'Expense Log'!$C$5:$C$3000,$A6))</f>
        <v/>
      </c>
      <c r="U6" s="23">
        <f>IF(OR($A6="",U$3=""),"",SUMIFS('Expense Log'!$I$5:$I$3000,'Expense Log'!$L$5:$L$3000,U$3,'Expense Log'!$C$5:$C$3000,$A6))</f>
        <v/>
      </c>
      <c r="V6" s="23">
        <f>IF(OR($A6="",V$3=""),"",SUMIFS('Expense Log'!$I$5:$I$3000,'Expense Log'!$L$5:$L$3000,V$3,'Expense Log'!$C$5:$C$3000,$A6))</f>
        <v/>
      </c>
      <c r="W6" s="23">
        <f>IF(OR($A6="",W$3=""),"",SUMIFS('Expense Log'!$I$5:$I$3000,'Expense Log'!$L$5:$L$3000,W$3,'Expense Log'!$C$5:$C$3000,$A6))</f>
        <v/>
      </c>
      <c r="X6" s="23">
        <f>IF(OR($A6="",X$3=""),"",SUMIFS('Expense Log'!$I$5:$I$3000,'Expense Log'!$L$5:$L$3000,X$3,'Expense Log'!$C$5:$C$3000,$A6))</f>
        <v/>
      </c>
      <c r="Y6" s="23">
        <f>IF(OR($A6="",Y$3=""),"",SUMIFS('Expense Log'!$I$5:$I$3000,'Expense Log'!$L$5:$L$3000,Y$3,'Expense Log'!$C$5:$C$3000,$A6))</f>
        <v/>
      </c>
      <c r="Z6" s="23">
        <f>IF($A6="","",SUM(B6:Y6))</f>
        <v/>
      </c>
      <c r="AB6" s="57">
        <f>IF(INDEX($B$3:$Y$3,2)="","",INDEX($B$3:$Y$3,2))</f>
        <v/>
      </c>
    </row>
    <row r="7">
      <c r="A7" s="22">
        <f>IF(INDEX(Lists!$H$4:$AA$4,1,4)="","",INDEX(Lists!$H$4:$AA$4,1,4))</f>
        <v/>
      </c>
      <c r="B7" s="23">
        <f>IF(OR($A7="",B$3=""),"",SUMIFS('Expense Log'!$I$5:$I$3000,'Expense Log'!$L$5:$L$3000,B$3,'Expense Log'!$C$5:$C$3000,$A7))</f>
        <v/>
      </c>
      <c r="C7" s="23">
        <f>IF(OR($A7="",C$3=""),"",SUMIFS('Expense Log'!$I$5:$I$3000,'Expense Log'!$L$5:$L$3000,C$3,'Expense Log'!$C$5:$C$3000,$A7))</f>
        <v/>
      </c>
      <c r="D7" s="23">
        <f>IF(OR($A7="",D$3=""),"",SUMIFS('Expense Log'!$I$5:$I$3000,'Expense Log'!$L$5:$L$3000,D$3,'Expense Log'!$C$5:$C$3000,$A7))</f>
        <v/>
      </c>
      <c r="E7" s="23">
        <f>IF(OR($A7="",E$3=""),"",SUMIFS('Expense Log'!$I$5:$I$3000,'Expense Log'!$L$5:$L$3000,E$3,'Expense Log'!$C$5:$C$3000,$A7))</f>
        <v/>
      </c>
      <c r="F7" s="23">
        <f>IF(OR($A7="",F$3=""),"",SUMIFS('Expense Log'!$I$5:$I$3000,'Expense Log'!$L$5:$L$3000,F$3,'Expense Log'!$C$5:$C$3000,$A7))</f>
        <v/>
      </c>
      <c r="G7" s="23">
        <f>IF(OR($A7="",G$3=""),"",SUMIFS('Expense Log'!$I$5:$I$3000,'Expense Log'!$L$5:$L$3000,G$3,'Expense Log'!$C$5:$C$3000,$A7))</f>
        <v/>
      </c>
      <c r="H7" s="23">
        <f>IF(OR($A7="",H$3=""),"",SUMIFS('Expense Log'!$I$5:$I$3000,'Expense Log'!$L$5:$L$3000,H$3,'Expense Log'!$C$5:$C$3000,$A7))</f>
        <v/>
      </c>
      <c r="I7" s="23">
        <f>IF(OR($A7="",I$3=""),"",SUMIFS('Expense Log'!$I$5:$I$3000,'Expense Log'!$L$5:$L$3000,I$3,'Expense Log'!$C$5:$C$3000,$A7))</f>
        <v/>
      </c>
      <c r="J7" s="23">
        <f>IF(OR($A7="",J$3=""),"",SUMIFS('Expense Log'!$I$5:$I$3000,'Expense Log'!$L$5:$L$3000,J$3,'Expense Log'!$C$5:$C$3000,$A7))</f>
        <v/>
      </c>
      <c r="K7" s="23">
        <f>IF(OR($A7="",K$3=""),"",SUMIFS('Expense Log'!$I$5:$I$3000,'Expense Log'!$L$5:$L$3000,K$3,'Expense Log'!$C$5:$C$3000,$A7))</f>
        <v/>
      </c>
      <c r="L7" s="23">
        <f>IF(OR($A7="",L$3=""),"",SUMIFS('Expense Log'!$I$5:$I$3000,'Expense Log'!$L$5:$L$3000,L$3,'Expense Log'!$C$5:$C$3000,$A7))</f>
        <v/>
      </c>
      <c r="M7" s="23">
        <f>IF(OR($A7="",M$3=""),"",SUMIFS('Expense Log'!$I$5:$I$3000,'Expense Log'!$L$5:$L$3000,M$3,'Expense Log'!$C$5:$C$3000,$A7))</f>
        <v/>
      </c>
      <c r="N7" s="23">
        <f>IF(OR($A7="",N$3=""),"",SUMIFS('Expense Log'!$I$5:$I$3000,'Expense Log'!$L$5:$L$3000,N$3,'Expense Log'!$C$5:$C$3000,$A7))</f>
        <v/>
      </c>
      <c r="O7" s="23">
        <f>IF(OR($A7="",O$3=""),"",SUMIFS('Expense Log'!$I$5:$I$3000,'Expense Log'!$L$5:$L$3000,O$3,'Expense Log'!$C$5:$C$3000,$A7))</f>
        <v/>
      </c>
      <c r="P7" s="23">
        <f>IF(OR($A7="",P$3=""),"",SUMIFS('Expense Log'!$I$5:$I$3000,'Expense Log'!$L$5:$L$3000,P$3,'Expense Log'!$C$5:$C$3000,$A7))</f>
        <v/>
      </c>
      <c r="Q7" s="23">
        <f>IF(OR($A7="",Q$3=""),"",SUMIFS('Expense Log'!$I$5:$I$3000,'Expense Log'!$L$5:$L$3000,Q$3,'Expense Log'!$C$5:$C$3000,$A7))</f>
        <v/>
      </c>
      <c r="R7" s="23">
        <f>IF(OR($A7="",R$3=""),"",SUMIFS('Expense Log'!$I$5:$I$3000,'Expense Log'!$L$5:$L$3000,R$3,'Expense Log'!$C$5:$C$3000,$A7))</f>
        <v/>
      </c>
      <c r="S7" s="23">
        <f>IF(OR($A7="",S$3=""),"",SUMIFS('Expense Log'!$I$5:$I$3000,'Expense Log'!$L$5:$L$3000,S$3,'Expense Log'!$C$5:$C$3000,$A7))</f>
        <v/>
      </c>
      <c r="T7" s="23">
        <f>IF(OR($A7="",T$3=""),"",SUMIFS('Expense Log'!$I$5:$I$3000,'Expense Log'!$L$5:$L$3000,T$3,'Expense Log'!$C$5:$C$3000,$A7))</f>
        <v/>
      </c>
      <c r="U7" s="23">
        <f>IF(OR($A7="",U$3=""),"",SUMIFS('Expense Log'!$I$5:$I$3000,'Expense Log'!$L$5:$L$3000,U$3,'Expense Log'!$C$5:$C$3000,$A7))</f>
        <v/>
      </c>
      <c r="V7" s="23">
        <f>IF(OR($A7="",V$3=""),"",SUMIFS('Expense Log'!$I$5:$I$3000,'Expense Log'!$L$5:$L$3000,V$3,'Expense Log'!$C$5:$C$3000,$A7))</f>
        <v/>
      </c>
      <c r="W7" s="23">
        <f>IF(OR($A7="",W$3=""),"",SUMIFS('Expense Log'!$I$5:$I$3000,'Expense Log'!$L$5:$L$3000,W$3,'Expense Log'!$C$5:$C$3000,$A7))</f>
        <v/>
      </c>
      <c r="X7" s="23">
        <f>IF(OR($A7="",X$3=""),"",SUMIFS('Expense Log'!$I$5:$I$3000,'Expense Log'!$L$5:$L$3000,X$3,'Expense Log'!$C$5:$C$3000,$A7))</f>
        <v/>
      </c>
      <c r="Y7" s="23">
        <f>IF(OR($A7="",Y$3=""),"",SUMIFS('Expense Log'!$I$5:$I$3000,'Expense Log'!$L$5:$L$3000,Y$3,'Expense Log'!$C$5:$C$3000,$A7))</f>
        <v/>
      </c>
      <c r="Z7" s="23">
        <f>IF($A7="","",SUM(B7:Y7))</f>
        <v/>
      </c>
      <c r="AB7" s="57">
        <f>IF(INDEX($B$3:$Y$3,3)="","",INDEX($B$3:$Y$3,3))</f>
        <v/>
      </c>
    </row>
    <row r="8">
      <c r="A8" s="22">
        <f>IF(INDEX(Lists!$H$4:$AA$4,1,5)="","",INDEX(Lists!$H$4:$AA$4,1,5))</f>
        <v/>
      </c>
      <c r="B8" s="23">
        <f>IF(OR($A8="",B$3=""),"",SUMIFS('Expense Log'!$I$5:$I$3000,'Expense Log'!$L$5:$L$3000,B$3,'Expense Log'!$C$5:$C$3000,$A8))</f>
        <v/>
      </c>
      <c r="C8" s="23">
        <f>IF(OR($A8="",C$3=""),"",SUMIFS('Expense Log'!$I$5:$I$3000,'Expense Log'!$L$5:$L$3000,C$3,'Expense Log'!$C$5:$C$3000,$A8))</f>
        <v/>
      </c>
      <c r="D8" s="23">
        <f>IF(OR($A8="",D$3=""),"",SUMIFS('Expense Log'!$I$5:$I$3000,'Expense Log'!$L$5:$L$3000,D$3,'Expense Log'!$C$5:$C$3000,$A8))</f>
        <v/>
      </c>
      <c r="E8" s="23">
        <f>IF(OR($A8="",E$3=""),"",SUMIFS('Expense Log'!$I$5:$I$3000,'Expense Log'!$L$5:$L$3000,E$3,'Expense Log'!$C$5:$C$3000,$A8))</f>
        <v/>
      </c>
      <c r="F8" s="23">
        <f>IF(OR($A8="",F$3=""),"",SUMIFS('Expense Log'!$I$5:$I$3000,'Expense Log'!$L$5:$L$3000,F$3,'Expense Log'!$C$5:$C$3000,$A8))</f>
        <v/>
      </c>
      <c r="G8" s="23">
        <f>IF(OR($A8="",G$3=""),"",SUMIFS('Expense Log'!$I$5:$I$3000,'Expense Log'!$L$5:$L$3000,G$3,'Expense Log'!$C$5:$C$3000,$A8))</f>
        <v/>
      </c>
      <c r="H8" s="23">
        <f>IF(OR($A8="",H$3=""),"",SUMIFS('Expense Log'!$I$5:$I$3000,'Expense Log'!$L$5:$L$3000,H$3,'Expense Log'!$C$5:$C$3000,$A8))</f>
        <v/>
      </c>
      <c r="I8" s="23">
        <f>IF(OR($A8="",I$3=""),"",SUMIFS('Expense Log'!$I$5:$I$3000,'Expense Log'!$L$5:$L$3000,I$3,'Expense Log'!$C$5:$C$3000,$A8))</f>
        <v/>
      </c>
      <c r="J8" s="23">
        <f>IF(OR($A8="",J$3=""),"",SUMIFS('Expense Log'!$I$5:$I$3000,'Expense Log'!$L$5:$L$3000,J$3,'Expense Log'!$C$5:$C$3000,$A8))</f>
        <v/>
      </c>
      <c r="K8" s="23">
        <f>IF(OR($A8="",K$3=""),"",SUMIFS('Expense Log'!$I$5:$I$3000,'Expense Log'!$L$5:$L$3000,K$3,'Expense Log'!$C$5:$C$3000,$A8))</f>
        <v/>
      </c>
      <c r="L8" s="23">
        <f>IF(OR($A8="",L$3=""),"",SUMIFS('Expense Log'!$I$5:$I$3000,'Expense Log'!$L$5:$L$3000,L$3,'Expense Log'!$C$5:$C$3000,$A8))</f>
        <v/>
      </c>
      <c r="M8" s="23">
        <f>IF(OR($A8="",M$3=""),"",SUMIFS('Expense Log'!$I$5:$I$3000,'Expense Log'!$L$5:$L$3000,M$3,'Expense Log'!$C$5:$C$3000,$A8))</f>
        <v/>
      </c>
      <c r="N8" s="23">
        <f>IF(OR($A8="",N$3=""),"",SUMIFS('Expense Log'!$I$5:$I$3000,'Expense Log'!$L$5:$L$3000,N$3,'Expense Log'!$C$5:$C$3000,$A8))</f>
        <v/>
      </c>
      <c r="O8" s="23">
        <f>IF(OR($A8="",O$3=""),"",SUMIFS('Expense Log'!$I$5:$I$3000,'Expense Log'!$L$5:$L$3000,O$3,'Expense Log'!$C$5:$C$3000,$A8))</f>
        <v/>
      </c>
      <c r="P8" s="23">
        <f>IF(OR($A8="",P$3=""),"",SUMIFS('Expense Log'!$I$5:$I$3000,'Expense Log'!$L$5:$L$3000,P$3,'Expense Log'!$C$5:$C$3000,$A8))</f>
        <v/>
      </c>
      <c r="Q8" s="23">
        <f>IF(OR($A8="",Q$3=""),"",SUMIFS('Expense Log'!$I$5:$I$3000,'Expense Log'!$L$5:$L$3000,Q$3,'Expense Log'!$C$5:$C$3000,$A8))</f>
        <v/>
      </c>
      <c r="R8" s="23">
        <f>IF(OR($A8="",R$3=""),"",SUMIFS('Expense Log'!$I$5:$I$3000,'Expense Log'!$L$5:$L$3000,R$3,'Expense Log'!$C$5:$C$3000,$A8))</f>
        <v/>
      </c>
      <c r="S8" s="23">
        <f>IF(OR($A8="",S$3=""),"",SUMIFS('Expense Log'!$I$5:$I$3000,'Expense Log'!$L$5:$L$3000,S$3,'Expense Log'!$C$5:$C$3000,$A8))</f>
        <v/>
      </c>
      <c r="T8" s="23">
        <f>IF(OR($A8="",T$3=""),"",SUMIFS('Expense Log'!$I$5:$I$3000,'Expense Log'!$L$5:$L$3000,T$3,'Expense Log'!$C$5:$C$3000,$A8))</f>
        <v/>
      </c>
      <c r="U8" s="23">
        <f>IF(OR($A8="",U$3=""),"",SUMIFS('Expense Log'!$I$5:$I$3000,'Expense Log'!$L$5:$L$3000,U$3,'Expense Log'!$C$5:$C$3000,$A8))</f>
        <v/>
      </c>
      <c r="V8" s="23">
        <f>IF(OR($A8="",V$3=""),"",SUMIFS('Expense Log'!$I$5:$I$3000,'Expense Log'!$L$5:$L$3000,V$3,'Expense Log'!$C$5:$C$3000,$A8))</f>
        <v/>
      </c>
      <c r="W8" s="23">
        <f>IF(OR($A8="",W$3=""),"",SUMIFS('Expense Log'!$I$5:$I$3000,'Expense Log'!$L$5:$L$3000,W$3,'Expense Log'!$C$5:$C$3000,$A8))</f>
        <v/>
      </c>
      <c r="X8" s="23">
        <f>IF(OR($A8="",X$3=""),"",SUMIFS('Expense Log'!$I$5:$I$3000,'Expense Log'!$L$5:$L$3000,X$3,'Expense Log'!$C$5:$C$3000,$A8))</f>
        <v/>
      </c>
      <c r="Y8" s="23">
        <f>IF(OR($A8="",Y$3=""),"",SUMIFS('Expense Log'!$I$5:$I$3000,'Expense Log'!$L$5:$L$3000,Y$3,'Expense Log'!$C$5:$C$3000,$A8))</f>
        <v/>
      </c>
      <c r="Z8" s="23">
        <f>IF($A8="","",SUM(B8:Y8))</f>
        <v/>
      </c>
      <c r="AB8" s="57">
        <f>IF(INDEX($B$3:$Y$3,4)="","",INDEX($B$3:$Y$3,4))</f>
        <v/>
      </c>
    </row>
    <row r="9">
      <c r="A9" s="22">
        <f>IF(INDEX(Lists!$H$4:$AA$4,1,6)="","",INDEX(Lists!$H$4:$AA$4,1,6))</f>
        <v/>
      </c>
      <c r="B9" s="23">
        <f>IF(OR($A9="",B$3=""),"",SUMIFS('Expense Log'!$I$5:$I$3000,'Expense Log'!$L$5:$L$3000,B$3,'Expense Log'!$C$5:$C$3000,$A9))</f>
        <v/>
      </c>
      <c r="C9" s="23">
        <f>IF(OR($A9="",C$3=""),"",SUMIFS('Expense Log'!$I$5:$I$3000,'Expense Log'!$L$5:$L$3000,C$3,'Expense Log'!$C$5:$C$3000,$A9))</f>
        <v/>
      </c>
      <c r="D9" s="23">
        <f>IF(OR($A9="",D$3=""),"",SUMIFS('Expense Log'!$I$5:$I$3000,'Expense Log'!$L$5:$L$3000,D$3,'Expense Log'!$C$5:$C$3000,$A9))</f>
        <v/>
      </c>
      <c r="E9" s="23">
        <f>IF(OR($A9="",E$3=""),"",SUMIFS('Expense Log'!$I$5:$I$3000,'Expense Log'!$L$5:$L$3000,E$3,'Expense Log'!$C$5:$C$3000,$A9))</f>
        <v/>
      </c>
      <c r="F9" s="23">
        <f>IF(OR($A9="",F$3=""),"",SUMIFS('Expense Log'!$I$5:$I$3000,'Expense Log'!$L$5:$L$3000,F$3,'Expense Log'!$C$5:$C$3000,$A9))</f>
        <v/>
      </c>
      <c r="G9" s="23">
        <f>IF(OR($A9="",G$3=""),"",SUMIFS('Expense Log'!$I$5:$I$3000,'Expense Log'!$L$5:$L$3000,G$3,'Expense Log'!$C$5:$C$3000,$A9))</f>
        <v/>
      </c>
      <c r="H9" s="23">
        <f>IF(OR($A9="",H$3=""),"",SUMIFS('Expense Log'!$I$5:$I$3000,'Expense Log'!$L$5:$L$3000,H$3,'Expense Log'!$C$5:$C$3000,$A9))</f>
        <v/>
      </c>
      <c r="I9" s="23">
        <f>IF(OR($A9="",I$3=""),"",SUMIFS('Expense Log'!$I$5:$I$3000,'Expense Log'!$L$5:$L$3000,I$3,'Expense Log'!$C$5:$C$3000,$A9))</f>
        <v/>
      </c>
      <c r="J9" s="23">
        <f>IF(OR($A9="",J$3=""),"",SUMIFS('Expense Log'!$I$5:$I$3000,'Expense Log'!$L$5:$L$3000,J$3,'Expense Log'!$C$5:$C$3000,$A9))</f>
        <v/>
      </c>
      <c r="K9" s="23">
        <f>IF(OR($A9="",K$3=""),"",SUMIFS('Expense Log'!$I$5:$I$3000,'Expense Log'!$L$5:$L$3000,K$3,'Expense Log'!$C$5:$C$3000,$A9))</f>
        <v/>
      </c>
      <c r="L9" s="23">
        <f>IF(OR($A9="",L$3=""),"",SUMIFS('Expense Log'!$I$5:$I$3000,'Expense Log'!$L$5:$L$3000,L$3,'Expense Log'!$C$5:$C$3000,$A9))</f>
        <v/>
      </c>
      <c r="M9" s="23">
        <f>IF(OR($A9="",M$3=""),"",SUMIFS('Expense Log'!$I$5:$I$3000,'Expense Log'!$L$5:$L$3000,M$3,'Expense Log'!$C$5:$C$3000,$A9))</f>
        <v/>
      </c>
      <c r="N9" s="23">
        <f>IF(OR($A9="",N$3=""),"",SUMIFS('Expense Log'!$I$5:$I$3000,'Expense Log'!$L$5:$L$3000,N$3,'Expense Log'!$C$5:$C$3000,$A9))</f>
        <v/>
      </c>
      <c r="O9" s="23">
        <f>IF(OR($A9="",O$3=""),"",SUMIFS('Expense Log'!$I$5:$I$3000,'Expense Log'!$L$5:$L$3000,O$3,'Expense Log'!$C$5:$C$3000,$A9))</f>
        <v/>
      </c>
      <c r="P9" s="23">
        <f>IF(OR($A9="",P$3=""),"",SUMIFS('Expense Log'!$I$5:$I$3000,'Expense Log'!$L$5:$L$3000,P$3,'Expense Log'!$C$5:$C$3000,$A9))</f>
        <v/>
      </c>
      <c r="Q9" s="23">
        <f>IF(OR($A9="",Q$3=""),"",SUMIFS('Expense Log'!$I$5:$I$3000,'Expense Log'!$L$5:$L$3000,Q$3,'Expense Log'!$C$5:$C$3000,$A9))</f>
        <v/>
      </c>
      <c r="R9" s="23">
        <f>IF(OR($A9="",R$3=""),"",SUMIFS('Expense Log'!$I$5:$I$3000,'Expense Log'!$L$5:$L$3000,R$3,'Expense Log'!$C$5:$C$3000,$A9))</f>
        <v/>
      </c>
      <c r="S9" s="23">
        <f>IF(OR($A9="",S$3=""),"",SUMIFS('Expense Log'!$I$5:$I$3000,'Expense Log'!$L$5:$L$3000,S$3,'Expense Log'!$C$5:$C$3000,$A9))</f>
        <v/>
      </c>
      <c r="T9" s="23">
        <f>IF(OR($A9="",T$3=""),"",SUMIFS('Expense Log'!$I$5:$I$3000,'Expense Log'!$L$5:$L$3000,T$3,'Expense Log'!$C$5:$C$3000,$A9))</f>
        <v/>
      </c>
      <c r="U9" s="23">
        <f>IF(OR($A9="",U$3=""),"",SUMIFS('Expense Log'!$I$5:$I$3000,'Expense Log'!$L$5:$L$3000,U$3,'Expense Log'!$C$5:$C$3000,$A9))</f>
        <v/>
      </c>
      <c r="V9" s="23">
        <f>IF(OR($A9="",V$3=""),"",SUMIFS('Expense Log'!$I$5:$I$3000,'Expense Log'!$L$5:$L$3000,V$3,'Expense Log'!$C$5:$C$3000,$A9))</f>
        <v/>
      </c>
      <c r="W9" s="23">
        <f>IF(OR($A9="",W$3=""),"",SUMIFS('Expense Log'!$I$5:$I$3000,'Expense Log'!$L$5:$L$3000,W$3,'Expense Log'!$C$5:$C$3000,$A9))</f>
        <v/>
      </c>
      <c r="X9" s="23">
        <f>IF(OR($A9="",X$3=""),"",SUMIFS('Expense Log'!$I$5:$I$3000,'Expense Log'!$L$5:$L$3000,X$3,'Expense Log'!$C$5:$C$3000,$A9))</f>
        <v/>
      </c>
      <c r="Y9" s="23">
        <f>IF(OR($A9="",Y$3=""),"",SUMIFS('Expense Log'!$I$5:$I$3000,'Expense Log'!$L$5:$L$3000,Y$3,'Expense Log'!$C$5:$C$3000,$A9))</f>
        <v/>
      </c>
      <c r="Z9" s="23">
        <f>IF($A9="","",SUM(B9:Y9))</f>
        <v/>
      </c>
      <c r="AB9" s="57">
        <f>IF(INDEX($B$3:$Y$3,5)="","",INDEX($B$3:$Y$3,5))</f>
        <v/>
      </c>
    </row>
    <row r="10">
      <c r="A10" s="22">
        <f>IF(INDEX(Lists!$H$4:$AA$4,1,7)="","",INDEX(Lists!$H$4:$AA$4,1,7))</f>
        <v/>
      </c>
      <c r="B10" s="23">
        <f>IF(OR($A10="",B$3=""),"",SUMIFS('Expense Log'!$I$5:$I$3000,'Expense Log'!$L$5:$L$3000,B$3,'Expense Log'!$C$5:$C$3000,$A10))</f>
        <v/>
      </c>
      <c r="C10" s="23">
        <f>IF(OR($A10="",C$3=""),"",SUMIFS('Expense Log'!$I$5:$I$3000,'Expense Log'!$L$5:$L$3000,C$3,'Expense Log'!$C$5:$C$3000,$A10))</f>
        <v/>
      </c>
      <c r="D10" s="23">
        <f>IF(OR($A10="",D$3=""),"",SUMIFS('Expense Log'!$I$5:$I$3000,'Expense Log'!$L$5:$L$3000,D$3,'Expense Log'!$C$5:$C$3000,$A10))</f>
        <v/>
      </c>
      <c r="E10" s="23">
        <f>IF(OR($A10="",E$3=""),"",SUMIFS('Expense Log'!$I$5:$I$3000,'Expense Log'!$L$5:$L$3000,E$3,'Expense Log'!$C$5:$C$3000,$A10))</f>
        <v/>
      </c>
      <c r="F10" s="23">
        <f>IF(OR($A10="",F$3=""),"",SUMIFS('Expense Log'!$I$5:$I$3000,'Expense Log'!$L$5:$L$3000,F$3,'Expense Log'!$C$5:$C$3000,$A10))</f>
        <v/>
      </c>
      <c r="G10" s="23">
        <f>IF(OR($A10="",G$3=""),"",SUMIFS('Expense Log'!$I$5:$I$3000,'Expense Log'!$L$5:$L$3000,G$3,'Expense Log'!$C$5:$C$3000,$A10))</f>
        <v/>
      </c>
      <c r="H10" s="23">
        <f>IF(OR($A10="",H$3=""),"",SUMIFS('Expense Log'!$I$5:$I$3000,'Expense Log'!$L$5:$L$3000,H$3,'Expense Log'!$C$5:$C$3000,$A10))</f>
        <v/>
      </c>
      <c r="I10" s="23">
        <f>IF(OR($A10="",I$3=""),"",SUMIFS('Expense Log'!$I$5:$I$3000,'Expense Log'!$L$5:$L$3000,I$3,'Expense Log'!$C$5:$C$3000,$A10))</f>
        <v/>
      </c>
      <c r="J10" s="23">
        <f>IF(OR($A10="",J$3=""),"",SUMIFS('Expense Log'!$I$5:$I$3000,'Expense Log'!$L$5:$L$3000,J$3,'Expense Log'!$C$5:$C$3000,$A10))</f>
        <v/>
      </c>
      <c r="K10" s="23">
        <f>IF(OR($A10="",K$3=""),"",SUMIFS('Expense Log'!$I$5:$I$3000,'Expense Log'!$L$5:$L$3000,K$3,'Expense Log'!$C$5:$C$3000,$A10))</f>
        <v/>
      </c>
      <c r="L10" s="23">
        <f>IF(OR($A10="",L$3=""),"",SUMIFS('Expense Log'!$I$5:$I$3000,'Expense Log'!$L$5:$L$3000,L$3,'Expense Log'!$C$5:$C$3000,$A10))</f>
        <v/>
      </c>
      <c r="M10" s="23">
        <f>IF(OR($A10="",M$3=""),"",SUMIFS('Expense Log'!$I$5:$I$3000,'Expense Log'!$L$5:$L$3000,M$3,'Expense Log'!$C$5:$C$3000,$A10))</f>
        <v/>
      </c>
      <c r="N10" s="23">
        <f>IF(OR($A10="",N$3=""),"",SUMIFS('Expense Log'!$I$5:$I$3000,'Expense Log'!$L$5:$L$3000,N$3,'Expense Log'!$C$5:$C$3000,$A10))</f>
        <v/>
      </c>
      <c r="O10" s="23">
        <f>IF(OR($A10="",O$3=""),"",SUMIFS('Expense Log'!$I$5:$I$3000,'Expense Log'!$L$5:$L$3000,O$3,'Expense Log'!$C$5:$C$3000,$A10))</f>
        <v/>
      </c>
      <c r="P10" s="23">
        <f>IF(OR($A10="",P$3=""),"",SUMIFS('Expense Log'!$I$5:$I$3000,'Expense Log'!$L$5:$L$3000,P$3,'Expense Log'!$C$5:$C$3000,$A10))</f>
        <v/>
      </c>
      <c r="Q10" s="23">
        <f>IF(OR($A10="",Q$3=""),"",SUMIFS('Expense Log'!$I$5:$I$3000,'Expense Log'!$L$5:$L$3000,Q$3,'Expense Log'!$C$5:$C$3000,$A10))</f>
        <v/>
      </c>
      <c r="R10" s="23">
        <f>IF(OR($A10="",R$3=""),"",SUMIFS('Expense Log'!$I$5:$I$3000,'Expense Log'!$L$5:$L$3000,R$3,'Expense Log'!$C$5:$C$3000,$A10))</f>
        <v/>
      </c>
      <c r="S10" s="23">
        <f>IF(OR($A10="",S$3=""),"",SUMIFS('Expense Log'!$I$5:$I$3000,'Expense Log'!$L$5:$L$3000,S$3,'Expense Log'!$C$5:$C$3000,$A10))</f>
        <v/>
      </c>
      <c r="T10" s="23">
        <f>IF(OR($A10="",T$3=""),"",SUMIFS('Expense Log'!$I$5:$I$3000,'Expense Log'!$L$5:$L$3000,T$3,'Expense Log'!$C$5:$C$3000,$A10))</f>
        <v/>
      </c>
      <c r="U10" s="23">
        <f>IF(OR($A10="",U$3=""),"",SUMIFS('Expense Log'!$I$5:$I$3000,'Expense Log'!$L$5:$L$3000,U$3,'Expense Log'!$C$5:$C$3000,$A10))</f>
        <v/>
      </c>
      <c r="V10" s="23">
        <f>IF(OR($A10="",V$3=""),"",SUMIFS('Expense Log'!$I$5:$I$3000,'Expense Log'!$L$5:$L$3000,V$3,'Expense Log'!$C$5:$C$3000,$A10))</f>
        <v/>
      </c>
      <c r="W10" s="23">
        <f>IF(OR($A10="",W$3=""),"",SUMIFS('Expense Log'!$I$5:$I$3000,'Expense Log'!$L$5:$L$3000,W$3,'Expense Log'!$C$5:$C$3000,$A10))</f>
        <v/>
      </c>
      <c r="X10" s="23">
        <f>IF(OR($A10="",X$3=""),"",SUMIFS('Expense Log'!$I$5:$I$3000,'Expense Log'!$L$5:$L$3000,X$3,'Expense Log'!$C$5:$C$3000,$A10))</f>
        <v/>
      </c>
      <c r="Y10" s="23">
        <f>IF(OR($A10="",Y$3=""),"",SUMIFS('Expense Log'!$I$5:$I$3000,'Expense Log'!$L$5:$L$3000,Y$3,'Expense Log'!$C$5:$C$3000,$A10))</f>
        <v/>
      </c>
      <c r="Z10" s="23">
        <f>IF($A10="","",SUM(B10:Y10))</f>
        <v/>
      </c>
      <c r="AB10" s="57">
        <f>IF(INDEX($B$3:$Y$3,6)="","",INDEX($B$3:$Y$3,6))</f>
        <v/>
      </c>
    </row>
    <row r="11">
      <c r="A11" s="22">
        <f>IF(INDEX(Lists!$H$4:$AA$4,1,8)="","",INDEX(Lists!$H$4:$AA$4,1,8))</f>
        <v/>
      </c>
      <c r="B11" s="23">
        <f>IF(OR($A11="",B$3=""),"",SUMIFS('Expense Log'!$I$5:$I$3000,'Expense Log'!$L$5:$L$3000,B$3,'Expense Log'!$C$5:$C$3000,$A11))</f>
        <v/>
      </c>
      <c r="C11" s="23">
        <f>IF(OR($A11="",C$3=""),"",SUMIFS('Expense Log'!$I$5:$I$3000,'Expense Log'!$L$5:$L$3000,C$3,'Expense Log'!$C$5:$C$3000,$A11))</f>
        <v/>
      </c>
      <c r="D11" s="23">
        <f>IF(OR($A11="",D$3=""),"",SUMIFS('Expense Log'!$I$5:$I$3000,'Expense Log'!$L$5:$L$3000,D$3,'Expense Log'!$C$5:$C$3000,$A11))</f>
        <v/>
      </c>
      <c r="E11" s="23">
        <f>IF(OR($A11="",E$3=""),"",SUMIFS('Expense Log'!$I$5:$I$3000,'Expense Log'!$L$5:$L$3000,E$3,'Expense Log'!$C$5:$C$3000,$A11))</f>
        <v/>
      </c>
      <c r="F11" s="23">
        <f>IF(OR($A11="",F$3=""),"",SUMIFS('Expense Log'!$I$5:$I$3000,'Expense Log'!$L$5:$L$3000,F$3,'Expense Log'!$C$5:$C$3000,$A11))</f>
        <v/>
      </c>
      <c r="G11" s="23">
        <f>IF(OR($A11="",G$3=""),"",SUMIFS('Expense Log'!$I$5:$I$3000,'Expense Log'!$L$5:$L$3000,G$3,'Expense Log'!$C$5:$C$3000,$A11))</f>
        <v/>
      </c>
      <c r="H11" s="23">
        <f>IF(OR($A11="",H$3=""),"",SUMIFS('Expense Log'!$I$5:$I$3000,'Expense Log'!$L$5:$L$3000,H$3,'Expense Log'!$C$5:$C$3000,$A11))</f>
        <v/>
      </c>
      <c r="I11" s="23">
        <f>IF(OR($A11="",I$3=""),"",SUMIFS('Expense Log'!$I$5:$I$3000,'Expense Log'!$L$5:$L$3000,I$3,'Expense Log'!$C$5:$C$3000,$A11))</f>
        <v/>
      </c>
      <c r="J11" s="23">
        <f>IF(OR($A11="",J$3=""),"",SUMIFS('Expense Log'!$I$5:$I$3000,'Expense Log'!$L$5:$L$3000,J$3,'Expense Log'!$C$5:$C$3000,$A11))</f>
        <v/>
      </c>
      <c r="K11" s="23">
        <f>IF(OR($A11="",K$3=""),"",SUMIFS('Expense Log'!$I$5:$I$3000,'Expense Log'!$L$5:$L$3000,K$3,'Expense Log'!$C$5:$C$3000,$A11))</f>
        <v/>
      </c>
      <c r="L11" s="23">
        <f>IF(OR($A11="",L$3=""),"",SUMIFS('Expense Log'!$I$5:$I$3000,'Expense Log'!$L$5:$L$3000,L$3,'Expense Log'!$C$5:$C$3000,$A11))</f>
        <v/>
      </c>
      <c r="M11" s="23">
        <f>IF(OR($A11="",M$3=""),"",SUMIFS('Expense Log'!$I$5:$I$3000,'Expense Log'!$L$5:$L$3000,M$3,'Expense Log'!$C$5:$C$3000,$A11))</f>
        <v/>
      </c>
      <c r="N11" s="23">
        <f>IF(OR($A11="",N$3=""),"",SUMIFS('Expense Log'!$I$5:$I$3000,'Expense Log'!$L$5:$L$3000,N$3,'Expense Log'!$C$5:$C$3000,$A11))</f>
        <v/>
      </c>
      <c r="O11" s="23">
        <f>IF(OR($A11="",O$3=""),"",SUMIFS('Expense Log'!$I$5:$I$3000,'Expense Log'!$L$5:$L$3000,O$3,'Expense Log'!$C$5:$C$3000,$A11))</f>
        <v/>
      </c>
      <c r="P11" s="23">
        <f>IF(OR($A11="",P$3=""),"",SUMIFS('Expense Log'!$I$5:$I$3000,'Expense Log'!$L$5:$L$3000,P$3,'Expense Log'!$C$5:$C$3000,$A11))</f>
        <v/>
      </c>
      <c r="Q11" s="23">
        <f>IF(OR($A11="",Q$3=""),"",SUMIFS('Expense Log'!$I$5:$I$3000,'Expense Log'!$L$5:$L$3000,Q$3,'Expense Log'!$C$5:$C$3000,$A11))</f>
        <v/>
      </c>
      <c r="R11" s="23">
        <f>IF(OR($A11="",R$3=""),"",SUMIFS('Expense Log'!$I$5:$I$3000,'Expense Log'!$L$5:$L$3000,R$3,'Expense Log'!$C$5:$C$3000,$A11))</f>
        <v/>
      </c>
      <c r="S11" s="23">
        <f>IF(OR($A11="",S$3=""),"",SUMIFS('Expense Log'!$I$5:$I$3000,'Expense Log'!$L$5:$L$3000,S$3,'Expense Log'!$C$5:$C$3000,$A11))</f>
        <v/>
      </c>
      <c r="T11" s="23">
        <f>IF(OR($A11="",T$3=""),"",SUMIFS('Expense Log'!$I$5:$I$3000,'Expense Log'!$L$5:$L$3000,T$3,'Expense Log'!$C$5:$C$3000,$A11))</f>
        <v/>
      </c>
      <c r="U11" s="23">
        <f>IF(OR($A11="",U$3=""),"",SUMIFS('Expense Log'!$I$5:$I$3000,'Expense Log'!$L$5:$L$3000,U$3,'Expense Log'!$C$5:$C$3000,$A11))</f>
        <v/>
      </c>
      <c r="V11" s="23">
        <f>IF(OR($A11="",V$3=""),"",SUMIFS('Expense Log'!$I$5:$I$3000,'Expense Log'!$L$5:$L$3000,V$3,'Expense Log'!$C$5:$C$3000,$A11))</f>
        <v/>
      </c>
      <c r="W11" s="23">
        <f>IF(OR($A11="",W$3=""),"",SUMIFS('Expense Log'!$I$5:$I$3000,'Expense Log'!$L$5:$L$3000,W$3,'Expense Log'!$C$5:$C$3000,$A11))</f>
        <v/>
      </c>
      <c r="X11" s="23">
        <f>IF(OR($A11="",X$3=""),"",SUMIFS('Expense Log'!$I$5:$I$3000,'Expense Log'!$L$5:$L$3000,X$3,'Expense Log'!$C$5:$C$3000,$A11))</f>
        <v/>
      </c>
      <c r="Y11" s="23">
        <f>IF(OR($A11="",Y$3=""),"",SUMIFS('Expense Log'!$I$5:$I$3000,'Expense Log'!$L$5:$L$3000,Y$3,'Expense Log'!$C$5:$C$3000,$A11))</f>
        <v/>
      </c>
      <c r="Z11" s="23">
        <f>IF($A11="","",SUM(B11:Y11))</f>
        <v/>
      </c>
      <c r="AB11" s="57">
        <f>IF(INDEX($B$3:$Y$3,7)="","",INDEX($B$3:$Y$3,7))</f>
        <v/>
      </c>
    </row>
    <row r="12">
      <c r="A12" s="22">
        <f>IF(INDEX(Lists!$H$4:$AA$4,1,9)="","",INDEX(Lists!$H$4:$AA$4,1,9))</f>
        <v/>
      </c>
      <c r="B12" s="23">
        <f>IF(OR($A12="",B$3=""),"",SUMIFS('Expense Log'!$I$5:$I$3000,'Expense Log'!$L$5:$L$3000,B$3,'Expense Log'!$C$5:$C$3000,$A12))</f>
        <v/>
      </c>
      <c r="C12" s="23">
        <f>IF(OR($A12="",C$3=""),"",SUMIFS('Expense Log'!$I$5:$I$3000,'Expense Log'!$L$5:$L$3000,C$3,'Expense Log'!$C$5:$C$3000,$A12))</f>
        <v/>
      </c>
      <c r="D12" s="23">
        <f>IF(OR($A12="",D$3=""),"",SUMIFS('Expense Log'!$I$5:$I$3000,'Expense Log'!$L$5:$L$3000,D$3,'Expense Log'!$C$5:$C$3000,$A12))</f>
        <v/>
      </c>
      <c r="E12" s="23">
        <f>IF(OR($A12="",E$3=""),"",SUMIFS('Expense Log'!$I$5:$I$3000,'Expense Log'!$L$5:$L$3000,E$3,'Expense Log'!$C$5:$C$3000,$A12))</f>
        <v/>
      </c>
      <c r="F12" s="23">
        <f>IF(OR($A12="",F$3=""),"",SUMIFS('Expense Log'!$I$5:$I$3000,'Expense Log'!$L$5:$L$3000,F$3,'Expense Log'!$C$5:$C$3000,$A12))</f>
        <v/>
      </c>
      <c r="G12" s="23">
        <f>IF(OR($A12="",G$3=""),"",SUMIFS('Expense Log'!$I$5:$I$3000,'Expense Log'!$L$5:$L$3000,G$3,'Expense Log'!$C$5:$C$3000,$A12))</f>
        <v/>
      </c>
      <c r="H12" s="23">
        <f>IF(OR($A12="",H$3=""),"",SUMIFS('Expense Log'!$I$5:$I$3000,'Expense Log'!$L$5:$L$3000,H$3,'Expense Log'!$C$5:$C$3000,$A12))</f>
        <v/>
      </c>
      <c r="I12" s="23">
        <f>IF(OR($A12="",I$3=""),"",SUMIFS('Expense Log'!$I$5:$I$3000,'Expense Log'!$L$5:$L$3000,I$3,'Expense Log'!$C$5:$C$3000,$A12))</f>
        <v/>
      </c>
      <c r="J12" s="23">
        <f>IF(OR($A12="",J$3=""),"",SUMIFS('Expense Log'!$I$5:$I$3000,'Expense Log'!$L$5:$L$3000,J$3,'Expense Log'!$C$5:$C$3000,$A12))</f>
        <v/>
      </c>
      <c r="K12" s="23">
        <f>IF(OR($A12="",K$3=""),"",SUMIFS('Expense Log'!$I$5:$I$3000,'Expense Log'!$L$5:$L$3000,K$3,'Expense Log'!$C$5:$C$3000,$A12))</f>
        <v/>
      </c>
      <c r="L12" s="23">
        <f>IF(OR($A12="",L$3=""),"",SUMIFS('Expense Log'!$I$5:$I$3000,'Expense Log'!$L$5:$L$3000,L$3,'Expense Log'!$C$5:$C$3000,$A12))</f>
        <v/>
      </c>
      <c r="M12" s="23">
        <f>IF(OR($A12="",M$3=""),"",SUMIFS('Expense Log'!$I$5:$I$3000,'Expense Log'!$L$5:$L$3000,M$3,'Expense Log'!$C$5:$C$3000,$A12))</f>
        <v/>
      </c>
      <c r="N12" s="23">
        <f>IF(OR($A12="",N$3=""),"",SUMIFS('Expense Log'!$I$5:$I$3000,'Expense Log'!$L$5:$L$3000,N$3,'Expense Log'!$C$5:$C$3000,$A12))</f>
        <v/>
      </c>
      <c r="O12" s="23">
        <f>IF(OR($A12="",O$3=""),"",SUMIFS('Expense Log'!$I$5:$I$3000,'Expense Log'!$L$5:$L$3000,O$3,'Expense Log'!$C$5:$C$3000,$A12))</f>
        <v/>
      </c>
      <c r="P12" s="23">
        <f>IF(OR($A12="",P$3=""),"",SUMIFS('Expense Log'!$I$5:$I$3000,'Expense Log'!$L$5:$L$3000,P$3,'Expense Log'!$C$5:$C$3000,$A12))</f>
        <v/>
      </c>
      <c r="Q12" s="23">
        <f>IF(OR($A12="",Q$3=""),"",SUMIFS('Expense Log'!$I$5:$I$3000,'Expense Log'!$L$5:$L$3000,Q$3,'Expense Log'!$C$5:$C$3000,$A12))</f>
        <v/>
      </c>
      <c r="R12" s="23">
        <f>IF(OR($A12="",R$3=""),"",SUMIFS('Expense Log'!$I$5:$I$3000,'Expense Log'!$L$5:$L$3000,R$3,'Expense Log'!$C$5:$C$3000,$A12))</f>
        <v/>
      </c>
      <c r="S12" s="23">
        <f>IF(OR($A12="",S$3=""),"",SUMIFS('Expense Log'!$I$5:$I$3000,'Expense Log'!$L$5:$L$3000,S$3,'Expense Log'!$C$5:$C$3000,$A12))</f>
        <v/>
      </c>
      <c r="T12" s="23">
        <f>IF(OR($A12="",T$3=""),"",SUMIFS('Expense Log'!$I$5:$I$3000,'Expense Log'!$L$5:$L$3000,T$3,'Expense Log'!$C$5:$C$3000,$A12))</f>
        <v/>
      </c>
      <c r="U12" s="23">
        <f>IF(OR($A12="",U$3=""),"",SUMIFS('Expense Log'!$I$5:$I$3000,'Expense Log'!$L$5:$L$3000,U$3,'Expense Log'!$C$5:$C$3000,$A12))</f>
        <v/>
      </c>
      <c r="V12" s="23">
        <f>IF(OR($A12="",V$3=""),"",SUMIFS('Expense Log'!$I$5:$I$3000,'Expense Log'!$L$5:$L$3000,V$3,'Expense Log'!$C$5:$C$3000,$A12))</f>
        <v/>
      </c>
      <c r="W12" s="23">
        <f>IF(OR($A12="",W$3=""),"",SUMIFS('Expense Log'!$I$5:$I$3000,'Expense Log'!$L$5:$L$3000,W$3,'Expense Log'!$C$5:$C$3000,$A12))</f>
        <v/>
      </c>
      <c r="X12" s="23">
        <f>IF(OR($A12="",X$3=""),"",SUMIFS('Expense Log'!$I$5:$I$3000,'Expense Log'!$L$5:$L$3000,X$3,'Expense Log'!$C$5:$C$3000,$A12))</f>
        <v/>
      </c>
      <c r="Y12" s="23">
        <f>IF(OR($A12="",Y$3=""),"",SUMIFS('Expense Log'!$I$5:$I$3000,'Expense Log'!$L$5:$L$3000,Y$3,'Expense Log'!$C$5:$C$3000,$A12))</f>
        <v/>
      </c>
      <c r="Z12" s="23">
        <f>IF($A12="","",SUM(B12:Y12))</f>
        <v/>
      </c>
      <c r="AB12" s="57">
        <f>IF(INDEX($B$3:$Y$3,8)="","",INDEX($B$3:$Y$3,8))</f>
        <v/>
      </c>
    </row>
    <row r="13">
      <c r="A13" s="22">
        <f>IF(INDEX(Lists!$H$4:$AA$4,1,10)="","",INDEX(Lists!$H$4:$AA$4,1,10))</f>
        <v/>
      </c>
      <c r="B13" s="23">
        <f>IF(OR($A13="",B$3=""),"",SUMIFS('Expense Log'!$I$5:$I$3000,'Expense Log'!$L$5:$L$3000,B$3,'Expense Log'!$C$5:$C$3000,$A13))</f>
        <v/>
      </c>
      <c r="C13" s="23">
        <f>IF(OR($A13="",C$3=""),"",SUMIFS('Expense Log'!$I$5:$I$3000,'Expense Log'!$L$5:$L$3000,C$3,'Expense Log'!$C$5:$C$3000,$A13))</f>
        <v/>
      </c>
      <c r="D13" s="23">
        <f>IF(OR($A13="",D$3=""),"",SUMIFS('Expense Log'!$I$5:$I$3000,'Expense Log'!$L$5:$L$3000,D$3,'Expense Log'!$C$5:$C$3000,$A13))</f>
        <v/>
      </c>
      <c r="E13" s="23">
        <f>IF(OR($A13="",E$3=""),"",SUMIFS('Expense Log'!$I$5:$I$3000,'Expense Log'!$L$5:$L$3000,E$3,'Expense Log'!$C$5:$C$3000,$A13))</f>
        <v/>
      </c>
      <c r="F13" s="23">
        <f>IF(OR($A13="",F$3=""),"",SUMIFS('Expense Log'!$I$5:$I$3000,'Expense Log'!$L$5:$L$3000,F$3,'Expense Log'!$C$5:$C$3000,$A13))</f>
        <v/>
      </c>
      <c r="G13" s="23">
        <f>IF(OR($A13="",G$3=""),"",SUMIFS('Expense Log'!$I$5:$I$3000,'Expense Log'!$L$5:$L$3000,G$3,'Expense Log'!$C$5:$C$3000,$A13))</f>
        <v/>
      </c>
      <c r="H13" s="23">
        <f>IF(OR($A13="",H$3=""),"",SUMIFS('Expense Log'!$I$5:$I$3000,'Expense Log'!$L$5:$L$3000,H$3,'Expense Log'!$C$5:$C$3000,$A13))</f>
        <v/>
      </c>
      <c r="I13" s="23">
        <f>IF(OR($A13="",I$3=""),"",SUMIFS('Expense Log'!$I$5:$I$3000,'Expense Log'!$L$5:$L$3000,I$3,'Expense Log'!$C$5:$C$3000,$A13))</f>
        <v/>
      </c>
      <c r="J13" s="23">
        <f>IF(OR($A13="",J$3=""),"",SUMIFS('Expense Log'!$I$5:$I$3000,'Expense Log'!$L$5:$L$3000,J$3,'Expense Log'!$C$5:$C$3000,$A13))</f>
        <v/>
      </c>
      <c r="K13" s="23">
        <f>IF(OR($A13="",K$3=""),"",SUMIFS('Expense Log'!$I$5:$I$3000,'Expense Log'!$L$5:$L$3000,K$3,'Expense Log'!$C$5:$C$3000,$A13))</f>
        <v/>
      </c>
      <c r="L13" s="23">
        <f>IF(OR($A13="",L$3=""),"",SUMIFS('Expense Log'!$I$5:$I$3000,'Expense Log'!$L$5:$L$3000,L$3,'Expense Log'!$C$5:$C$3000,$A13))</f>
        <v/>
      </c>
      <c r="M13" s="23">
        <f>IF(OR($A13="",M$3=""),"",SUMIFS('Expense Log'!$I$5:$I$3000,'Expense Log'!$L$5:$L$3000,M$3,'Expense Log'!$C$5:$C$3000,$A13))</f>
        <v/>
      </c>
      <c r="N13" s="23">
        <f>IF(OR($A13="",N$3=""),"",SUMIFS('Expense Log'!$I$5:$I$3000,'Expense Log'!$L$5:$L$3000,N$3,'Expense Log'!$C$5:$C$3000,$A13))</f>
        <v/>
      </c>
      <c r="O13" s="23">
        <f>IF(OR($A13="",O$3=""),"",SUMIFS('Expense Log'!$I$5:$I$3000,'Expense Log'!$L$5:$L$3000,O$3,'Expense Log'!$C$5:$C$3000,$A13))</f>
        <v/>
      </c>
      <c r="P13" s="23">
        <f>IF(OR($A13="",P$3=""),"",SUMIFS('Expense Log'!$I$5:$I$3000,'Expense Log'!$L$5:$L$3000,P$3,'Expense Log'!$C$5:$C$3000,$A13))</f>
        <v/>
      </c>
      <c r="Q13" s="23">
        <f>IF(OR($A13="",Q$3=""),"",SUMIFS('Expense Log'!$I$5:$I$3000,'Expense Log'!$L$5:$L$3000,Q$3,'Expense Log'!$C$5:$C$3000,$A13))</f>
        <v/>
      </c>
      <c r="R13" s="23">
        <f>IF(OR($A13="",R$3=""),"",SUMIFS('Expense Log'!$I$5:$I$3000,'Expense Log'!$L$5:$L$3000,R$3,'Expense Log'!$C$5:$C$3000,$A13))</f>
        <v/>
      </c>
      <c r="S13" s="23">
        <f>IF(OR($A13="",S$3=""),"",SUMIFS('Expense Log'!$I$5:$I$3000,'Expense Log'!$L$5:$L$3000,S$3,'Expense Log'!$C$5:$C$3000,$A13))</f>
        <v/>
      </c>
      <c r="T13" s="23">
        <f>IF(OR($A13="",T$3=""),"",SUMIFS('Expense Log'!$I$5:$I$3000,'Expense Log'!$L$5:$L$3000,T$3,'Expense Log'!$C$5:$C$3000,$A13))</f>
        <v/>
      </c>
      <c r="U13" s="23">
        <f>IF(OR($A13="",U$3=""),"",SUMIFS('Expense Log'!$I$5:$I$3000,'Expense Log'!$L$5:$L$3000,U$3,'Expense Log'!$C$5:$C$3000,$A13))</f>
        <v/>
      </c>
      <c r="V13" s="23">
        <f>IF(OR($A13="",V$3=""),"",SUMIFS('Expense Log'!$I$5:$I$3000,'Expense Log'!$L$5:$L$3000,V$3,'Expense Log'!$C$5:$C$3000,$A13))</f>
        <v/>
      </c>
      <c r="W13" s="23">
        <f>IF(OR($A13="",W$3=""),"",SUMIFS('Expense Log'!$I$5:$I$3000,'Expense Log'!$L$5:$L$3000,W$3,'Expense Log'!$C$5:$C$3000,$A13))</f>
        <v/>
      </c>
      <c r="X13" s="23">
        <f>IF(OR($A13="",X$3=""),"",SUMIFS('Expense Log'!$I$5:$I$3000,'Expense Log'!$L$5:$L$3000,X$3,'Expense Log'!$C$5:$C$3000,$A13))</f>
        <v/>
      </c>
      <c r="Y13" s="23">
        <f>IF(OR($A13="",Y$3=""),"",SUMIFS('Expense Log'!$I$5:$I$3000,'Expense Log'!$L$5:$L$3000,Y$3,'Expense Log'!$C$5:$C$3000,$A13))</f>
        <v/>
      </c>
      <c r="Z13" s="23">
        <f>IF($A13="","",SUM(B13:Y13))</f>
        <v/>
      </c>
      <c r="AB13" s="57">
        <f>IF(INDEX($B$3:$Y$3,9)="","",INDEX($B$3:$Y$3,9))</f>
        <v/>
      </c>
    </row>
    <row r="14">
      <c r="A14" s="22">
        <f>IF(INDEX(Lists!$H$4:$AA$4,1,11)="","",INDEX(Lists!$H$4:$AA$4,1,11))</f>
        <v/>
      </c>
      <c r="B14" s="23">
        <f>IF(OR($A14="",B$3=""),"",SUMIFS('Expense Log'!$I$5:$I$3000,'Expense Log'!$L$5:$L$3000,B$3,'Expense Log'!$C$5:$C$3000,$A14))</f>
        <v/>
      </c>
      <c r="C14" s="23">
        <f>IF(OR($A14="",C$3=""),"",SUMIFS('Expense Log'!$I$5:$I$3000,'Expense Log'!$L$5:$L$3000,C$3,'Expense Log'!$C$5:$C$3000,$A14))</f>
        <v/>
      </c>
      <c r="D14" s="23">
        <f>IF(OR($A14="",D$3=""),"",SUMIFS('Expense Log'!$I$5:$I$3000,'Expense Log'!$L$5:$L$3000,D$3,'Expense Log'!$C$5:$C$3000,$A14))</f>
        <v/>
      </c>
      <c r="E14" s="23">
        <f>IF(OR($A14="",E$3=""),"",SUMIFS('Expense Log'!$I$5:$I$3000,'Expense Log'!$L$5:$L$3000,E$3,'Expense Log'!$C$5:$C$3000,$A14))</f>
        <v/>
      </c>
      <c r="F14" s="23">
        <f>IF(OR($A14="",F$3=""),"",SUMIFS('Expense Log'!$I$5:$I$3000,'Expense Log'!$L$5:$L$3000,F$3,'Expense Log'!$C$5:$C$3000,$A14))</f>
        <v/>
      </c>
      <c r="G14" s="23">
        <f>IF(OR($A14="",G$3=""),"",SUMIFS('Expense Log'!$I$5:$I$3000,'Expense Log'!$L$5:$L$3000,G$3,'Expense Log'!$C$5:$C$3000,$A14))</f>
        <v/>
      </c>
      <c r="H14" s="23">
        <f>IF(OR($A14="",H$3=""),"",SUMIFS('Expense Log'!$I$5:$I$3000,'Expense Log'!$L$5:$L$3000,H$3,'Expense Log'!$C$5:$C$3000,$A14))</f>
        <v/>
      </c>
      <c r="I14" s="23">
        <f>IF(OR($A14="",I$3=""),"",SUMIFS('Expense Log'!$I$5:$I$3000,'Expense Log'!$L$5:$L$3000,I$3,'Expense Log'!$C$5:$C$3000,$A14))</f>
        <v/>
      </c>
      <c r="J14" s="23">
        <f>IF(OR($A14="",J$3=""),"",SUMIFS('Expense Log'!$I$5:$I$3000,'Expense Log'!$L$5:$L$3000,J$3,'Expense Log'!$C$5:$C$3000,$A14))</f>
        <v/>
      </c>
      <c r="K14" s="23">
        <f>IF(OR($A14="",K$3=""),"",SUMIFS('Expense Log'!$I$5:$I$3000,'Expense Log'!$L$5:$L$3000,K$3,'Expense Log'!$C$5:$C$3000,$A14))</f>
        <v/>
      </c>
      <c r="L14" s="23">
        <f>IF(OR($A14="",L$3=""),"",SUMIFS('Expense Log'!$I$5:$I$3000,'Expense Log'!$L$5:$L$3000,L$3,'Expense Log'!$C$5:$C$3000,$A14))</f>
        <v/>
      </c>
      <c r="M14" s="23">
        <f>IF(OR($A14="",M$3=""),"",SUMIFS('Expense Log'!$I$5:$I$3000,'Expense Log'!$L$5:$L$3000,M$3,'Expense Log'!$C$5:$C$3000,$A14))</f>
        <v/>
      </c>
      <c r="N14" s="23">
        <f>IF(OR($A14="",N$3=""),"",SUMIFS('Expense Log'!$I$5:$I$3000,'Expense Log'!$L$5:$L$3000,N$3,'Expense Log'!$C$5:$C$3000,$A14))</f>
        <v/>
      </c>
      <c r="O14" s="23">
        <f>IF(OR($A14="",O$3=""),"",SUMIFS('Expense Log'!$I$5:$I$3000,'Expense Log'!$L$5:$L$3000,O$3,'Expense Log'!$C$5:$C$3000,$A14))</f>
        <v/>
      </c>
      <c r="P14" s="23">
        <f>IF(OR($A14="",P$3=""),"",SUMIFS('Expense Log'!$I$5:$I$3000,'Expense Log'!$L$5:$L$3000,P$3,'Expense Log'!$C$5:$C$3000,$A14))</f>
        <v/>
      </c>
      <c r="Q14" s="23">
        <f>IF(OR($A14="",Q$3=""),"",SUMIFS('Expense Log'!$I$5:$I$3000,'Expense Log'!$L$5:$L$3000,Q$3,'Expense Log'!$C$5:$C$3000,$A14))</f>
        <v/>
      </c>
      <c r="R14" s="23">
        <f>IF(OR($A14="",R$3=""),"",SUMIFS('Expense Log'!$I$5:$I$3000,'Expense Log'!$L$5:$L$3000,R$3,'Expense Log'!$C$5:$C$3000,$A14))</f>
        <v/>
      </c>
      <c r="S14" s="23">
        <f>IF(OR($A14="",S$3=""),"",SUMIFS('Expense Log'!$I$5:$I$3000,'Expense Log'!$L$5:$L$3000,S$3,'Expense Log'!$C$5:$C$3000,$A14))</f>
        <v/>
      </c>
      <c r="T14" s="23">
        <f>IF(OR($A14="",T$3=""),"",SUMIFS('Expense Log'!$I$5:$I$3000,'Expense Log'!$L$5:$L$3000,T$3,'Expense Log'!$C$5:$C$3000,$A14))</f>
        <v/>
      </c>
      <c r="U14" s="23">
        <f>IF(OR($A14="",U$3=""),"",SUMIFS('Expense Log'!$I$5:$I$3000,'Expense Log'!$L$5:$L$3000,U$3,'Expense Log'!$C$5:$C$3000,$A14))</f>
        <v/>
      </c>
      <c r="V14" s="23">
        <f>IF(OR($A14="",V$3=""),"",SUMIFS('Expense Log'!$I$5:$I$3000,'Expense Log'!$L$5:$L$3000,V$3,'Expense Log'!$C$5:$C$3000,$A14))</f>
        <v/>
      </c>
      <c r="W14" s="23">
        <f>IF(OR($A14="",W$3=""),"",SUMIFS('Expense Log'!$I$5:$I$3000,'Expense Log'!$L$5:$L$3000,W$3,'Expense Log'!$C$5:$C$3000,$A14))</f>
        <v/>
      </c>
      <c r="X14" s="23">
        <f>IF(OR($A14="",X$3=""),"",SUMIFS('Expense Log'!$I$5:$I$3000,'Expense Log'!$L$5:$L$3000,X$3,'Expense Log'!$C$5:$C$3000,$A14))</f>
        <v/>
      </c>
      <c r="Y14" s="23">
        <f>IF(OR($A14="",Y$3=""),"",SUMIFS('Expense Log'!$I$5:$I$3000,'Expense Log'!$L$5:$L$3000,Y$3,'Expense Log'!$C$5:$C$3000,$A14))</f>
        <v/>
      </c>
      <c r="Z14" s="23">
        <f>IF($A14="","",SUM(B14:Y14))</f>
        <v/>
      </c>
      <c r="AB14" s="57">
        <f>IF(INDEX($B$3:$Y$3,10)="","",INDEX($B$3:$Y$3,10))</f>
        <v/>
      </c>
    </row>
    <row r="15">
      <c r="A15" s="22">
        <f>IF(INDEX(Lists!$H$4:$AA$4,1,12)="","",INDEX(Lists!$H$4:$AA$4,1,12))</f>
        <v/>
      </c>
      <c r="B15" s="23">
        <f>IF(OR($A15="",B$3=""),"",SUMIFS('Expense Log'!$I$5:$I$3000,'Expense Log'!$L$5:$L$3000,B$3,'Expense Log'!$C$5:$C$3000,$A15))</f>
        <v/>
      </c>
      <c r="C15" s="23">
        <f>IF(OR($A15="",C$3=""),"",SUMIFS('Expense Log'!$I$5:$I$3000,'Expense Log'!$L$5:$L$3000,C$3,'Expense Log'!$C$5:$C$3000,$A15))</f>
        <v/>
      </c>
      <c r="D15" s="23">
        <f>IF(OR($A15="",D$3=""),"",SUMIFS('Expense Log'!$I$5:$I$3000,'Expense Log'!$L$5:$L$3000,D$3,'Expense Log'!$C$5:$C$3000,$A15))</f>
        <v/>
      </c>
      <c r="E15" s="23">
        <f>IF(OR($A15="",E$3=""),"",SUMIFS('Expense Log'!$I$5:$I$3000,'Expense Log'!$L$5:$L$3000,E$3,'Expense Log'!$C$5:$C$3000,$A15))</f>
        <v/>
      </c>
      <c r="F15" s="23">
        <f>IF(OR($A15="",F$3=""),"",SUMIFS('Expense Log'!$I$5:$I$3000,'Expense Log'!$L$5:$L$3000,F$3,'Expense Log'!$C$5:$C$3000,$A15))</f>
        <v/>
      </c>
      <c r="G15" s="23">
        <f>IF(OR($A15="",G$3=""),"",SUMIFS('Expense Log'!$I$5:$I$3000,'Expense Log'!$L$5:$L$3000,G$3,'Expense Log'!$C$5:$C$3000,$A15))</f>
        <v/>
      </c>
      <c r="H15" s="23">
        <f>IF(OR($A15="",H$3=""),"",SUMIFS('Expense Log'!$I$5:$I$3000,'Expense Log'!$L$5:$L$3000,H$3,'Expense Log'!$C$5:$C$3000,$A15))</f>
        <v/>
      </c>
      <c r="I15" s="23">
        <f>IF(OR($A15="",I$3=""),"",SUMIFS('Expense Log'!$I$5:$I$3000,'Expense Log'!$L$5:$L$3000,I$3,'Expense Log'!$C$5:$C$3000,$A15))</f>
        <v/>
      </c>
      <c r="J15" s="23">
        <f>IF(OR($A15="",J$3=""),"",SUMIFS('Expense Log'!$I$5:$I$3000,'Expense Log'!$L$5:$L$3000,J$3,'Expense Log'!$C$5:$C$3000,$A15))</f>
        <v/>
      </c>
      <c r="K15" s="23">
        <f>IF(OR($A15="",K$3=""),"",SUMIFS('Expense Log'!$I$5:$I$3000,'Expense Log'!$L$5:$L$3000,K$3,'Expense Log'!$C$5:$C$3000,$A15))</f>
        <v/>
      </c>
      <c r="L15" s="23">
        <f>IF(OR($A15="",L$3=""),"",SUMIFS('Expense Log'!$I$5:$I$3000,'Expense Log'!$L$5:$L$3000,L$3,'Expense Log'!$C$5:$C$3000,$A15))</f>
        <v/>
      </c>
      <c r="M15" s="23">
        <f>IF(OR($A15="",M$3=""),"",SUMIFS('Expense Log'!$I$5:$I$3000,'Expense Log'!$L$5:$L$3000,M$3,'Expense Log'!$C$5:$C$3000,$A15))</f>
        <v/>
      </c>
      <c r="N15" s="23">
        <f>IF(OR($A15="",N$3=""),"",SUMIFS('Expense Log'!$I$5:$I$3000,'Expense Log'!$L$5:$L$3000,N$3,'Expense Log'!$C$5:$C$3000,$A15))</f>
        <v/>
      </c>
      <c r="O15" s="23">
        <f>IF(OR($A15="",O$3=""),"",SUMIFS('Expense Log'!$I$5:$I$3000,'Expense Log'!$L$5:$L$3000,O$3,'Expense Log'!$C$5:$C$3000,$A15))</f>
        <v/>
      </c>
      <c r="P15" s="23">
        <f>IF(OR($A15="",P$3=""),"",SUMIFS('Expense Log'!$I$5:$I$3000,'Expense Log'!$L$5:$L$3000,P$3,'Expense Log'!$C$5:$C$3000,$A15))</f>
        <v/>
      </c>
      <c r="Q15" s="23">
        <f>IF(OR($A15="",Q$3=""),"",SUMIFS('Expense Log'!$I$5:$I$3000,'Expense Log'!$L$5:$L$3000,Q$3,'Expense Log'!$C$5:$C$3000,$A15))</f>
        <v/>
      </c>
      <c r="R15" s="23">
        <f>IF(OR($A15="",R$3=""),"",SUMIFS('Expense Log'!$I$5:$I$3000,'Expense Log'!$L$5:$L$3000,R$3,'Expense Log'!$C$5:$C$3000,$A15))</f>
        <v/>
      </c>
      <c r="S15" s="23">
        <f>IF(OR($A15="",S$3=""),"",SUMIFS('Expense Log'!$I$5:$I$3000,'Expense Log'!$L$5:$L$3000,S$3,'Expense Log'!$C$5:$C$3000,$A15))</f>
        <v/>
      </c>
      <c r="T15" s="23">
        <f>IF(OR($A15="",T$3=""),"",SUMIFS('Expense Log'!$I$5:$I$3000,'Expense Log'!$L$5:$L$3000,T$3,'Expense Log'!$C$5:$C$3000,$A15))</f>
        <v/>
      </c>
      <c r="U15" s="23">
        <f>IF(OR($A15="",U$3=""),"",SUMIFS('Expense Log'!$I$5:$I$3000,'Expense Log'!$L$5:$L$3000,U$3,'Expense Log'!$C$5:$C$3000,$A15))</f>
        <v/>
      </c>
      <c r="V15" s="23">
        <f>IF(OR($A15="",V$3=""),"",SUMIFS('Expense Log'!$I$5:$I$3000,'Expense Log'!$L$5:$L$3000,V$3,'Expense Log'!$C$5:$C$3000,$A15))</f>
        <v/>
      </c>
      <c r="W15" s="23">
        <f>IF(OR($A15="",W$3=""),"",SUMIFS('Expense Log'!$I$5:$I$3000,'Expense Log'!$L$5:$L$3000,W$3,'Expense Log'!$C$5:$C$3000,$A15))</f>
        <v/>
      </c>
      <c r="X15" s="23">
        <f>IF(OR($A15="",X$3=""),"",SUMIFS('Expense Log'!$I$5:$I$3000,'Expense Log'!$L$5:$L$3000,X$3,'Expense Log'!$C$5:$C$3000,$A15))</f>
        <v/>
      </c>
      <c r="Y15" s="23">
        <f>IF(OR($A15="",Y$3=""),"",SUMIFS('Expense Log'!$I$5:$I$3000,'Expense Log'!$L$5:$L$3000,Y$3,'Expense Log'!$C$5:$C$3000,$A15))</f>
        <v/>
      </c>
      <c r="Z15" s="23">
        <f>IF($A15="","",SUM(B15:Y15))</f>
        <v/>
      </c>
      <c r="AB15" s="57">
        <f>IF(INDEX($B$3:$Y$3,11)="","",INDEX($B$3:$Y$3,11))</f>
        <v/>
      </c>
    </row>
    <row r="16">
      <c r="A16" s="22">
        <f>IF(INDEX(Lists!$H$4:$AA$4,1,13)="","",INDEX(Lists!$H$4:$AA$4,1,13))</f>
        <v/>
      </c>
      <c r="B16" s="23">
        <f>IF(OR($A16="",B$3=""),"",SUMIFS('Expense Log'!$I$5:$I$3000,'Expense Log'!$L$5:$L$3000,B$3,'Expense Log'!$C$5:$C$3000,$A16))</f>
        <v/>
      </c>
      <c r="C16" s="23">
        <f>IF(OR($A16="",C$3=""),"",SUMIFS('Expense Log'!$I$5:$I$3000,'Expense Log'!$L$5:$L$3000,C$3,'Expense Log'!$C$5:$C$3000,$A16))</f>
        <v/>
      </c>
      <c r="D16" s="23">
        <f>IF(OR($A16="",D$3=""),"",SUMIFS('Expense Log'!$I$5:$I$3000,'Expense Log'!$L$5:$L$3000,D$3,'Expense Log'!$C$5:$C$3000,$A16))</f>
        <v/>
      </c>
      <c r="E16" s="23">
        <f>IF(OR($A16="",E$3=""),"",SUMIFS('Expense Log'!$I$5:$I$3000,'Expense Log'!$L$5:$L$3000,E$3,'Expense Log'!$C$5:$C$3000,$A16))</f>
        <v/>
      </c>
      <c r="F16" s="23">
        <f>IF(OR($A16="",F$3=""),"",SUMIFS('Expense Log'!$I$5:$I$3000,'Expense Log'!$L$5:$L$3000,F$3,'Expense Log'!$C$5:$C$3000,$A16))</f>
        <v/>
      </c>
      <c r="G16" s="23">
        <f>IF(OR($A16="",G$3=""),"",SUMIFS('Expense Log'!$I$5:$I$3000,'Expense Log'!$L$5:$L$3000,G$3,'Expense Log'!$C$5:$C$3000,$A16))</f>
        <v/>
      </c>
      <c r="H16" s="23">
        <f>IF(OR($A16="",H$3=""),"",SUMIFS('Expense Log'!$I$5:$I$3000,'Expense Log'!$L$5:$L$3000,H$3,'Expense Log'!$C$5:$C$3000,$A16))</f>
        <v/>
      </c>
      <c r="I16" s="23">
        <f>IF(OR($A16="",I$3=""),"",SUMIFS('Expense Log'!$I$5:$I$3000,'Expense Log'!$L$5:$L$3000,I$3,'Expense Log'!$C$5:$C$3000,$A16))</f>
        <v/>
      </c>
      <c r="J16" s="23">
        <f>IF(OR($A16="",J$3=""),"",SUMIFS('Expense Log'!$I$5:$I$3000,'Expense Log'!$L$5:$L$3000,J$3,'Expense Log'!$C$5:$C$3000,$A16))</f>
        <v/>
      </c>
      <c r="K16" s="23">
        <f>IF(OR($A16="",K$3=""),"",SUMIFS('Expense Log'!$I$5:$I$3000,'Expense Log'!$L$5:$L$3000,K$3,'Expense Log'!$C$5:$C$3000,$A16))</f>
        <v/>
      </c>
      <c r="L16" s="23">
        <f>IF(OR($A16="",L$3=""),"",SUMIFS('Expense Log'!$I$5:$I$3000,'Expense Log'!$L$5:$L$3000,L$3,'Expense Log'!$C$5:$C$3000,$A16))</f>
        <v/>
      </c>
      <c r="M16" s="23">
        <f>IF(OR($A16="",M$3=""),"",SUMIFS('Expense Log'!$I$5:$I$3000,'Expense Log'!$L$5:$L$3000,M$3,'Expense Log'!$C$5:$C$3000,$A16))</f>
        <v/>
      </c>
      <c r="N16" s="23">
        <f>IF(OR($A16="",N$3=""),"",SUMIFS('Expense Log'!$I$5:$I$3000,'Expense Log'!$L$5:$L$3000,N$3,'Expense Log'!$C$5:$C$3000,$A16))</f>
        <v/>
      </c>
      <c r="O16" s="23">
        <f>IF(OR($A16="",O$3=""),"",SUMIFS('Expense Log'!$I$5:$I$3000,'Expense Log'!$L$5:$L$3000,O$3,'Expense Log'!$C$5:$C$3000,$A16))</f>
        <v/>
      </c>
      <c r="P16" s="23">
        <f>IF(OR($A16="",P$3=""),"",SUMIFS('Expense Log'!$I$5:$I$3000,'Expense Log'!$L$5:$L$3000,P$3,'Expense Log'!$C$5:$C$3000,$A16))</f>
        <v/>
      </c>
      <c r="Q16" s="23">
        <f>IF(OR($A16="",Q$3=""),"",SUMIFS('Expense Log'!$I$5:$I$3000,'Expense Log'!$L$5:$L$3000,Q$3,'Expense Log'!$C$5:$C$3000,$A16))</f>
        <v/>
      </c>
      <c r="R16" s="23">
        <f>IF(OR($A16="",R$3=""),"",SUMIFS('Expense Log'!$I$5:$I$3000,'Expense Log'!$L$5:$L$3000,R$3,'Expense Log'!$C$5:$C$3000,$A16))</f>
        <v/>
      </c>
      <c r="S16" s="23">
        <f>IF(OR($A16="",S$3=""),"",SUMIFS('Expense Log'!$I$5:$I$3000,'Expense Log'!$L$5:$L$3000,S$3,'Expense Log'!$C$5:$C$3000,$A16))</f>
        <v/>
      </c>
      <c r="T16" s="23">
        <f>IF(OR($A16="",T$3=""),"",SUMIFS('Expense Log'!$I$5:$I$3000,'Expense Log'!$L$5:$L$3000,T$3,'Expense Log'!$C$5:$C$3000,$A16))</f>
        <v/>
      </c>
      <c r="U16" s="23">
        <f>IF(OR($A16="",U$3=""),"",SUMIFS('Expense Log'!$I$5:$I$3000,'Expense Log'!$L$5:$L$3000,U$3,'Expense Log'!$C$5:$C$3000,$A16))</f>
        <v/>
      </c>
      <c r="V16" s="23">
        <f>IF(OR($A16="",V$3=""),"",SUMIFS('Expense Log'!$I$5:$I$3000,'Expense Log'!$L$5:$L$3000,V$3,'Expense Log'!$C$5:$C$3000,$A16))</f>
        <v/>
      </c>
      <c r="W16" s="23">
        <f>IF(OR($A16="",W$3=""),"",SUMIFS('Expense Log'!$I$5:$I$3000,'Expense Log'!$L$5:$L$3000,W$3,'Expense Log'!$C$5:$C$3000,$A16))</f>
        <v/>
      </c>
      <c r="X16" s="23">
        <f>IF(OR($A16="",X$3=""),"",SUMIFS('Expense Log'!$I$5:$I$3000,'Expense Log'!$L$5:$L$3000,X$3,'Expense Log'!$C$5:$C$3000,$A16))</f>
        <v/>
      </c>
      <c r="Y16" s="23">
        <f>IF(OR($A16="",Y$3=""),"",SUMIFS('Expense Log'!$I$5:$I$3000,'Expense Log'!$L$5:$L$3000,Y$3,'Expense Log'!$C$5:$C$3000,$A16))</f>
        <v/>
      </c>
      <c r="Z16" s="23">
        <f>IF($A16="","",SUM(B16:Y16))</f>
        <v/>
      </c>
      <c r="AB16" s="57">
        <f>IF(INDEX($B$3:$Y$3,12)="","",INDEX($B$3:$Y$3,12))</f>
        <v/>
      </c>
    </row>
    <row r="17">
      <c r="A17" s="22">
        <f>IF(INDEX(Lists!$H$4:$AA$4,1,14)="","",INDEX(Lists!$H$4:$AA$4,1,14))</f>
        <v/>
      </c>
      <c r="B17" s="23">
        <f>IF(OR($A17="",B$3=""),"",SUMIFS('Expense Log'!$I$5:$I$3000,'Expense Log'!$L$5:$L$3000,B$3,'Expense Log'!$C$5:$C$3000,$A17))</f>
        <v/>
      </c>
      <c r="C17" s="23">
        <f>IF(OR($A17="",C$3=""),"",SUMIFS('Expense Log'!$I$5:$I$3000,'Expense Log'!$L$5:$L$3000,C$3,'Expense Log'!$C$5:$C$3000,$A17))</f>
        <v/>
      </c>
      <c r="D17" s="23">
        <f>IF(OR($A17="",D$3=""),"",SUMIFS('Expense Log'!$I$5:$I$3000,'Expense Log'!$L$5:$L$3000,D$3,'Expense Log'!$C$5:$C$3000,$A17))</f>
        <v/>
      </c>
      <c r="E17" s="23">
        <f>IF(OR($A17="",E$3=""),"",SUMIFS('Expense Log'!$I$5:$I$3000,'Expense Log'!$L$5:$L$3000,E$3,'Expense Log'!$C$5:$C$3000,$A17))</f>
        <v/>
      </c>
      <c r="F17" s="23">
        <f>IF(OR($A17="",F$3=""),"",SUMIFS('Expense Log'!$I$5:$I$3000,'Expense Log'!$L$5:$L$3000,F$3,'Expense Log'!$C$5:$C$3000,$A17))</f>
        <v/>
      </c>
      <c r="G17" s="23">
        <f>IF(OR($A17="",G$3=""),"",SUMIFS('Expense Log'!$I$5:$I$3000,'Expense Log'!$L$5:$L$3000,G$3,'Expense Log'!$C$5:$C$3000,$A17))</f>
        <v/>
      </c>
      <c r="H17" s="23">
        <f>IF(OR($A17="",H$3=""),"",SUMIFS('Expense Log'!$I$5:$I$3000,'Expense Log'!$L$5:$L$3000,H$3,'Expense Log'!$C$5:$C$3000,$A17))</f>
        <v/>
      </c>
      <c r="I17" s="23">
        <f>IF(OR($A17="",I$3=""),"",SUMIFS('Expense Log'!$I$5:$I$3000,'Expense Log'!$L$5:$L$3000,I$3,'Expense Log'!$C$5:$C$3000,$A17))</f>
        <v/>
      </c>
      <c r="J17" s="23">
        <f>IF(OR($A17="",J$3=""),"",SUMIFS('Expense Log'!$I$5:$I$3000,'Expense Log'!$L$5:$L$3000,J$3,'Expense Log'!$C$5:$C$3000,$A17))</f>
        <v/>
      </c>
      <c r="K17" s="23">
        <f>IF(OR($A17="",K$3=""),"",SUMIFS('Expense Log'!$I$5:$I$3000,'Expense Log'!$L$5:$L$3000,K$3,'Expense Log'!$C$5:$C$3000,$A17))</f>
        <v/>
      </c>
      <c r="L17" s="23">
        <f>IF(OR($A17="",L$3=""),"",SUMIFS('Expense Log'!$I$5:$I$3000,'Expense Log'!$L$5:$L$3000,L$3,'Expense Log'!$C$5:$C$3000,$A17))</f>
        <v/>
      </c>
      <c r="M17" s="23">
        <f>IF(OR($A17="",M$3=""),"",SUMIFS('Expense Log'!$I$5:$I$3000,'Expense Log'!$L$5:$L$3000,M$3,'Expense Log'!$C$5:$C$3000,$A17))</f>
        <v/>
      </c>
      <c r="N17" s="23">
        <f>IF(OR($A17="",N$3=""),"",SUMIFS('Expense Log'!$I$5:$I$3000,'Expense Log'!$L$5:$L$3000,N$3,'Expense Log'!$C$5:$C$3000,$A17))</f>
        <v/>
      </c>
      <c r="O17" s="23">
        <f>IF(OR($A17="",O$3=""),"",SUMIFS('Expense Log'!$I$5:$I$3000,'Expense Log'!$L$5:$L$3000,O$3,'Expense Log'!$C$5:$C$3000,$A17))</f>
        <v/>
      </c>
      <c r="P17" s="23">
        <f>IF(OR($A17="",P$3=""),"",SUMIFS('Expense Log'!$I$5:$I$3000,'Expense Log'!$L$5:$L$3000,P$3,'Expense Log'!$C$5:$C$3000,$A17))</f>
        <v/>
      </c>
      <c r="Q17" s="23">
        <f>IF(OR($A17="",Q$3=""),"",SUMIFS('Expense Log'!$I$5:$I$3000,'Expense Log'!$L$5:$L$3000,Q$3,'Expense Log'!$C$5:$C$3000,$A17))</f>
        <v/>
      </c>
      <c r="R17" s="23">
        <f>IF(OR($A17="",R$3=""),"",SUMIFS('Expense Log'!$I$5:$I$3000,'Expense Log'!$L$5:$L$3000,R$3,'Expense Log'!$C$5:$C$3000,$A17))</f>
        <v/>
      </c>
      <c r="S17" s="23">
        <f>IF(OR($A17="",S$3=""),"",SUMIFS('Expense Log'!$I$5:$I$3000,'Expense Log'!$L$5:$L$3000,S$3,'Expense Log'!$C$5:$C$3000,$A17))</f>
        <v/>
      </c>
      <c r="T17" s="23">
        <f>IF(OR($A17="",T$3=""),"",SUMIFS('Expense Log'!$I$5:$I$3000,'Expense Log'!$L$5:$L$3000,T$3,'Expense Log'!$C$5:$C$3000,$A17))</f>
        <v/>
      </c>
      <c r="U17" s="23">
        <f>IF(OR($A17="",U$3=""),"",SUMIFS('Expense Log'!$I$5:$I$3000,'Expense Log'!$L$5:$L$3000,U$3,'Expense Log'!$C$5:$C$3000,$A17))</f>
        <v/>
      </c>
      <c r="V17" s="23">
        <f>IF(OR($A17="",V$3=""),"",SUMIFS('Expense Log'!$I$5:$I$3000,'Expense Log'!$L$5:$L$3000,V$3,'Expense Log'!$C$5:$C$3000,$A17))</f>
        <v/>
      </c>
      <c r="W17" s="23">
        <f>IF(OR($A17="",W$3=""),"",SUMIFS('Expense Log'!$I$5:$I$3000,'Expense Log'!$L$5:$L$3000,W$3,'Expense Log'!$C$5:$C$3000,$A17))</f>
        <v/>
      </c>
      <c r="X17" s="23">
        <f>IF(OR($A17="",X$3=""),"",SUMIFS('Expense Log'!$I$5:$I$3000,'Expense Log'!$L$5:$L$3000,X$3,'Expense Log'!$C$5:$C$3000,$A17))</f>
        <v/>
      </c>
      <c r="Y17" s="23">
        <f>IF(OR($A17="",Y$3=""),"",SUMIFS('Expense Log'!$I$5:$I$3000,'Expense Log'!$L$5:$L$3000,Y$3,'Expense Log'!$C$5:$C$3000,$A17))</f>
        <v/>
      </c>
      <c r="Z17" s="23">
        <f>IF($A17="","",SUM(B17:Y17))</f>
        <v/>
      </c>
      <c r="AB17" s="57">
        <f>IF(INDEX($B$3:$Y$3,13)="","",INDEX($B$3:$Y$3,13))</f>
        <v/>
      </c>
    </row>
    <row r="18">
      <c r="A18" s="22">
        <f>IF(INDEX(Lists!$H$4:$AA$4,1,15)="","",INDEX(Lists!$H$4:$AA$4,1,15))</f>
        <v/>
      </c>
      <c r="B18" s="23">
        <f>IF(OR($A18="",B$3=""),"",SUMIFS('Expense Log'!$I$5:$I$3000,'Expense Log'!$L$5:$L$3000,B$3,'Expense Log'!$C$5:$C$3000,$A18))</f>
        <v/>
      </c>
      <c r="C18" s="23">
        <f>IF(OR($A18="",C$3=""),"",SUMIFS('Expense Log'!$I$5:$I$3000,'Expense Log'!$L$5:$L$3000,C$3,'Expense Log'!$C$5:$C$3000,$A18))</f>
        <v/>
      </c>
      <c r="D18" s="23">
        <f>IF(OR($A18="",D$3=""),"",SUMIFS('Expense Log'!$I$5:$I$3000,'Expense Log'!$L$5:$L$3000,D$3,'Expense Log'!$C$5:$C$3000,$A18))</f>
        <v/>
      </c>
      <c r="E18" s="23">
        <f>IF(OR($A18="",E$3=""),"",SUMIFS('Expense Log'!$I$5:$I$3000,'Expense Log'!$L$5:$L$3000,E$3,'Expense Log'!$C$5:$C$3000,$A18))</f>
        <v/>
      </c>
      <c r="F18" s="23">
        <f>IF(OR($A18="",F$3=""),"",SUMIFS('Expense Log'!$I$5:$I$3000,'Expense Log'!$L$5:$L$3000,F$3,'Expense Log'!$C$5:$C$3000,$A18))</f>
        <v/>
      </c>
      <c r="G18" s="23">
        <f>IF(OR($A18="",G$3=""),"",SUMIFS('Expense Log'!$I$5:$I$3000,'Expense Log'!$L$5:$L$3000,G$3,'Expense Log'!$C$5:$C$3000,$A18))</f>
        <v/>
      </c>
      <c r="H18" s="23">
        <f>IF(OR($A18="",H$3=""),"",SUMIFS('Expense Log'!$I$5:$I$3000,'Expense Log'!$L$5:$L$3000,H$3,'Expense Log'!$C$5:$C$3000,$A18))</f>
        <v/>
      </c>
      <c r="I18" s="23">
        <f>IF(OR($A18="",I$3=""),"",SUMIFS('Expense Log'!$I$5:$I$3000,'Expense Log'!$L$5:$L$3000,I$3,'Expense Log'!$C$5:$C$3000,$A18))</f>
        <v/>
      </c>
      <c r="J18" s="23">
        <f>IF(OR($A18="",J$3=""),"",SUMIFS('Expense Log'!$I$5:$I$3000,'Expense Log'!$L$5:$L$3000,J$3,'Expense Log'!$C$5:$C$3000,$A18))</f>
        <v/>
      </c>
      <c r="K18" s="23">
        <f>IF(OR($A18="",K$3=""),"",SUMIFS('Expense Log'!$I$5:$I$3000,'Expense Log'!$L$5:$L$3000,K$3,'Expense Log'!$C$5:$C$3000,$A18))</f>
        <v/>
      </c>
      <c r="L18" s="23">
        <f>IF(OR($A18="",L$3=""),"",SUMIFS('Expense Log'!$I$5:$I$3000,'Expense Log'!$L$5:$L$3000,L$3,'Expense Log'!$C$5:$C$3000,$A18))</f>
        <v/>
      </c>
      <c r="M18" s="23">
        <f>IF(OR($A18="",M$3=""),"",SUMIFS('Expense Log'!$I$5:$I$3000,'Expense Log'!$L$5:$L$3000,M$3,'Expense Log'!$C$5:$C$3000,$A18))</f>
        <v/>
      </c>
      <c r="N18" s="23">
        <f>IF(OR($A18="",N$3=""),"",SUMIFS('Expense Log'!$I$5:$I$3000,'Expense Log'!$L$5:$L$3000,N$3,'Expense Log'!$C$5:$C$3000,$A18))</f>
        <v/>
      </c>
      <c r="O18" s="23">
        <f>IF(OR($A18="",O$3=""),"",SUMIFS('Expense Log'!$I$5:$I$3000,'Expense Log'!$L$5:$L$3000,O$3,'Expense Log'!$C$5:$C$3000,$A18))</f>
        <v/>
      </c>
      <c r="P18" s="23">
        <f>IF(OR($A18="",P$3=""),"",SUMIFS('Expense Log'!$I$5:$I$3000,'Expense Log'!$L$5:$L$3000,P$3,'Expense Log'!$C$5:$C$3000,$A18))</f>
        <v/>
      </c>
      <c r="Q18" s="23">
        <f>IF(OR($A18="",Q$3=""),"",SUMIFS('Expense Log'!$I$5:$I$3000,'Expense Log'!$L$5:$L$3000,Q$3,'Expense Log'!$C$5:$C$3000,$A18))</f>
        <v/>
      </c>
      <c r="R18" s="23">
        <f>IF(OR($A18="",R$3=""),"",SUMIFS('Expense Log'!$I$5:$I$3000,'Expense Log'!$L$5:$L$3000,R$3,'Expense Log'!$C$5:$C$3000,$A18))</f>
        <v/>
      </c>
      <c r="S18" s="23">
        <f>IF(OR($A18="",S$3=""),"",SUMIFS('Expense Log'!$I$5:$I$3000,'Expense Log'!$L$5:$L$3000,S$3,'Expense Log'!$C$5:$C$3000,$A18))</f>
        <v/>
      </c>
      <c r="T18" s="23">
        <f>IF(OR($A18="",T$3=""),"",SUMIFS('Expense Log'!$I$5:$I$3000,'Expense Log'!$L$5:$L$3000,T$3,'Expense Log'!$C$5:$C$3000,$A18))</f>
        <v/>
      </c>
      <c r="U18" s="23">
        <f>IF(OR($A18="",U$3=""),"",SUMIFS('Expense Log'!$I$5:$I$3000,'Expense Log'!$L$5:$L$3000,U$3,'Expense Log'!$C$5:$C$3000,$A18))</f>
        <v/>
      </c>
      <c r="V18" s="23">
        <f>IF(OR($A18="",V$3=""),"",SUMIFS('Expense Log'!$I$5:$I$3000,'Expense Log'!$L$5:$L$3000,V$3,'Expense Log'!$C$5:$C$3000,$A18))</f>
        <v/>
      </c>
      <c r="W18" s="23">
        <f>IF(OR($A18="",W$3=""),"",SUMIFS('Expense Log'!$I$5:$I$3000,'Expense Log'!$L$5:$L$3000,W$3,'Expense Log'!$C$5:$C$3000,$A18))</f>
        <v/>
      </c>
      <c r="X18" s="23">
        <f>IF(OR($A18="",X$3=""),"",SUMIFS('Expense Log'!$I$5:$I$3000,'Expense Log'!$L$5:$L$3000,X$3,'Expense Log'!$C$5:$C$3000,$A18))</f>
        <v/>
      </c>
      <c r="Y18" s="23">
        <f>IF(OR($A18="",Y$3=""),"",SUMIFS('Expense Log'!$I$5:$I$3000,'Expense Log'!$L$5:$L$3000,Y$3,'Expense Log'!$C$5:$C$3000,$A18))</f>
        <v/>
      </c>
      <c r="Z18" s="23">
        <f>IF($A18="","",SUM(B18:Y18))</f>
        <v/>
      </c>
      <c r="AB18" s="57">
        <f>IF(INDEX($B$3:$Y$3,14)="","",INDEX($B$3:$Y$3,14))</f>
        <v/>
      </c>
    </row>
    <row r="19">
      <c r="A19" s="22">
        <f>IF(INDEX(Lists!$H$4:$AA$4,1,16)="","",INDEX(Lists!$H$4:$AA$4,1,16))</f>
        <v/>
      </c>
      <c r="B19" s="23">
        <f>IF(OR($A19="",B$3=""),"",SUMIFS('Expense Log'!$I$5:$I$3000,'Expense Log'!$L$5:$L$3000,B$3,'Expense Log'!$C$5:$C$3000,$A19))</f>
        <v/>
      </c>
      <c r="C19" s="23">
        <f>IF(OR($A19="",C$3=""),"",SUMIFS('Expense Log'!$I$5:$I$3000,'Expense Log'!$L$5:$L$3000,C$3,'Expense Log'!$C$5:$C$3000,$A19))</f>
        <v/>
      </c>
      <c r="D19" s="23">
        <f>IF(OR($A19="",D$3=""),"",SUMIFS('Expense Log'!$I$5:$I$3000,'Expense Log'!$L$5:$L$3000,D$3,'Expense Log'!$C$5:$C$3000,$A19))</f>
        <v/>
      </c>
      <c r="E19" s="23">
        <f>IF(OR($A19="",E$3=""),"",SUMIFS('Expense Log'!$I$5:$I$3000,'Expense Log'!$L$5:$L$3000,E$3,'Expense Log'!$C$5:$C$3000,$A19))</f>
        <v/>
      </c>
      <c r="F19" s="23">
        <f>IF(OR($A19="",F$3=""),"",SUMIFS('Expense Log'!$I$5:$I$3000,'Expense Log'!$L$5:$L$3000,F$3,'Expense Log'!$C$5:$C$3000,$A19))</f>
        <v/>
      </c>
      <c r="G19" s="23">
        <f>IF(OR($A19="",G$3=""),"",SUMIFS('Expense Log'!$I$5:$I$3000,'Expense Log'!$L$5:$L$3000,G$3,'Expense Log'!$C$5:$C$3000,$A19))</f>
        <v/>
      </c>
      <c r="H19" s="23">
        <f>IF(OR($A19="",H$3=""),"",SUMIFS('Expense Log'!$I$5:$I$3000,'Expense Log'!$L$5:$L$3000,H$3,'Expense Log'!$C$5:$C$3000,$A19))</f>
        <v/>
      </c>
      <c r="I19" s="23">
        <f>IF(OR($A19="",I$3=""),"",SUMIFS('Expense Log'!$I$5:$I$3000,'Expense Log'!$L$5:$L$3000,I$3,'Expense Log'!$C$5:$C$3000,$A19))</f>
        <v/>
      </c>
      <c r="J19" s="23">
        <f>IF(OR($A19="",J$3=""),"",SUMIFS('Expense Log'!$I$5:$I$3000,'Expense Log'!$L$5:$L$3000,J$3,'Expense Log'!$C$5:$C$3000,$A19))</f>
        <v/>
      </c>
      <c r="K19" s="23">
        <f>IF(OR($A19="",K$3=""),"",SUMIFS('Expense Log'!$I$5:$I$3000,'Expense Log'!$L$5:$L$3000,K$3,'Expense Log'!$C$5:$C$3000,$A19))</f>
        <v/>
      </c>
      <c r="L19" s="23">
        <f>IF(OR($A19="",L$3=""),"",SUMIFS('Expense Log'!$I$5:$I$3000,'Expense Log'!$L$5:$L$3000,L$3,'Expense Log'!$C$5:$C$3000,$A19))</f>
        <v/>
      </c>
      <c r="M19" s="23">
        <f>IF(OR($A19="",M$3=""),"",SUMIFS('Expense Log'!$I$5:$I$3000,'Expense Log'!$L$5:$L$3000,M$3,'Expense Log'!$C$5:$C$3000,$A19))</f>
        <v/>
      </c>
      <c r="N19" s="23">
        <f>IF(OR($A19="",N$3=""),"",SUMIFS('Expense Log'!$I$5:$I$3000,'Expense Log'!$L$5:$L$3000,N$3,'Expense Log'!$C$5:$C$3000,$A19))</f>
        <v/>
      </c>
      <c r="O19" s="23">
        <f>IF(OR($A19="",O$3=""),"",SUMIFS('Expense Log'!$I$5:$I$3000,'Expense Log'!$L$5:$L$3000,O$3,'Expense Log'!$C$5:$C$3000,$A19))</f>
        <v/>
      </c>
      <c r="P19" s="23">
        <f>IF(OR($A19="",P$3=""),"",SUMIFS('Expense Log'!$I$5:$I$3000,'Expense Log'!$L$5:$L$3000,P$3,'Expense Log'!$C$5:$C$3000,$A19))</f>
        <v/>
      </c>
      <c r="Q19" s="23">
        <f>IF(OR($A19="",Q$3=""),"",SUMIFS('Expense Log'!$I$5:$I$3000,'Expense Log'!$L$5:$L$3000,Q$3,'Expense Log'!$C$5:$C$3000,$A19))</f>
        <v/>
      </c>
      <c r="R19" s="23">
        <f>IF(OR($A19="",R$3=""),"",SUMIFS('Expense Log'!$I$5:$I$3000,'Expense Log'!$L$5:$L$3000,R$3,'Expense Log'!$C$5:$C$3000,$A19))</f>
        <v/>
      </c>
      <c r="S19" s="23">
        <f>IF(OR($A19="",S$3=""),"",SUMIFS('Expense Log'!$I$5:$I$3000,'Expense Log'!$L$5:$L$3000,S$3,'Expense Log'!$C$5:$C$3000,$A19))</f>
        <v/>
      </c>
      <c r="T19" s="23">
        <f>IF(OR($A19="",T$3=""),"",SUMIFS('Expense Log'!$I$5:$I$3000,'Expense Log'!$L$5:$L$3000,T$3,'Expense Log'!$C$5:$C$3000,$A19))</f>
        <v/>
      </c>
      <c r="U19" s="23">
        <f>IF(OR($A19="",U$3=""),"",SUMIFS('Expense Log'!$I$5:$I$3000,'Expense Log'!$L$5:$L$3000,U$3,'Expense Log'!$C$5:$C$3000,$A19))</f>
        <v/>
      </c>
      <c r="V19" s="23">
        <f>IF(OR($A19="",V$3=""),"",SUMIFS('Expense Log'!$I$5:$I$3000,'Expense Log'!$L$5:$L$3000,V$3,'Expense Log'!$C$5:$C$3000,$A19))</f>
        <v/>
      </c>
      <c r="W19" s="23">
        <f>IF(OR($A19="",W$3=""),"",SUMIFS('Expense Log'!$I$5:$I$3000,'Expense Log'!$L$5:$L$3000,W$3,'Expense Log'!$C$5:$C$3000,$A19))</f>
        <v/>
      </c>
      <c r="X19" s="23">
        <f>IF(OR($A19="",X$3=""),"",SUMIFS('Expense Log'!$I$5:$I$3000,'Expense Log'!$L$5:$L$3000,X$3,'Expense Log'!$C$5:$C$3000,$A19))</f>
        <v/>
      </c>
      <c r="Y19" s="23">
        <f>IF(OR($A19="",Y$3=""),"",SUMIFS('Expense Log'!$I$5:$I$3000,'Expense Log'!$L$5:$L$3000,Y$3,'Expense Log'!$C$5:$C$3000,$A19))</f>
        <v/>
      </c>
      <c r="Z19" s="23">
        <f>IF($A19="","",SUM(B19:Y19))</f>
        <v/>
      </c>
      <c r="AB19" s="57">
        <f>IF(INDEX($B$3:$Y$3,15)="","",INDEX($B$3:$Y$3,15))</f>
        <v/>
      </c>
    </row>
    <row r="20">
      <c r="A20" s="22">
        <f>IF(INDEX(Lists!$H$4:$AA$4,1,17)="","",INDEX(Lists!$H$4:$AA$4,1,17))</f>
        <v/>
      </c>
      <c r="B20" s="23">
        <f>IF(OR($A20="",B$3=""),"",SUMIFS('Expense Log'!$I$5:$I$3000,'Expense Log'!$L$5:$L$3000,B$3,'Expense Log'!$C$5:$C$3000,$A20))</f>
        <v/>
      </c>
      <c r="C20" s="23">
        <f>IF(OR($A20="",C$3=""),"",SUMIFS('Expense Log'!$I$5:$I$3000,'Expense Log'!$L$5:$L$3000,C$3,'Expense Log'!$C$5:$C$3000,$A20))</f>
        <v/>
      </c>
      <c r="D20" s="23">
        <f>IF(OR($A20="",D$3=""),"",SUMIFS('Expense Log'!$I$5:$I$3000,'Expense Log'!$L$5:$L$3000,D$3,'Expense Log'!$C$5:$C$3000,$A20))</f>
        <v/>
      </c>
      <c r="E20" s="23">
        <f>IF(OR($A20="",E$3=""),"",SUMIFS('Expense Log'!$I$5:$I$3000,'Expense Log'!$L$5:$L$3000,E$3,'Expense Log'!$C$5:$C$3000,$A20))</f>
        <v/>
      </c>
      <c r="F20" s="23">
        <f>IF(OR($A20="",F$3=""),"",SUMIFS('Expense Log'!$I$5:$I$3000,'Expense Log'!$L$5:$L$3000,F$3,'Expense Log'!$C$5:$C$3000,$A20))</f>
        <v/>
      </c>
      <c r="G20" s="23">
        <f>IF(OR($A20="",G$3=""),"",SUMIFS('Expense Log'!$I$5:$I$3000,'Expense Log'!$L$5:$L$3000,G$3,'Expense Log'!$C$5:$C$3000,$A20))</f>
        <v/>
      </c>
      <c r="H20" s="23">
        <f>IF(OR($A20="",H$3=""),"",SUMIFS('Expense Log'!$I$5:$I$3000,'Expense Log'!$L$5:$L$3000,H$3,'Expense Log'!$C$5:$C$3000,$A20))</f>
        <v/>
      </c>
      <c r="I20" s="23">
        <f>IF(OR($A20="",I$3=""),"",SUMIFS('Expense Log'!$I$5:$I$3000,'Expense Log'!$L$5:$L$3000,I$3,'Expense Log'!$C$5:$C$3000,$A20))</f>
        <v/>
      </c>
      <c r="J20" s="23">
        <f>IF(OR($A20="",J$3=""),"",SUMIFS('Expense Log'!$I$5:$I$3000,'Expense Log'!$L$5:$L$3000,J$3,'Expense Log'!$C$5:$C$3000,$A20))</f>
        <v/>
      </c>
      <c r="K20" s="23">
        <f>IF(OR($A20="",K$3=""),"",SUMIFS('Expense Log'!$I$5:$I$3000,'Expense Log'!$L$5:$L$3000,K$3,'Expense Log'!$C$5:$C$3000,$A20))</f>
        <v/>
      </c>
      <c r="L20" s="23">
        <f>IF(OR($A20="",L$3=""),"",SUMIFS('Expense Log'!$I$5:$I$3000,'Expense Log'!$L$5:$L$3000,L$3,'Expense Log'!$C$5:$C$3000,$A20))</f>
        <v/>
      </c>
      <c r="M20" s="23">
        <f>IF(OR($A20="",M$3=""),"",SUMIFS('Expense Log'!$I$5:$I$3000,'Expense Log'!$L$5:$L$3000,M$3,'Expense Log'!$C$5:$C$3000,$A20))</f>
        <v/>
      </c>
      <c r="N20" s="23">
        <f>IF(OR($A20="",N$3=""),"",SUMIFS('Expense Log'!$I$5:$I$3000,'Expense Log'!$L$5:$L$3000,N$3,'Expense Log'!$C$5:$C$3000,$A20))</f>
        <v/>
      </c>
      <c r="O20" s="23">
        <f>IF(OR($A20="",O$3=""),"",SUMIFS('Expense Log'!$I$5:$I$3000,'Expense Log'!$L$5:$L$3000,O$3,'Expense Log'!$C$5:$C$3000,$A20))</f>
        <v/>
      </c>
      <c r="P20" s="23">
        <f>IF(OR($A20="",P$3=""),"",SUMIFS('Expense Log'!$I$5:$I$3000,'Expense Log'!$L$5:$L$3000,P$3,'Expense Log'!$C$5:$C$3000,$A20))</f>
        <v/>
      </c>
      <c r="Q20" s="23">
        <f>IF(OR($A20="",Q$3=""),"",SUMIFS('Expense Log'!$I$5:$I$3000,'Expense Log'!$L$5:$L$3000,Q$3,'Expense Log'!$C$5:$C$3000,$A20))</f>
        <v/>
      </c>
      <c r="R20" s="23">
        <f>IF(OR($A20="",R$3=""),"",SUMIFS('Expense Log'!$I$5:$I$3000,'Expense Log'!$L$5:$L$3000,R$3,'Expense Log'!$C$5:$C$3000,$A20))</f>
        <v/>
      </c>
      <c r="S20" s="23">
        <f>IF(OR($A20="",S$3=""),"",SUMIFS('Expense Log'!$I$5:$I$3000,'Expense Log'!$L$5:$L$3000,S$3,'Expense Log'!$C$5:$C$3000,$A20))</f>
        <v/>
      </c>
      <c r="T20" s="23">
        <f>IF(OR($A20="",T$3=""),"",SUMIFS('Expense Log'!$I$5:$I$3000,'Expense Log'!$L$5:$L$3000,T$3,'Expense Log'!$C$5:$C$3000,$A20))</f>
        <v/>
      </c>
      <c r="U20" s="23">
        <f>IF(OR($A20="",U$3=""),"",SUMIFS('Expense Log'!$I$5:$I$3000,'Expense Log'!$L$5:$L$3000,U$3,'Expense Log'!$C$5:$C$3000,$A20))</f>
        <v/>
      </c>
      <c r="V20" s="23">
        <f>IF(OR($A20="",V$3=""),"",SUMIFS('Expense Log'!$I$5:$I$3000,'Expense Log'!$L$5:$L$3000,V$3,'Expense Log'!$C$5:$C$3000,$A20))</f>
        <v/>
      </c>
      <c r="W20" s="23">
        <f>IF(OR($A20="",W$3=""),"",SUMIFS('Expense Log'!$I$5:$I$3000,'Expense Log'!$L$5:$L$3000,W$3,'Expense Log'!$C$5:$C$3000,$A20))</f>
        <v/>
      </c>
      <c r="X20" s="23">
        <f>IF(OR($A20="",X$3=""),"",SUMIFS('Expense Log'!$I$5:$I$3000,'Expense Log'!$L$5:$L$3000,X$3,'Expense Log'!$C$5:$C$3000,$A20))</f>
        <v/>
      </c>
      <c r="Y20" s="23">
        <f>IF(OR($A20="",Y$3=""),"",SUMIFS('Expense Log'!$I$5:$I$3000,'Expense Log'!$L$5:$L$3000,Y$3,'Expense Log'!$C$5:$C$3000,$A20))</f>
        <v/>
      </c>
      <c r="Z20" s="23">
        <f>IF($A20="","",SUM(B20:Y20))</f>
        <v/>
      </c>
      <c r="AB20" s="57">
        <f>IF(INDEX($B$3:$Y$3,16)="","",INDEX($B$3:$Y$3,16))</f>
        <v/>
      </c>
    </row>
    <row r="21">
      <c r="A21" s="22">
        <f>IF(INDEX(Lists!$H$4:$AA$4,1,18)="","",INDEX(Lists!$H$4:$AA$4,1,18))</f>
        <v/>
      </c>
      <c r="B21" s="23">
        <f>IF(OR($A21="",B$3=""),"",SUMIFS('Expense Log'!$I$5:$I$3000,'Expense Log'!$L$5:$L$3000,B$3,'Expense Log'!$C$5:$C$3000,$A21))</f>
        <v/>
      </c>
      <c r="C21" s="23">
        <f>IF(OR($A21="",C$3=""),"",SUMIFS('Expense Log'!$I$5:$I$3000,'Expense Log'!$L$5:$L$3000,C$3,'Expense Log'!$C$5:$C$3000,$A21))</f>
        <v/>
      </c>
      <c r="D21" s="23">
        <f>IF(OR($A21="",D$3=""),"",SUMIFS('Expense Log'!$I$5:$I$3000,'Expense Log'!$L$5:$L$3000,D$3,'Expense Log'!$C$5:$C$3000,$A21))</f>
        <v/>
      </c>
      <c r="E21" s="23">
        <f>IF(OR($A21="",E$3=""),"",SUMIFS('Expense Log'!$I$5:$I$3000,'Expense Log'!$L$5:$L$3000,E$3,'Expense Log'!$C$5:$C$3000,$A21))</f>
        <v/>
      </c>
      <c r="F21" s="23">
        <f>IF(OR($A21="",F$3=""),"",SUMIFS('Expense Log'!$I$5:$I$3000,'Expense Log'!$L$5:$L$3000,F$3,'Expense Log'!$C$5:$C$3000,$A21))</f>
        <v/>
      </c>
      <c r="G21" s="23">
        <f>IF(OR($A21="",G$3=""),"",SUMIFS('Expense Log'!$I$5:$I$3000,'Expense Log'!$L$5:$L$3000,G$3,'Expense Log'!$C$5:$C$3000,$A21))</f>
        <v/>
      </c>
      <c r="H21" s="23">
        <f>IF(OR($A21="",H$3=""),"",SUMIFS('Expense Log'!$I$5:$I$3000,'Expense Log'!$L$5:$L$3000,H$3,'Expense Log'!$C$5:$C$3000,$A21))</f>
        <v/>
      </c>
      <c r="I21" s="23">
        <f>IF(OR($A21="",I$3=""),"",SUMIFS('Expense Log'!$I$5:$I$3000,'Expense Log'!$L$5:$L$3000,I$3,'Expense Log'!$C$5:$C$3000,$A21))</f>
        <v/>
      </c>
      <c r="J21" s="23">
        <f>IF(OR($A21="",J$3=""),"",SUMIFS('Expense Log'!$I$5:$I$3000,'Expense Log'!$L$5:$L$3000,J$3,'Expense Log'!$C$5:$C$3000,$A21))</f>
        <v/>
      </c>
      <c r="K21" s="23">
        <f>IF(OR($A21="",K$3=""),"",SUMIFS('Expense Log'!$I$5:$I$3000,'Expense Log'!$L$5:$L$3000,K$3,'Expense Log'!$C$5:$C$3000,$A21))</f>
        <v/>
      </c>
      <c r="L21" s="23">
        <f>IF(OR($A21="",L$3=""),"",SUMIFS('Expense Log'!$I$5:$I$3000,'Expense Log'!$L$5:$L$3000,L$3,'Expense Log'!$C$5:$C$3000,$A21))</f>
        <v/>
      </c>
      <c r="M21" s="23">
        <f>IF(OR($A21="",M$3=""),"",SUMIFS('Expense Log'!$I$5:$I$3000,'Expense Log'!$L$5:$L$3000,M$3,'Expense Log'!$C$5:$C$3000,$A21))</f>
        <v/>
      </c>
      <c r="N21" s="23">
        <f>IF(OR($A21="",N$3=""),"",SUMIFS('Expense Log'!$I$5:$I$3000,'Expense Log'!$L$5:$L$3000,N$3,'Expense Log'!$C$5:$C$3000,$A21))</f>
        <v/>
      </c>
      <c r="O21" s="23">
        <f>IF(OR($A21="",O$3=""),"",SUMIFS('Expense Log'!$I$5:$I$3000,'Expense Log'!$L$5:$L$3000,O$3,'Expense Log'!$C$5:$C$3000,$A21))</f>
        <v/>
      </c>
      <c r="P21" s="23">
        <f>IF(OR($A21="",P$3=""),"",SUMIFS('Expense Log'!$I$5:$I$3000,'Expense Log'!$L$5:$L$3000,P$3,'Expense Log'!$C$5:$C$3000,$A21))</f>
        <v/>
      </c>
      <c r="Q21" s="23">
        <f>IF(OR($A21="",Q$3=""),"",SUMIFS('Expense Log'!$I$5:$I$3000,'Expense Log'!$L$5:$L$3000,Q$3,'Expense Log'!$C$5:$C$3000,$A21))</f>
        <v/>
      </c>
      <c r="R21" s="23">
        <f>IF(OR($A21="",R$3=""),"",SUMIFS('Expense Log'!$I$5:$I$3000,'Expense Log'!$L$5:$L$3000,R$3,'Expense Log'!$C$5:$C$3000,$A21))</f>
        <v/>
      </c>
      <c r="S21" s="23">
        <f>IF(OR($A21="",S$3=""),"",SUMIFS('Expense Log'!$I$5:$I$3000,'Expense Log'!$L$5:$L$3000,S$3,'Expense Log'!$C$5:$C$3000,$A21))</f>
        <v/>
      </c>
      <c r="T21" s="23">
        <f>IF(OR($A21="",T$3=""),"",SUMIFS('Expense Log'!$I$5:$I$3000,'Expense Log'!$L$5:$L$3000,T$3,'Expense Log'!$C$5:$C$3000,$A21))</f>
        <v/>
      </c>
      <c r="U21" s="23">
        <f>IF(OR($A21="",U$3=""),"",SUMIFS('Expense Log'!$I$5:$I$3000,'Expense Log'!$L$5:$L$3000,U$3,'Expense Log'!$C$5:$C$3000,$A21))</f>
        <v/>
      </c>
      <c r="V21" s="23">
        <f>IF(OR($A21="",V$3=""),"",SUMIFS('Expense Log'!$I$5:$I$3000,'Expense Log'!$L$5:$L$3000,V$3,'Expense Log'!$C$5:$C$3000,$A21))</f>
        <v/>
      </c>
      <c r="W21" s="23">
        <f>IF(OR($A21="",W$3=""),"",SUMIFS('Expense Log'!$I$5:$I$3000,'Expense Log'!$L$5:$L$3000,W$3,'Expense Log'!$C$5:$C$3000,$A21))</f>
        <v/>
      </c>
      <c r="X21" s="23">
        <f>IF(OR($A21="",X$3=""),"",SUMIFS('Expense Log'!$I$5:$I$3000,'Expense Log'!$L$5:$L$3000,X$3,'Expense Log'!$C$5:$C$3000,$A21))</f>
        <v/>
      </c>
      <c r="Y21" s="23">
        <f>IF(OR($A21="",Y$3=""),"",SUMIFS('Expense Log'!$I$5:$I$3000,'Expense Log'!$L$5:$L$3000,Y$3,'Expense Log'!$C$5:$C$3000,$A21))</f>
        <v/>
      </c>
      <c r="Z21" s="23">
        <f>IF($A21="","",SUM(B21:Y21))</f>
        <v/>
      </c>
      <c r="AB21" s="57">
        <f>IF(INDEX($B$3:$Y$3,17)="","",INDEX($B$3:$Y$3,17))</f>
        <v/>
      </c>
    </row>
    <row r="22">
      <c r="A22" s="22">
        <f>IF(INDEX(Lists!$H$4:$AA$4,1,19)="","",INDEX(Lists!$H$4:$AA$4,1,19))</f>
        <v/>
      </c>
      <c r="B22" s="23">
        <f>IF(OR($A22="",B$3=""),"",SUMIFS('Expense Log'!$I$5:$I$3000,'Expense Log'!$L$5:$L$3000,B$3,'Expense Log'!$C$5:$C$3000,$A22))</f>
        <v/>
      </c>
      <c r="C22" s="23">
        <f>IF(OR($A22="",C$3=""),"",SUMIFS('Expense Log'!$I$5:$I$3000,'Expense Log'!$L$5:$L$3000,C$3,'Expense Log'!$C$5:$C$3000,$A22))</f>
        <v/>
      </c>
      <c r="D22" s="23">
        <f>IF(OR($A22="",D$3=""),"",SUMIFS('Expense Log'!$I$5:$I$3000,'Expense Log'!$L$5:$L$3000,D$3,'Expense Log'!$C$5:$C$3000,$A22))</f>
        <v/>
      </c>
      <c r="E22" s="23">
        <f>IF(OR($A22="",E$3=""),"",SUMIFS('Expense Log'!$I$5:$I$3000,'Expense Log'!$L$5:$L$3000,E$3,'Expense Log'!$C$5:$C$3000,$A22))</f>
        <v/>
      </c>
      <c r="F22" s="23">
        <f>IF(OR($A22="",F$3=""),"",SUMIFS('Expense Log'!$I$5:$I$3000,'Expense Log'!$L$5:$L$3000,F$3,'Expense Log'!$C$5:$C$3000,$A22))</f>
        <v/>
      </c>
      <c r="G22" s="23">
        <f>IF(OR($A22="",G$3=""),"",SUMIFS('Expense Log'!$I$5:$I$3000,'Expense Log'!$L$5:$L$3000,G$3,'Expense Log'!$C$5:$C$3000,$A22))</f>
        <v/>
      </c>
      <c r="H22" s="23">
        <f>IF(OR($A22="",H$3=""),"",SUMIFS('Expense Log'!$I$5:$I$3000,'Expense Log'!$L$5:$L$3000,H$3,'Expense Log'!$C$5:$C$3000,$A22))</f>
        <v/>
      </c>
      <c r="I22" s="23">
        <f>IF(OR($A22="",I$3=""),"",SUMIFS('Expense Log'!$I$5:$I$3000,'Expense Log'!$L$5:$L$3000,I$3,'Expense Log'!$C$5:$C$3000,$A22))</f>
        <v/>
      </c>
      <c r="J22" s="23">
        <f>IF(OR($A22="",J$3=""),"",SUMIFS('Expense Log'!$I$5:$I$3000,'Expense Log'!$L$5:$L$3000,J$3,'Expense Log'!$C$5:$C$3000,$A22))</f>
        <v/>
      </c>
      <c r="K22" s="23">
        <f>IF(OR($A22="",K$3=""),"",SUMIFS('Expense Log'!$I$5:$I$3000,'Expense Log'!$L$5:$L$3000,K$3,'Expense Log'!$C$5:$C$3000,$A22))</f>
        <v/>
      </c>
      <c r="L22" s="23">
        <f>IF(OR($A22="",L$3=""),"",SUMIFS('Expense Log'!$I$5:$I$3000,'Expense Log'!$L$5:$L$3000,L$3,'Expense Log'!$C$5:$C$3000,$A22))</f>
        <v/>
      </c>
      <c r="M22" s="23">
        <f>IF(OR($A22="",M$3=""),"",SUMIFS('Expense Log'!$I$5:$I$3000,'Expense Log'!$L$5:$L$3000,M$3,'Expense Log'!$C$5:$C$3000,$A22))</f>
        <v/>
      </c>
      <c r="N22" s="23">
        <f>IF(OR($A22="",N$3=""),"",SUMIFS('Expense Log'!$I$5:$I$3000,'Expense Log'!$L$5:$L$3000,N$3,'Expense Log'!$C$5:$C$3000,$A22))</f>
        <v/>
      </c>
      <c r="O22" s="23">
        <f>IF(OR($A22="",O$3=""),"",SUMIFS('Expense Log'!$I$5:$I$3000,'Expense Log'!$L$5:$L$3000,O$3,'Expense Log'!$C$5:$C$3000,$A22))</f>
        <v/>
      </c>
      <c r="P22" s="23">
        <f>IF(OR($A22="",P$3=""),"",SUMIFS('Expense Log'!$I$5:$I$3000,'Expense Log'!$L$5:$L$3000,P$3,'Expense Log'!$C$5:$C$3000,$A22))</f>
        <v/>
      </c>
      <c r="Q22" s="23">
        <f>IF(OR($A22="",Q$3=""),"",SUMIFS('Expense Log'!$I$5:$I$3000,'Expense Log'!$L$5:$L$3000,Q$3,'Expense Log'!$C$5:$C$3000,$A22))</f>
        <v/>
      </c>
      <c r="R22" s="23">
        <f>IF(OR($A22="",R$3=""),"",SUMIFS('Expense Log'!$I$5:$I$3000,'Expense Log'!$L$5:$L$3000,R$3,'Expense Log'!$C$5:$C$3000,$A22))</f>
        <v/>
      </c>
      <c r="S22" s="23">
        <f>IF(OR($A22="",S$3=""),"",SUMIFS('Expense Log'!$I$5:$I$3000,'Expense Log'!$L$5:$L$3000,S$3,'Expense Log'!$C$5:$C$3000,$A22))</f>
        <v/>
      </c>
      <c r="T22" s="23">
        <f>IF(OR($A22="",T$3=""),"",SUMIFS('Expense Log'!$I$5:$I$3000,'Expense Log'!$L$5:$L$3000,T$3,'Expense Log'!$C$5:$C$3000,$A22))</f>
        <v/>
      </c>
      <c r="U22" s="23">
        <f>IF(OR($A22="",U$3=""),"",SUMIFS('Expense Log'!$I$5:$I$3000,'Expense Log'!$L$5:$L$3000,U$3,'Expense Log'!$C$5:$C$3000,$A22))</f>
        <v/>
      </c>
      <c r="V22" s="23">
        <f>IF(OR($A22="",V$3=""),"",SUMIFS('Expense Log'!$I$5:$I$3000,'Expense Log'!$L$5:$L$3000,V$3,'Expense Log'!$C$5:$C$3000,$A22))</f>
        <v/>
      </c>
      <c r="W22" s="23">
        <f>IF(OR($A22="",W$3=""),"",SUMIFS('Expense Log'!$I$5:$I$3000,'Expense Log'!$L$5:$L$3000,W$3,'Expense Log'!$C$5:$C$3000,$A22))</f>
        <v/>
      </c>
      <c r="X22" s="23">
        <f>IF(OR($A22="",X$3=""),"",SUMIFS('Expense Log'!$I$5:$I$3000,'Expense Log'!$L$5:$L$3000,X$3,'Expense Log'!$C$5:$C$3000,$A22))</f>
        <v/>
      </c>
      <c r="Y22" s="23">
        <f>IF(OR($A22="",Y$3=""),"",SUMIFS('Expense Log'!$I$5:$I$3000,'Expense Log'!$L$5:$L$3000,Y$3,'Expense Log'!$C$5:$C$3000,$A22))</f>
        <v/>
      </c>
      <c r="Z22" s="23">
        <f>IF($A22="","",SUM(B22:Y22))</f>
        <v/>
      </c>
      <c r="AB22" s="57">
        <f>IF(INDEX($B$3:$Y$3,18)="","",INDEX($B$3:$Y$3,18))</f>
        <v/>
      </c>
    </row>
    <row r="23">
      <c r="A23" s="22">
        <f>IF(INDEX(Lists!$H$4:$AA$4,1,20)="","",INDEX(Lists!$H$4:$AA$4,1,20))</f>
        <v/>
      </c>
      <c r="B23" s="23">
        <f>IF(OR($A23="",B$3=""),"",SUMIFS('Expense Log'!$I$5:$I$3000,'Expense Log'!$L$5:$L$3000,B$3,'Expense Log'!$C$5:$C$3000,$A23))</f>
        <v/>
      </c>
      <c r="C23" s="23">
        <f>IF(OR($A23="",C$3=""),"",SUMIFS('Expense Log'!$I$5:$I$3000,'Expense Log'!$L$5:$L$3000,C$3,'Expense Log'!$C$5:$C$3000,$A23))</f>
        <v/>
      </c>
      <c r="D23" s="23">
        <f>IF(OR($A23="",D$3=""),"",SUMIFS('Expense Log'!$I$5:$I$3000,'Expense Log'!$L$5:$L$3000,D$3,'Expense Log'!$C$5:$C$3000,$A23))</f>
        <v/>
      </c>
      <c r="E23" s="23">
        <f>IF(OR($A23="",E$3=""),"",SUMIFS('Expense Log'!$I$5:$I$3000,'Expense Log'!$L$5:$L$3000,E$3,'Expense Log'!$C$5:$C$3000,$A23))</f>
        <v/>
      </c>
      <c r="F23" s="23">
        <f>IF(OR($A23="",F$3=""),"",SUMIFS('Expense Log'!$I$5:$I$3000,'Expense Log'!$L$5:$L$3000,F$3,'Expense Log'!$C$5:$C$3000,$A23))</f>
        <v/>
      </c>
      <c r="G23" s="23">
        <f>IF(OR($A23="",G$3=""),"",SUMIFS('Expense Log'!$I$5:$I$3000,'Expense Log'!$L$5:$L$3000,G$3,'Expense Log'!$C$5:$C$3000,$A23))</f>
        <v/>
      </c>
      <c r="H23" s="23">
        <f>IF(OR($A23="",H$3=""),"",SUMIFS('Expense Log'!$I$5:$I$3000,'Expense Log'!$L$5:$L$3000,H$3,'Expense Log'!$C$5:$C$3000,$A23))</f>
        <v/>
      </c>
      <c r="I23" s="23">
        <f>IF(OR($A23="",I$3=""),"",SUMIFS('Expense Log'!$I$5:$I$3000,'Expense Log'!$L$5:$L$3000,I$3,'Expense Log'!$C$5:$C$3000,$A23))</f>
        <v/>
      </c>
      <c r="J23" s="23">
        <f>IF(OR($A23="",J$3=""),"",SUMIFS('Expense Log'!$I$5:$I$3000,'Expense Log'!$L$5:$L$3000,J$3,'Expense Log'!$C$5:$C$3000,$A23))</f>
        <v/>
      </c>
      <c r="K23" s="23">
        <f>IF(OR($A23="",K$3=""),"",SUMIFS('Expense Log'!$I$5:$I$3000,'Expense Log'!$L$5:$L$3000,K$3,'Expense Log'!$C$5:$C$3000,$A23))</f>
        <v/>
      </c>
      <c r="L23" s="23">
        <f>IF(OR($A23="",L$3=""),"",SUMIFS('Expense Log'!$I$5:$I$3000,'Expense Log'!$L$5:$L$3000,L$3,'Expense Log'!$C$5:$C$3000,$A23))</f>
        <v/>
      </c>
      <c r="M23" s="23">
        <f>IF(OR($A23="",M$3=""),"",SUMIFS('Expense Log'!$I$5:$I$3000,'Expense Log'!$L$5:$L$3000,M$3,'Expense Log'!$C$5:$C$3000,$A23))</f>
        <v/>
      </c>
      <c r="N23" s="23">
        <f>IF(OR($A23="",N$3=""),"",SUMIFS('Expense Log'!$I$5:$I$3000,'Expense Log'!$L$5:$L$3000,N$3,'Expense Log'!$C$5:$C$3000,$A23))</f>
        <v/>
      </c>
      <c r="O23" s="23">
        <f>IF(OR($A23="",O$3=""),"",SUMIFS('Expense Log'!$I$5:$I$3000,'Expense Log'!$L$5:$L$3000,O$3,'Expense Log'!$C$5:$C$3000,$A23))</f>
        <v/>
      </c>
      <c r="P23" s="23">
        <f>IF(OR($A23="",P$3=""),"",SUMIFS('Expense Log'!$I$5:$I$3000,'Expense Log'!$L$5:$L$3000,P$3,'Expense Log'!$C$5:$C$3000,$A23))</f>
        <v/>
      </c>
      <c r="Q23" s="23">
        <f>IF(OR($A23="",Q$3=""),"",SUMIFS('Expense Log'!$I$5:$I$3000,'Expense Log'!$L$5:$L$3000,Q$3,'Expense Log'!$C$5:$C$3000,$A23))</f>
        <v/>
      </c>
      <c r="R23" s="23">
        <f>IF(OR($A23="",R$3=""),"",SUMIFS('Expense Log'!$I$5:$I$3000,'Expense Log'!$L$5:$L$3000,R$3,'Expense Log'!$C$5:$C$3000,$A23))</f>
        <v/>
      </c>
      <c r="S23" s="23">
        <f>IF(OR($A23="",S$3=""),"",SUMIFS('Expense Log'!$I$5:$I$3000,'Expense Log'!$L$5:$L$3000,S$3,'Expense Log'!$C$5:$C$3000,$A23))</f>
        <v/>
      </c>
      <c r="T23" s="23">
        <f>IF(OR($A23="",T$3=""),"",SUMIFS('Expense Log'!$I$5:$I$3000,'Expense Log'!$L$5:$L$3000,T$3,'Expense Log'!$C$5:$C$3000,$A23))</f>
        <v/>
      </c>
      <c r="U23" s="23">
        <f>IF(OR($A23="",U$3=""),"",SUMIFS('Expense Log'!$I$5:$I$3000,'Expense Log'!$L$5:$L$3000,U$3,'Expense Log'!$C$5:$C$3000,$A23))</f>
        <v/>
      </c>
      <c r="V23" s="23">
        <f>IF(OR($A23="",V$3=""),"",SUMIFS('Expense Log'!$I$5:$I$3000,'Expense Log'!$L$5:$L$3000,V$3,'Expense Log'!$C$5:$C$3000,$A23))</f>
        <v/>
      </c>
      <c r="W23" s="23">
        <f>IF(OR($A23="",W$3=""),"",SUMIFS('Expense Log'!$I$5:$I$3000,'Expense Log'!$L$5:$L$3000,W$3,'Expense Log'!$C$5:$C$3000,$A23))</f>
        <v/>
      </c>
      <c r="X23" s="23">
        <f>IF(OR($A23="",X$3=""),"",SUMIFS('Expense Log'!$I$5:$I$3000,'Expense Log'!$L$5:$L$3000,X$3,'Expense Log'!$C$5:$C$3000,$A23))</f>
        <v/>
      </c>
      <c r="Y23" s="23">
        <f>IF(OR($A23="",Y$3=""),"",SUMIFS('Expense Log'!$I$5:$I$3000,'Expense Log'!$L$5:$L$3000,Y$3,'Expense Log'!$C$5:$C$3000,$A23))</f>
        <v/>
      </c>
      <c r="Z23" s="23">
        <f>IF($A23="","",SUM(B23:Y23))</f>
        <v/>
      </c>
      <c r="AB23" s="57">
        <f>IF(INDEX($B$3:$Y$3,19)="","",INDEX($B$3:$Y$3,19))</f>
        <v/>
      </c>
    </row>
    <row r="24">
      <c r="A24" s="27" t="inlineStr">
        <is>
          <t>TOTAL SPENT</t>
        </is>
      </c>
      <c r="B24" s="28">
        <f>IF(B$3="","",SUMIFS('Expense Log'!$I$5:$I$3000,'Expense Log'!$L$5:$L$3000,B$3))</f>
        <v/>
      </c>
      <c r="C24" s="28">
        <f>IF(C$3="","",SUMIFS('Expense Log'!$I$5:$I$3000,'Expense Log'!$L$5:$L$3000,C$3))</f>
        <v/>
      </c>
      <c r="D24" s="28">
        <f>IF(D$3="","",SUMIFS('Expense Log'!$I$5:$I$3000,'Expense Log'!$L$5:$L$3000,D$3))</f>
        <v/>
      </c>
      <c r="E24" s="28">
        <f>IF(E$3="","",SUMIFS('Expense Log'!$I$5:$I$3000,'Expense Log'!$L$5:$L$3000,E$3))</f>
        <v/>
      </c>
      <c r="F24" s="28">
        <f>IF(F$3="","",SUMIFS('Expense Log'!$I$5:$I$3000,'Expense Log'!$L$5:$L$3000,F$3))</f>
        <v/>
      </c>
      <c r="G24" s="28">
        <f>IF(G$3="","",SUMIFS('Expense Log'!$I$5:$I$3000,'Expense Log'!$L$5:$L$3000,G$3))</f>
        <v/>
      </c>
      <c r="H24" s="28">
        <f>IF(H$3="","",SUMIFS('Expense Log'!$I$5:$I$3000,'Expense Log'!$L$5:$L$3000,H$3))</f>
        <v/>
      </c>
      <c r="I24" s="28">
        <f>IF(I$3="","",SUMIFS('Expense Log'!$I$5:$I$3000,'Expense Log'!$L$5:$L$3000,I$3))</f>
        <v/>
      </c>
      <c r="J24" s="28">
        <f>IF(J$3="","",SUMIFS('Expense Log'!$I$5:$I$3000,'Expense Log'!$L$5:$L$3000,J$3))</f>
        <v/>
      </c>
      <c r="K24" s="28">
        <f>IF(K$3="","",SUMIFS('Expense Log'!$I$5:$I$3000,'Expense Log'!$L$5:$L$3000,K$3))</f>
        <v/>
      </c>
      <c r="L24" s="28">
        <f>IF(L$3="","",SUMIFS('Expense Log'!$I$5:$I$3000,'Expense Log'!$L$5:$L$3000,L$3))</f>
        <v/>
      </c>
      <c r="M24" s="28">
        <f>IF(M$3="","",SUMIFS('Expense Log'!$I$5:$I$3000,'Expense Log'!$L$5:$L$3000,M$3))</f>
        <v/>
      </c>
      <c r="N24" s="28">
        <f>IF(N$3="","",SUMIFS('Expense Log'!$I$5:$I$3000,'Expense Log'!$L$5:$L$3000,N$3))</f>
        <v/>
      </c>
      <c r="O24" s="28">
        <f>IF(O$3="","",SUMIFS('Expense Log'!$I$5:$I$3000,'Expense Log'!$L$5:$L$3000,O$3))</f>
        <v/>
      </c>
      <c r="P24" s="28">
        <f>IF(P$3="","",SUMIFS('Expense Log'!$I$5:$I$3000,'Expense Log'!$L$5:$L$3000,P$3))</f>
        <v/>
      </c>
      <c r="Q24" s="28">
        <f>IF(Q$3="","",SUMIFS('Expense Log'!$I$5:$I$3000,'Expense Log'!$L$5:$L$3000,Q$3))</f>
        <v/>
      </c>
      <c r="R24" s="28">
        <f>IF(R$3="","",SUMIFS('Expense Log'!$I$5:$I$3000,'Expense Log'!$L$5:$L$3000,R$3))</f>
        <v/>
      </c>
      <c r="S24" s="28">
        <f>IF(S$3="","",SUMIFS('Expense Log'!$I$5:$I$3000,'Expense Log'!$L$5:$L$3000,S$3))</f>
        <v/>
      </c>
      <c r="T24" s="28">
        <f>IF(T$3="","",SUMIFS('Expense Log'!$I$5:$I$3000,'Expense Log'!$L$5:$L$3000,T$3))</f>
        <v/>
      </c>
      <c r="U24" s="28">
        <f>IF(U$3="","",SUMIFS('Expense Log'!$I$5:$I$3000,'Expense Log'!$L$5:$L$3000,U$3))</f>
        <v/>
      </c>
      <c r="V24" s="28">
        <f>IF(V$3="","",SUMIFS('Expense Log'!$I$5:$I$3000,'Expense Log'!$L$5:$L$3000,V$3))</f>
        <v/>
      </c>
      <c r="W24" s="28">
        <f>IF(W$3="","",SUMIFS('Expense Log'!$I$5:$I$3000,'Expense Log'!$L$5:$L$3000,W$3))</f>
        <v/>
      </c>
      <c r="X24" s="28">
        <f>IF(X$3="","",SUMIFS('Expense Log'!$I$5:$I$3000,'Expense Log'!$L$5:$L$3000,X$3))</f>
        <v/>
      </c>
      <c r="Y24" s="28">
        <f>IF(Y$3="","",SUMIFS('Expense Log'!$I$5:$I$3000,'Expense Log'!$L$5:$L$3000,Y$3))</f>
        <v/>
      </c>
      <c r="Z24" s="28">
        <f>SUM(B24:Y24)</f>
        <v/>
      </c>
      <c r="AB24" s="57">
        <f>IF(INDEX($B$3:$Y$3,20)="","",INDEX($B$3:$Y$3,20))</f>
        <v/>
      </c>
    </row>
    <row r="25">
      <c r="A25" s="58" t="inlineStr">
        <is>
          <t xml:space="preserve">  of which one-off</t>
        </is>
      </c>
      <c r="B25" s="59">
        <f>IF(B$3="","",SUMIFS('Expense Log'!$I$5:$I$3000,'Expense Log'!$L$5:$L$3000,B$3,'Expense Log'!$J$5:$J$3000,"Yes"))</f>
        <v/>
      </c>
      <c r="C25" s="59">
        <f>IF(C$3="","",SUMIFS('Expense Log'!$I$5:$I$3000,'Expense Log'!$L$5:$L$3000,C$3,'Expense Log'!$J$5:$J$3000,"Yes"))</f>
        <v/>
      </c>
      <c r="D25" s="59">
        <f>IF(D$3="","",SUMIFS('Expense Log'!$I$5:$I$3000,'Expense Log'!$L$5:$L$3000,D$3,'Expense Log'!$J$5:$J$3000,"Yes"))</f>
        <v/>
      </c>
      <c r="E25" s="59">
        <f>IF(E$3="","",SUMIFS('Expense Log'!$I$5:$I$3000,'Expense Log'!$L$5:$L$3000,E$3,'Expense Log'!$J$5:$J$3000,"Yes"))</f>
        <v/>
      </c>
      <c r="F25" s="59">
        <f>IF(F$3="","",SUMIFS('Expense Log'!$I$5:$I$3000,'Expense Log'!$L$5:$L$3000,F$3,'Expense Log'!$J$5:$J$3000,"Yes"))</f>
        <v/>
      </c>
      <c r="G25" s="59">
        <f>IF(G$3="","",SUMIFS('Expense Log'!$I$5:$I$3000,'Expense Log'!$L$5:$L$3000,G$3,'Expense Log'!$J$5:$J$3000,"Yes"))</f>
        <v/>
      </c>
      <c r="H25" s="59">
        <f>IF(H$3="","",SUMIFS('Expense Log'!$I$5:$I$3000,'Expense Log'!$L$5:$L$3000,H$3,'Expense Log'!$J$5:$J$3000,"Yes"))</f>
        <v/>
      </c>
      <c r="I25" s="59">
        <f>IF(I$3="","",SUMIFS('Expense Log'!$I$5:$I$3000,'Expense Log'!$L$5:$L$3000,I$3,'Expense Log'!$J$5:$J$3000,"Yes"))</f>
        <v/>
      </c>
      <c r="J25" s="59">
        <f>IF(J$3="","",SUMIFS('Expense Log'!$I$5:$I$3000,'Expense Log'!$L$5:$L$3000,J$3,'Expense Log'!$J$5:$J$3000,"Yes"))</f>
        <v/>
      </c>
      <c r="K25" s="59">
        <f>IF(K$3="","",SUMIFS('Expense Log'!$I$5:$I$3000,'Expense Log'!$L$5:$L$3000,K$3,'Expense Log'!$J$5:$J$3000,"Yes"))</f>
        <v/>
      </c>
      <c r="L25" s="59">
        <f>IF(L$3="","",SUMIFS('Expense Log'!$I$5:$I$3000,'Expense Log'!$L$5:$L$3000,L$3,'Expense Log'!$J$5:$J$3000,"Yes"))</f>
        <v/>
      </c>
      <c r="M25" s="59">
        <f>IF(M$3="","",SUMIFS('Expense Log'!$I$5:$I$3000,'Expense Log'!$L$5:$L$3000,M$3,'Expense Log'!$J$5:$J$3000,"Yes"))</f>
        <v/>
      </c>
      <c r="N25" s="59">
        <f>IF(N$3="","",SUMIFS('Expense Log'!$I$5:$I$3000,'Expense Log'!$L$5:$L$3000,N$3,'Expense Log'!$J$5:$J$3000,"Yes"))</f>
        <v/>
      </c>
      <c r="O25" s="59">
        <f>IF(O$3="","",SUMIFS('Expense Log'!$I$5:$I$3000,'Expense Log'!$L$5:$L$3000,O$3,'Expense Log'!$J$5:$J$3000,"Yes"))</f>
        <v/>
      </c>
      <c r="P25" s="59">
        <f>IF(P$3="","",SUMIFS('Expense Log'!$I$5:$I$3000,'Expense Log'!$L$5:$L$3000,P$3,'Expense Log'!$J$5:$J$3000,"Yes"))</f>
        <v/>
      </c>
      <c r="Q25" s="59">
        <f>IF(Q$3="","",SUMIFS('Expense Log'!$I$5:$I$3000,'Expense Log'!$L$5:$L$3000,Q$3,'Expense Log'!$J$5:$J$3000,"Yes"))</f>
        <v/>
      </c>
      <c r="R25" s="59">
        <f>IF(R$3="","",SUMIFS('Expense Log'!$I$5:$I$3000,'Expense Log'!$L$5:$L$3000,R$3,'Expense Log'!$J$5:$J$3000,"Yes"))</f>
        <v/>
      </c>
      <c r="S25" s="59">
        <f>IF(S$3="","",SUMIFS('Expense Log'!$I$5:$I$3000,'Expense Log'!$L$5:$L$3000,S$3,'Expense Log'!$J$5:$J$3000,"Yes"))</f>
        <v/>
      </c>
      <c r="T25" s="59">
        <f>IF(T$3="","",SUMIFS('Expense Log'!$I$5:$I$3000,'Expense Log'!$L$5:$L$3000,T$3,'Expense Log'!$J$5:$J$3000,"Yes"))</f>
        <v/>
      </c>
      <c r="U25" s="59">
        <f>IF(U$3="","",SUMIFS('Expense Log'!$I$5:$I$3000,'Expense Log'!$L$5:$L$3000,U$3,'Expense Log'!$J$5:$J$3000,"Yes"))</f>
        <v/>
      </c>
      <c r="V25" s="59">
        <f>IF(V$3="","",SUMIFS('Expense Log'!$I$5:$I$3000,'Expense Log'!$L$5:$L$3000,V$3,'Expense Log'!$J$5:$J$3000,"Yes"))</f>
        <v/>
      </c>
      <c r="W25" s="59">
        <f>IF(W$3="","",SUMIFS('Expense Log'!$I$5:$I$3000,'Expense Log'!$L$5:$L$3000,W$3,'Expense Log'!$J$5:$J$3000,"Yes"))</f>
        <v/>
      </c>
      <c r="X25" s="59">
        <f>IF(X$3="","",SUMIFS('Expense Log'!$I$5:$I$3000,'Expense Log'!$L$5:$L$3000,X$3,'Expense Log'!$J$5:$J$3000,"Yes"))</f>
        <v/>
      </c>
      <c r="Y25" s="59">
        <f>IF(Y$3="","",SUMIFS('Expense Log'!$I$5:$I$3000,'Expense Log'!$L$5:$L$3000,Y$3,'Expense Log'!$J$5:$J$3000,"Yes"))</f>
        <v/>
      </c>
      <c r="Z25" s="59">
        <f>SUM(B25:Y25)</f>
        <v/>
      </c>
      <c r="AB25" s="57">
        <f>IF(INDEX($B$3:$Y$3,21)="","",INDEX($B$3:$Y$3,21))</f>
        <v/>
      </c>
    </row>
    <row r="26">
      <c r="A26" s="58" t="inlineStr">
        <is>
          <t xml:space="preserve">  excluding one-off</t>
        </is>
      </c>
      <c r="B26" s="59">
        <f>IF(B$3="","",B24-B25)</f>
        <v/>
      </c>
      <c r="C26" s="59">
        <f>IF(C$3="","",C24-C25)</f>
        <v/>
      </c>
      <c r="D26" s="59">
        <f>IF(D$3="","",D24-D25)</f>
        <v/>
      </c>
      <c r="E26" s="59">
        <f>IF(E$3="","",E24-E25)</f>
        <v/>
      </c>
      <c r="F26" s="59">
        <f>IF(F$3="","",F24-F25)</f>
        <v/>
      </c>
      <c r="G26" s="59">
        <f>IF(G$3="","",G24-G25)</f>
        <v/>
      </c>
      <c r="H26" s="59">
        <f>IF(H$3="","",H24-H25)</f>
        <v/>
      </c>
      <c r="I26" s="59">
        <f>IF(I$3="","",I24-I25)</f>
        <v/>
      </c>
      <c r="J26" s="59">
        <f>IF(J$3="","",J24-J25)</f>
        <v/>
      </c>
      <c r="K26" s="59">
        <f>IF(K$3="","",K24-K25)</f>
        <v/>
      </c>
      <c r="L26" s="59">
        <f>IF(L$3="","",L24-L25)</f>
        <v/>
      </c>
      <c r="M26" s="59">
        <f>IF(M$3="","",M24-M25)</f>
        <v/>
      </c>
      <c r="N26" s="59">
        <f>IF(N$3="","",N24-N25)</f>
        <v/>
      </c>
      <c r="O26" s="59">
        <f>IF(O$3="","",O24-O25)</f>
        <v/>
      </c>
      <c r="P26" s="59">
        <f>IF(P$3="","",P24-P25)</f>
        <v/>
      </c>
      <c r="Q26" s="59">
        <f>IF(Q$3="","",Q24-Q25)</f>
        <v/>
      </c>
      <c r="R26" s="59">
        <f>IF(R$3="","",R24-R25)</f>
        <v/>
      </c>
      <c r="S26" s="59">
        <f>IF(S$3="","",S24-S25)</f>
        <v/>
      </c>
      <c r="T26" s="59">
        <f>IF(T$3="","",T24-T25)</f>
        <v/>
      </c>
      <c r="U26" s="59">
        <f>IF(U$3="","",U24-U25)</f>
        <v/>
      </c>
      <c r="V26" s="59">
        <f>IF(V$3="","",V24-V25)</f>
        <v/>
      </c>
      <c r="W26" s="59">
        <f>IF(W$3="","",W24-W25)</f>
        <v/>
      </c>
      <c r="X26" s="59">
        <f>IF(X$3="","",X24-X25)</f>
        <v/>
      </c>
      <c r="Y26" s="59">
        <f>IF(Y$3="","",Y24-Y25)</f>
        <v/>
      </c>
      <c r="Z26" s="59">
        <f>SUM(B26:Y26)</f>
        <v/>
      </c>
      <c r="AB26" s="57">
        <f>IF(INDEX($B$3:$Y$3,22)="","",INDEX($B$3:$Y$3,22))</f>
        <v/>
      </c>
    </row>
    <row r="27">
      <c r="A27" s="58" t="inlineStr">
        <is>
          <t xml:space="preserve">  not matched to a category (should be 0)</t>
        </is>
      </c>
      <c r="B27" s="59">
        <f>IF(B$3="","",B24-SUM(B4:B23))</f>
        <v/>
      </c>
      <c r="C27" s="59">
        <f>IF(C$3="","",C24-SUM(C4:C23))</f>
        <v/>
      </c>
      <c r="D27" s="59">
        <f>IF(D$3="","",D24-SUM(D4:D23))</f>
        <v/>
      </c>
      <c r="E27" s="59">
        <f>IF(E$3="","",E24-SUM(E4:E23))</f>
        <v/>
      </c>
      <c r="F27" s="59">
        <f>IF(F$3="","",F24-SUM(F4:F23))</f>
        <v/>
      </c>
      <c r="G27" s="59">
        <f>IF(G$3="","",G24-SUM(G4:G23))</f>
        <v/>
      </c>
      <c r="H27" s="59">
        <f>IF(H$3="","",H24-SUM(H4:H23))</f>
        <v/>
      </c>
      <c r="I27" s="59">
        <f>IF(I$3="","",I24-SUM(I4:I23))</f>
        <v/>
      </c>
      <c r="J27" s="59">
        <f>IF(J$3="","",J24-SUM(J4:J23))</f>
        <v/>
      </c>
      <c r="K27" s="59">
        <f>IF(K$3="","",K24-SUM(K4:K23))</f>
        <v/>
      </c>
      <c r="L27" s="59">
        <f>IF(L$3="","",L24-SUM(L4:L23))</f>
        <v/>
      </c>
      <c r="M27" s="59">
        <f>IF(M$3="","",M24-SUM(M4:M23))</f>
        <v/>
      </c>
      <c r="N27" s="59">
        <f>IF(N$3="","",N24-SUM(N4:N23))</f>
        <v/>
      </c>
      <c r="O27" s="59">
        <f>IF(O$3="","",O24-SUM(O4:O23))</f>
        <v/>
      </c>
      <c r="P27" s="59">
        <f>IF(P$3="","",P24-SUM(P4:P23))</f>
        <v/>
      </c>
      <c r="Q27" s="59">
        <f>IF(Q$3="","",Q24-SUM(Q4:Q23))</f>
        <v/>
      </c>
      <c r="R27" s="59">
        <f>IF(R$3="","",R24-SUM(R4:R23))</f>
        <v/>
      </c>
      <c r="S27" s="59">
        <f>IF(S$3="","",S24-SUM(S4:S23))</f>
        <v/>
      </c>
      <c r="T27" s="59">
        <f>IF(T$3="","",T24-SUM(T4:T23))</f>
        <v/>
      </c>
      <c r="U27" s="59">
        <f>IF(U$3="","",U24-SUM(U4:U23))</f>
        <v/>
      </c>
      <c r="V27" s="59">
        <f>IF(V$3="","",V24-SUM(V4:V23))</f>
        <v/>
      </c>
      <c r="W27" s="59">
        <f>IF(W$3="","",W24-SUM(W4:W23))</f>
        <v/>
      </c>
      <c r="X27" s="59">
        <f>IF(X$3="","",X24-SUM(X4:X23))</f>
        <v/>
      </c>
      <c r="Y27" s="59">
        <f>IF(Y$3="","",Y24-SUM(Y4:Y23))</f>
        <v/>
      </c>
      <c r="Z27" s="59">
        <f>SUM(B27:Y27)</f>
        <v/>
      </c>
      <c r="AB27" s="57">
        <f>IF(INDEX($B$3:$Y$3,23)="","",INDEX($B$3:$Y$3,23))</f>
        <v/>
      </c>
    </row>
    <row r="28">
      <c r="AB28" s="57">
        <f>IF(INDEX($B$3:$Y$3,24)="","",INDEX($B$3:$Y$3,24))</f>
        <v/>
      </c>
    </row>
    <row r="29">
      <c r="A29" s="60" t="inlineStr">
        <is>
          <t>Latest month in log</t>
        </is>
      </c>
      <c r="B29" s="61">
        <f>IF(B3="","",MAX('Expense Log'!$L$5:$L$3000))</f>
        <v/>
      </c>
    </row>
    <row r="31">
      <c r="A31" s="38" t="inlineStr">
        <is>
          <t>Last 12 months (feeds the Dashboard trend chart)</t>
        </is>
      </c>
    </row>
    <row r="32">
      <c r="A32" s="46" t="inlineStr">
        <is>
          <t>Month</t>
        </is>
      </c>
      <c r="B32" s="46" t="inlineStr">
        <is>
          <t>Total</t>
        </is>
      </c>
      <c r="C32" s="46" t="inlineStr">
        <is>
          <t>Excl. one-off</t>
        </is>
      </c>
      <c r="D32" s="46" t="inlineStr">
        <is>
          <t>Label</t>
        </is>
      </c>
    </row>
    <row r="33">
      <c r="A33" s="62">
        <f>IF($B$3="","",MAX($B$3,EDATE($B$29,-11)))</f>
        <v/>
      </c>
      <c r="B33" s="63">
        <f>IF(A33="","",SUMIFS('Expense Log'!$I$5:$I$3000,'Expense Log'!$L$5:$L$3000,A33))</f>
        <v/>
      </c>
      <c r="C33" s="63">
        <f>IF(A33="","",B33-SUMIFS('Expense Log'!$I$5:$I$3000,'Expense Log'!$L$5:$L$3000,A33,'Expense Log'!$J$5:$J$3000,"Yes"))</f>
        <v/>
      </c>
      <c r="D33" s="64">
        <f>IF(A33="","",TEXT(A33,"mmm yy"))</f>
        <v/>
      </c>
    </row>
    <row r="34">
      <c r="A34" s="62">
        <f>IF(A33="","",IF(EDATE(A33,1)&gt;$B$29,"",EDATE(A33,1)))</f>
        <v/>
      </c>
      <c r="B34" s="63">
        <f>IF(A34="","",SUMIFS('Expense Log'!$I$5:$I$3000,'Expense Log'!$L$5:$L$3000,A34))</f>
        <v/>
      </c>
      <c r="C34" s="63">
        <f>IF(A34="","",B34-SUMIFS('Expense Log'!$I$5:$I$3000,'Expense Log'!$L$5:$L$3000,A34,'Expense Log'!$J$5:$J$3000,"Yes"))</f>
        <v/>
      </c>
      <c r="D34" s="64">
        <f>IF(A34="","",TEXT(A34,"mmm yy"))</f>
        <v/>
      </c>
    </row>
    <row r="35">
      <c r="A35" s="62">
        <f>IF(A34="","",IF(EDATE(A34,1)&gt;$B$29,"",EDATE(A34,1)))</f>
        <v/>
      </c>
      <c r="B35" s="63">
        <f>IF(A35="","",SUMIFS('Expense Log'!$I$5:$I$3000,'Expense Log'!$L$5:$L$3000,A35))</f>
        <v/>
      </c>
      <c r="C35" s="63">
        <f>IF(A35="","",B35-SUMIFS('Expense Log'!$I$5:$I$3000,'Expense Log'!$L$5:$L$3000,A35,'Expense Log'!$J$5:$J$3000,"Yes"))</f>
        <v/>
      </c>
      <c r="D35" s="64">
        <f>IF(A35="","",TEXT(A35,"mmm yy"))</f>
        <v/>
      </c>
    </row>
    <row r="36">
      <c r="A36" s="62">
        <f>IF(A35="","",IF(EDATE(A35,1)&gt;$B$29,"",EDATE(A35,1)))</f>
        <v/>
      </c>
      <c r="B36" s="63">
        <f>IF(A36="","",SUMIFS('Expense Log'!$I$5:$I$3000,'Expense Log'!$L$5:$L$3000,A36))</f>
        <v/>
      </c>
      <c r="C36" s="63">
        <f>IF(A36="","",B36-SUMIFS('Expense Log'!$I$5:$I$3000,'Expense Log'!$L$5:$L$3000,A36,'Expense Log'!$J$5:$J$3000,"Yes"))</f>
        <v/>
      </c>
      <c r="D36" s="64">
        <f>IF(A36="","",TEXT(A36,"mmm yy"))</f>
        <v/>
      </c>
    </row>
    <row r="37">
      <c r="A37" s="62">
        <f>IF(A36="","",IF(EDATE(A36,1)&gt;$B$29,"",EDATE(A36,1)))</f>
        <v/>
      </c>
      <c r="B37" s="63">
        <f>IF(A37="","",SUMIFS('Expense Log'!$I$5:$I$3000,'Expense Log'!$L$5:$L$3000,A37))</f>
        <v/>
      </c>
      <c r="C37" s="63">
        <f>IF(A37="","",B37-SUMIFS('Expense Log'!$I$5:$I$3000,'Expense Log'!$L$5:$L$3000,A37,'Expense Log'!$J$5:$J$3000,"Yes"))</f>
        <v/>
      </c>
      <c r="D37" s="64">
        <f>IF(A37="","",TEXT(A37,"mmm yy"))</f>
        <v/>
      </c>
    </row>
    <row r="38">
      <c r="A38" s="62">
        <f>IF(A37="","",IF(EDATE(A37,1)&gt;$B$29,"",EDATE(A37,1)))</f>
        <v/>
      </c>
      <c r="B38" s="63">
        <f>IF(A38="","",SUMIFS('Expense Log'!$I$5:$I$3000,'Expense Log'!$L$5:$L$3000,A38))</f>
        <v/>
      </c>
      <c r="C38" s="63">
        <f>IF(A38="","",B38-SUMIFS('Expense Log'!$I$5:$I$3000,'Expense Log'!$L$5:$L$3000,A38,'Expense Log'!$J$5:$J$3000,"Yes"))</f>
        <v/>
      </c>
      <c r="D38" s="64">
        <f>IF(A38="","",TEXT(A38,"mmm yy"))</f>
        <v/>
      </c>
    </row>
    <row r="39">
      <c r="A39" s="62">
        <f>IF(A38="","",IF(EDATE(A38,1)&gt;$B$29,"",EDATE(A38,1)))</f>
        <v/>
      </c>
      <c r="B39" s="63">
        <f>IF(A39="","",SUMIFS('Expense Log'!$I$5:$I$3000,'Expense Log'!$L$5:$L$3000,A39))</f>
        <v/>
      </c>
      <c r="C39" s="63">
        <f>IF(A39="","",B39-SUMIFS('Expense Log'!$I$5:$I$3000,'Expense Log'!$L$5:$L$3000,A39,'Expense Log'!$J$5:$J$3000,"Yes"))</f>
        <v/>
      </c>
      <c r="D39" s="64">
        <f>IF(A39="","",TEXT(A39,"mmm yy"))</f>
        <v/>
      </c>
    </row>
    <row r="40">
      <c r="A40" s="62">
        <f>IF(A39="","",IF(EDATE(A39,1)&gt;$B$29,"",EDATE(A39,1)))</f>
        <v/>
      </c>
      <c r="B40" s="63">
        <f>IF(A40="","",SUMIFS('Expense Log'!$I$5:$I$3000,'Expense Log'!$L$5:$L$3000,A40))</f>
        <v/>
      </c>
      <c r="C40" s="63">
        <f>IF(A40="","",B40-SUMIFS('Expense Log'!$I$5:$I$3000,'Expense Log'!$L$5:$L$3000,A40,'Expense Log'!$J$5:$J$3000,"Yes"))</f>
        <v/>
      </c>
      <c r="D40" s="64">
        <f>IF(A40="","",TEXT(A40,"mmm yy"))</f>
        <v/>
      </c>
    </row>
    <row r="41">
      <c r="A41" s="62">
        <f>IF(A40="","",IF(EDATE(A40,1)&gt;$B$29,"",EDATE(A40,1)))</f>
        <v/>
      </c>
      <c r="B41" s="63">
        <f>IF(A41="","",SUMIFS('Expense Log'!$I$5:$I$3000,'Expense Log'!$L$5:$L$3000,A41))</f>
        <v/>
      </c>
      <c r="C41" s="63">
        <f>IF(A41="","",B41-SUMIFS('Expense Log'!$I$5:$I$3000,'Expense Log'!$L$5:$L$3000,A41,'Expense Log'!$J$5:$J$3000,"Yes"))</f>
        <v/>
      </c>
      <c r="D41" s="64">
        <f>IF(A41="","",TEXT(A41,"mmm yy"))</f>
        <v/>
      </c>
    </row>
    <row r="42">
      <c r="A42" s="62">
        <f>IF(A41="","",IF(EDATE(A41,1)&gt;$B$29,"",EDATE(A41,1)))</f>
        <v/>
      </c>
      <c r="B42" s="63">
        <f>IF(A42="","",SUMIFS('Expense Log'!$I$5:$I$3000,'Expense Log'!$L$5:$L$3000,A42))</f>
        <v/>
      </c>
      <c r="C42" s="63">
        <f>IF(A42="","",B42-SUMIFS('Expense Log'!$I$5:$I$3000,'Expense Log'!$L$5:$L$3000,A42,'Expense Log'!$J$5:$J$3000,"Yes"))</f>
        <v/>
      </c>
      <c r="D42" s="64">
        <f>IF(A42="","",TEXT(A42,"mmm yy"))</f>
        <v/>
      </c>
    </row>
    <row r="43">
      <c r="A43" s="62">
        <f>IF(A42="","",IF(EDATE(A42,1)&gt;$B$29,"",EDATE(A42,1)))</f>
        <v/>
      </c>
      <c r="B43" s="63">
        <f>IF(A43="","",SUMIFS('Expense Log'!$I$5:$I$3000,'Expense Log'!$L$5:$L$3000,A43))</f>
        <v/>
      </c>
      <c r="C43" s="63">
        <f>IF(A43="","",B43-SUMIFS('Expense Log'!$I$5:$I$3000,'Expense Log'!$L$5:$L$3000,A43,'Expense Log'!$J$5:$J$3000,"Yes"))</f>
        <v/>
      </c>
      <c r="D43" s="64">
        <f>IF(A43="","",TEXT(A43,"mmm yy"))</f>
        <v/>
      </c>
    </row>
    <row r="44">
      <c r="A44" s="62">
        <f>IF(A43="","",IF(EDATE(A43,1)&gt;$B$29,"",EDATE(A43,1)))</f>
        <v/>
      </c>
      <c r="B44" s="63">
        <f>IF(A44="","",SUMIFS('Expense Log'!$I$5:$I$3000,'Expense Log'!$L$5:$L$3000,A44))</f>
        <v/>
      </c>
      <c r="C44" s="63">
        <f>IF(A44="","",B44-SUMIFS('Expense Log'!$I$5:$I$3000,'Expense Log'!$L$5:$L$3000,A44,'Expense Log'!$J$5:$J$3000,"Yes"))</f>
        <v/>
      </c>
      <c r="D44" s="64">
        <f>IF(A44="","",TEXT(A44,"mmm yy"))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9A23B"/>
    <outlinePr summaryBelow="1" summaryRight="1"/>
    <pageSetUpPr fitToPage="1"/>
  </sheetPr>
  <dimension ref="A1:AA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" customWidth="1" min="6" max="6"/>
    <col width="20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42" t="inlineStr">
        <is>
          <t>Lists - dropdown options &amp; budgets</t>
        </is>
      </c>
    </row>
    <row r="2" ht="32" customHeight="1">
      <c r="A2" s="43" t="inlineStr">
        <is>
          <t>Everything in the Expense Log dropdowns comes from here. Add a value in the next empty cell of a list (no gaps) and it appears in the dropdown straight away. To add a category: type it in the next empty cell of row 4, then list its sub-categories underneath. Monthly budgets (optional) go in row 5.</t>
        </is>
      </c>
    </row>
    <row r="3">
      <c r="A3" s="38" t="inlineStr">
        <is>
          <t>Small lists</t>
        </is>
      </c>
      <c r="G3" s="38" t="inlineStr">
        <is>
          <t>Categories &amp; sub-categories</t>
        </is>
      </c>
    </row>
    <row r="4">
      <c r="A4" s="45" t="inlineStr">
        <is>
          <t>People</t>
        </is>
      </c>
      <c r="B4" s="45" t="inlineStr">
        <is>
          <t>Split Type</t>
        </is>
      </c>
      <c r="C4" s="45" t="inlineStr">
        <is>
          <t>Expense Type</t>
        </is>
      </c>
      <c r="D4" s="45" t="inlineStr">
        <is>
          <t>Payment Method</t>
        </is>
      </c>
      <c r="E4" s="45" t="inlineStr">
        <is>
          <t>One-off?</t>
        </is>
      </c>
      <c r="G4" s="65" t="inlineStr">
        <is>
          <t>Main Category  &gt;</t>
        </is>
      </c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</row>
    <row r="5">
      <c r="A5" s="66" t="n"/>
      <c r="B5" s="67" t="inlineStr">
        <is>
          <t>Shared (50/50)</t>
        </is>
      </c>
      <c r="C5" s="66" t="inlineStr">
        <is>
          <t>Fixed Needs</t>
        </is>
      </c>
      <c r="D5" s="66" t="inlineStr">
        <is>
          <t>Card</t>
        </is>
      </c>
      <c r="E5" s="66" t="inlineStr">
        <is>
          <t>No</t>
        </is>
      </c>
      <c r="G5" s="65" t="inlineStr">
        <is>
          <t>Monthly budget ($)  &gt;</t>
        </is>
      </c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A5" s="68" t="n"/>
    </row>
    <row r="6">
      <c r="A6" s="66" t="n"/>
      <c r="B6" s="67">
        <f>A5&amp;" only"</f>
        <v/>
      </c>
      <c r="C6" s="66" t="inlineStr">
        <is>
          <t>Variable Wants</t>
        </is>
      </c>
      <c r="D6" s="66" t="inlineStr">
        <is>
          <t>Cash</t>
        </is>
      </c>
      <c r="E6" s="66" t="inlineStr">
        <is>
          <t>Yes</t>
        </is>
      </c>
      <c r="G6" s="65" t="inlineStr">
        <is>
          <t>Sub-categories  v</t>
        </is>
      </c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  <c r="AA6" s="67" t="n"/>
    </row>
    <row r="7">
      <c r="A7" s="67" t="n"/>
      <c r="B7" s="67">
        <f>A6&amp;" only"</f>
        <v/>
      </c>
      <c r="C7" s="66" t="n"/>
      <c r="D7" s="66" t="inlineStr">
        <is>
          <t>Bank Transfer</t>
        </is>
      </c>
      <c r="E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</row>
    <row r="8">
      <c r="A8" s="69" t="inlineStr">
        <is>
          <t>Names: edit A5:A6 (the two people). Split types follow automatically.</t>
        </is>
      </c>
      <c r="B8" s="67" t="n"/>
      <c r="C8" s="66" t="n"/>
      <c r="D8" s="66" t="inlineStr">
        <is>
          <t>Other</t>
        </is>
      </c>
      <c r="E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  <c r="AA8" s="67" t="n"/>
    </row>
    <row r="9">
      <c r="A9" s="67" t="n"/>
      <c r="B9" s="67" t="n"/>
      <c r="C9" s="66" t="n"/>
      <c r="D9" s="66" t="n"/>
      <c r="E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</row>
    <row r="10">
      <c r="A10" s="67" t="n"/>
      <c r="B10" s="67" t="n"/>
      <c r="C10" s="66" t="n"/>
      <c r="D10" s="66" t="n"/>
      <c r="E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  <c r="AA10" s="67" t="n"/>
    </row>
    <row r="11">
      <c r="A11" s="67" t="n"/>
      <c r="B11" s="67" t="n"/>
      <c r="C11" s="66" t="n"/>
      <c r="D11" s="66" t="n"/>
      <c r="E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</row>
    <row r="12">
      <c r="A12" s="67" t="n"/>
      <c r="B12" s="67" t="n"/>
      <c r="C12" s="66" t="n"/>
      <c r="D12" s="66" t="n"/>
      <c r="E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67" t="n"/>
    </row>
    <row r="13">
      <c r="A13" s="67" t="n"/>
      <c r="B13" s="67" t="n"/>
      <c r="C13" s="66" t="n"/>
      <c r="D13" s="66" t="n"/>
      <c r="E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</row>
    <row r="14">
      <c r="A14" s="67" t="n"/>
      <c r="B14" s="67" t="n"/>
      <c r="C14" s="66" t="n"/>
      <c r="D14" s="66" t="n"/>
      <c r="E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</row>
    <row r="15"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  <c r="AA15" s="67" t="n"/>
    </row>
    <row r="16"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  <c r="AA16" s="67" t="n"/>
    </row>
    <row r="17"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</row>
    <row r="18"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  <c r="AA18" s="67" t="n"/>
    </row>
    <row r="19"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</row>
    <row r="20"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  <c r="AA20" s="67" t="n"/>
    </row>
    <row r="21"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</row>
    <row r="22"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  <c r="AA22" s="67" t="n"/>
    </row>
    <row r="23"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  <c r="AA23" s="67" t="n"/>
    </row>
    <row r="24"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</row>
    <row r="25"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  <c r="AA25" s="67" t="n"/>
    </row>
    <row r="26"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</row>
    <row r="27"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</row>
    <row r="28"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</row>
    <row r="29"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  <c r="AA29" s="67" t="n"/>
    </row>
    <row r="30"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</row>
    <row r="31"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</row>
    <row r="32"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</row>
    <row r="33"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  <c r="AA33" s="67" t="n"/>
    </row>
    <row r="34"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  <c r="AA34" s="67" t="n"/>
    </row>
    <row r="35"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  <c r="AA35" s="67" t="n"/>
    </row>
    <row r="36"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</row>
    <row r="37"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  <c r="AA37" s="67" t="n"/>
    </row>
    <row r="38"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</row>
    <row r="39"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  <c r="AA39" s="67" t="n"/>
    </row>
    <row r="40"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  <c r="AA40" s="67" t="n"/>
    </row>
    <row r="41"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</row>
    <row r="42"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  <c r="AA42" s="67" t="n"/>
    </row>
    <row r="43"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  <c r="AA43" s="67" t="n"/>
    </row>
    <row r="44"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</row>
    <row r="45"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  <c r="AA45" s="67" t="n"/>
    </row>
  </sheetData>
  <mergeCells count="1">
    <mergeCell ref="A2:A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2026-10-18T05:37:43Z</dcterms:created>
  <dcterms:modified xmlns:dcterms="http://purl.org/dc/terms/" xmlns:xsi="http://www.w3.org/2001/XMLSchema-instance" xsi:type="dcterms:W3CDTF">2026-10-18T05:37:46Z</dcterms:modified>
</cp:coreProperties>
</file>